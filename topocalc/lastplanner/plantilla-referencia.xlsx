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vmlDrawing1.vml" ContentType="application/vnd.openxmlformats-officedocument.vmlDrawing"/>
  <Override PartName="/xl/drawings/drawing5.xml" ContentType="application/vnd.openxmlformats-officedocument.drawing+xml"/>
  <Override PartName="/xl/drawings/vmlDrawing2.vml" ContentType="application/vnd.openxmlformats-officedocument.vmlDrawing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media/image8.png" ContentType="image/png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4.xml.rels" ContentType="application/vnd.openxmlformats-package.relationships+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customXml/item4.xml" ContentType="application/xml"/>
  <Override PartName="/customXml/itemProps4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openxmlformats.org/officeDocument/2006/relationships/customXml" Target="../customXml/item4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749" firstSheet="0" activeTab="4"/>
  </bookViews>
  <sheets>
    <sheet name="Minuta N° 65" sheetId="1" state="visible" r:id="rId3"/>
    <sheet name="Last Planner-65" sheetId="2" state="visible" r:id="rId4"/>
    <sheet name="Pl. Restricciones N°65" sheetId="3" state="visible" r:id="rId5"/>
    <sheet name="Consolidado" sheetId="4" state="visible" r:id="rId6"/>
    <sheet name="Ev. Subcontratista" sheetId="5" state="visible" r:id="rId7"/>
    <sheet name="PLAN MAESTRO V2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42" authorId="0">
      <text>
        <r>
          <rPr>
            <sz val="10"/>
            <rFont val="Arial"/>
            <family val="2"/>
          </rPr>
          <t xml:space="preserve">Acer:
</t>
        </r>
        <r>
          <rPr>
            <sz val="9"/>
            <color rgb="FF000000"/>
            <rFont val="Tahoma"/>
            <family val="2"/>
          </rPr>
          <t xml:space="preserve">no se trabajo esta semana proimedio semana anterior + siguiente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D9" authorId="0">
      <text>
        <r>
          <rPr>
            <sz val="10"/>
            <rFont val="Arial"/>
            <family val="2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 CARTA SOLICITUD DE RECEPCIÓN</t>
        </r>
      </text>
    </comment>
    <comment ref="BE9" authorId="0">
      <text>
        <r>
          <rPr>
            <sz val="10"/>
            <rFont val="Arial"/>
            <family val="2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 CARTA SOLICITUD DE RECEPCIÓN</t>
        </r>
      </text>
    </comment>
    <comment ref="BH9" authorId="0">
      <text>
        <r>
          <rPr>
            <sz val="10"/>
            <rFont val="Arial"/>
            <family val="2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 CARTA SOLICITUD DE RECEPCIÓN</t>
        </r>
      </text>
    </comment>
    <comment ref="BI9" authorId="0">
      <text>
        <r>
          <rPr>
            <sz val="10"/>
            <rFont val="Arial"/>
            <family val="2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INGRESO CARTA SOLICITUD DE RECEPCIÓN</t>
        </r>
      </text>
    </comment>
  </commentList>
</comments>
</file>

<file path=xl/sharedStrings.xml><?xml version="1.0" encoding="utf-8"?>
<sst xmlns="http://schemas.openxmlformats.org/spreadsheetml/2006/main" count="1970" uniqueCount="610">
  <si>
    <t xml:space="preserve">Acta de Reunión</t>
  </si>
  <si>
    <t xml:space="preserve">TEMA:</t>
  </si>
  <si>
    <t xml:space="preserve">Plan Semanal
02-03-26 al 08-03-26</t>
  </si>
  <si>
    <t xml:space="preserve">Documento:</t>
  </si>
  <si>
    <t xml:space="preserve">Fecha:</t>
  </si>
  <si>
    <t xml:space="preserve">Lugar:</t>
  </si>
  <si>
    <t xml:space="preserve">Comedor</t>
  </si>
  <si>
    <t xml:space="preserve">PARTICIPANTES:</t>
  </si>
  <si>
    <t xml:space="preserve">N°</t>
  </si>
  <si>
    <t xml:space="preserve">Nombre</t>
  </si>
  <si>
    <t xml:space="preserve">Cargo</t>
  </si>
  <si>
    <t xml:space="preserve">Iniciales</t>
  </si>
  <si>
    <t xml:space="preserve">Asistencia</t>
  </si>
  <si>
    <t xml:space="preserve">Firma</t>
  </si>
  <si>
    <t xml:space="preserve">Luis Aguilar</t>
  </si>
  <si>
    <t xml:space="preserve">Administrado de obra</t>
  </si>
  <si>
    <t xml:space="preserve">LA</t>
  </si>
  <si>
    <t xml:space="preserve">Alex Soto</t>
  </si>
  <si>
    <t xml:space="preserve">Supervisor DEIGENER</t>
  </si>
  <si>
    <t xml:space="preserve">AS</t>
  </si>
  <si>
    <t xml:space="preserve">Cristian Hernandez</t>
  </si>
  <si>
    <t xml:space="preserve">Programador de obra</t>
  </si>
  <si>
    <t xml:space="preserve">CH</t>
  </si>
  <si>
    <t xml:space="preserve">Angel Aguila</t>
  </si>
  <si>
    <t xml:space="preserve">Instalador ductos climatizacion</t>
  </si>
  <si>
    <t xml:space="preserve">AA</t>
  </si>
  <si>
    <t xml:space="preserve">Julio Morales</t>
  </si>
  <si>
    <t xml:space="preserve">Jefe de terreno</t>
  </si>
  <si>
    <t xml:space="preserve">JM</t>
  </si>
  <si>
    <t xml:space="preserve">Mario Araya </t>
  </si>
  <si>
    <t xml:space="preserve">Maestro Proyectos y servicios san Pedro spa</t>
  </si>
  <si>
    <t xml:space="preserve">MA</t>
  </si>
  <si>
    <t xml:space="preserve">Ricardo Caro</t>
  </si>
  <si>
    <t xml:space="preserve">Prevencionista de riesgos</t>
  </si>
  <si>
    <t xml:space="preserve">RC</t>
  </si>
  <si>
    <t xml:space="preserve">Marcelo San Pedro</t>
  </si>
  <si>
    <t xml:space="preserve">Representante legal Proyectos y servicios san Pedro spa</t>
  </si>
  <si>
    <t xml:space="preserve">SP</t>
  </si>
  <si>
    <t xml:space="preserve">Felipe Gonzalez</t>
  </si>
  <si>
    <t xml:space="preserve">PAC</t>
  </si>
  <si>
    <t xml:space="preserve">FG</t>
  </si>
  <si>
    <t xml:space="preserve">Humberto Contreras</t>
  </si>
  <si>
    <t xml:space="preserve">Venesur</t>
  </si>
  <si>
    <t xml:space="preserve">HC</t>
  </si>
  <si>
    <t xml:space="preserve">Mario Verdugo</t>
  </si>
  <si>
    <t xml:space="preserve">Topografo</t>
  </si>
  <si>
    <t xml:space="preserve">MV</t>
  </si>
  <si>
    <t xml:space="preserve">Victor Muñoz</t>
  </si>
  <si>
    <t xml:space="preserve">Cubiertas y muebles Talca</t>
  </si>
  <si>
    <t xml:space="preserve">VM</t>
  </si>
  <si>
    <t xml:space="preserve">Alejandro Soto</t>
  </si>
  <si>
    <t xml:space="preserve">Jefe de obra</t>
  </si>
  <si>
    <t xml:space="preserve">Teodoro Gallo</t>
  </si>
  <si>
    <t xml:space="preserve">Administrativo</t>
  </si>
  <si>
    <t xml:space="preserve">TG</t>
  </si>
  <si>
    <t xml:space="preserve">Luis Rojas</t>
  </si>
  <si>
    <t xml:space="preserve">AITO Servicio Salud Maule</t>
  </si>
  <si>
    <t xml:space="preserve">LR</t>
  </si>
  <si>
    <t xml:space="preserve">Juvenal Soto </t>
  </si>
  <si>
    <t xml:space="preserve">Subcontratista Sanitario</t>
  </si>
  <si>
    <t xml:space="preserve">JS</t>
  </si>
  <si>
    <t xml:space="preserve">Matias Bravo</t>
  </si>
  <si>
    <t xml:space="preserve">Gasfiter</t>
  </si>
  <si>
    <t xml:space="preserve">MB</t>
  </si>
  <si>
    <t xml:space="preserve">Hector Acevedo</t>
  </si>
  <si>
    <t xml:space="preserve">Representante legal Loma Alta Electricidad</t>
  </si>
  <si>
    <t xml:space="preserve">HA</t>
  </si>
  <si>
    <t xml:space="preserve">Luis Arraya</t>
  </si>
  <si>
    <t xml:space="preserve">Supervisor Electrico</t>
  </si>
  <si>
    <t xml:space="preserve">LAR</t>
  </si>
  <si>
    <t xml:space="preserve">Jose Perez</t>
  </si>
  <si>
    <t xml:space="preserve">Representante legal DEIGENER</t>
  </si>
  <si>
    <t xml:space="preserve">JP</t>
  </si>
  <si>
    <t xml:space="preserve">AREA</t>
  </si>
  <si>
    <t xml:space="preserve">TEMA</t>
  </si>
  <si>
    <t xml:space="preserve">TEMAS DE LA PLANIFICACION</t>
  </si>
  <si>
    <t xml:space="preserve">RESPONSABLE</t>
  </si>
  <si>
    <t xml:space="preserve">CAUSA DE NO CUMPLIMIENTO</t>
  </si>
  <si>
    <t xml:space="preserve">FRECUENCIA</t>
  </si>
  <si>
    <t xml:space="preserve">%</t>
  </si>
  <si>
    <t xml:space="preserve">OBRA</t>
  </si>
  <si>
    <t xml:space="preserve">REPOSICIÓN CONSULTORIO GENERAL RURAL CURANIPE, COMUNA DE PELLUHUE</t>
  </si>
  <si>
    <t xml:space="preserve">Falta o Falla de Equipos</t>
  </si>
  <si>
    <t xml:space="preserve">INFORME DE PLANIFICACION SEMANAL Y PROGRAMACION DIARIA  N°</t>
  </si>
  <si>
    <t xml:space="preserve">FECHA IINICIO DE OBRA</t>
  </si>
  <si>
    <t xml:space="preserve">Falta Mano de Obra</t>
  </si>
  <si>
    <t xml:space="preserve">PROF. ADIMINISTRADOR</t>
  </si>
  <si>
    <t xml:space="preserve">LUIS AGUILAR</t>
  </si>
  <si>
    <t xml:space="preserve">Falta de Materiales</t>
  </si>
  <si>
    <t xml:space="preserve">FECHA DE EVALUACION</t>
  </si>
  <si>
    <t xml:space="preserve">Falla de Subcontratistas</t>
  </si>
  <si>
    <t xml:space="preserve">Eventos no programables (clima, despachos, etc.)</t>
  </si>
  <si>
    <t xml:space="preserve">Falla de Programación</t>
  </si>
  <si>
    <t xml:space="preserve">INFORME DE LO EJECUTADO ENTRE:</t>
  </si>
  <si>
    <t xml:space="preserve">AL</t>
  </si>
  <si>
    <t xml:space="preserve">Cambio de Activ. Por el JT o AO</t>
  </si>
  <si>
    <t xml:space="preserve"> </t>
  </si>
  <si>
    <t xml:space="preserve">SEMANA</t>
  </si>
  <si>
    <t xml:space="preserve">Indefinición de Proyecto o Diseño</t>
  </si>
  <si>
    <t xml:space="preserve">ITEM</t>
  </si>
  <si>
    <t xml:space="preserve">FASE</t>
  </si>
  <si>
    <t xml:space="preserve">ZONA</t>
  </si>
  <si>
    <t xml:space="preserve">DESCRIPCION DE LA ACTIVIDAD</t>
  </si>
  <si>
    <t xml:space="preserve">SUPERVISOR RESPONSABLE</t>
  </si>
  <si>
    <t xml:space="preserve">Lu</t>
  </si>
  <si>
    <t xml:space="preserve">Ma</t>
  </si>
  <si>
    <t xml:space="preserve">Mi</t>
  </si>
  <si>
    <t xml:space="preserve">Ju</t>
  </si>
  <si>
    <t xml:space="preserve">Vi</t>
  </si>
  <si>
    <t xml:space="preserve">Sa</t>
  </si>
  <si>
    <t xml:space="preserve">Do</t>
  </si>
  <si>
    <t xml:space="preserve">% CUMPLIMIENTO</t>
  </si>
  <si>
    <t xml:space="preserve">L o NL</t>
  </si>
  <si>
    <t xml:space="preserve">CAUSAS DE NO CUMPLIMIENTO</t>
  </si>
  <si>
    <t xml:space="preserve">OBSERVACIONES</t>
  </si>
  <si>
    <t xml:space="preserve">Mala Ejecucion</t>
  </si>
  <si>
    <t xml:space="preserve">SOLICITADO</t>
  </si>
  <si>
    <t xml:space="preserve">REAL</t>
  </si>
  <si>
    <t xml:space="preserve">TERMINACIONES</t>
  </si>
  <si>
    <t xml:space="preserve">Instalacion pasamano</t>
  </si>
  <si>
    <t xml:space="preserve">Constructora CASAA Ltda</t>
  </si>
  <si>
    <t xml:space="preserve">Instalacion accesorios</t>
  </si>
  <si>
    <t xml:space="preserve">Instalacion brazos hidraulicos en puertas</t>
  </si>
  <si>
    <t xml:space="preserve">Instalacion extintores</t>
  </si>
  <si>
    <t xml:space="preserve">doble altura</t>
  </si>
  <si>
    <t xml:space="preserve">Maquillaje interior closset TIC </t>
  </si>
  <si>
    <t xml:space="preserve">Esmalte 2° mano muros</t>
  </si>
  <si>
    <t xml:space="preserve">Proyectos y servicios San Pedro spa</t>
  </si>
  <si>
    <t xml:space="preserve">Estructuracion y cubierta muebles</t>
  </si>
  <si>
    <t xml:space="preserve">Cubiertas y muebles  Talca</t>
  </si>
  <si>
    <t xml:space="preserve">Puertas de muebles</t>
  </si>
  <si>
    <t xml:space="preserve">Entrega final muebles</t>
  </si>
  <si>
    <t xml:space="preserve">FACHADA</t>
  </si>
  <si>
    <t xml:space="preserve">Termino grano EIFS en vano</t>
  </si>
  <si>
    <t xml:space="preserve">Patio 1</t>
  </si>
  <si>
    <t xml:space="preserve">Patio 2</t>
  </si>
  <si>
    <t xml:space="preserve">Aparejo y pintura terminacion fachada</t>
  </si>
  <si>
    <t xml:space="preserve">OBRAS EXTERIORES</t>
  </si>
  <si>
    <t xml:space="preserve">Estacionamiento</t>
  </si>
  <si>
    <t xml:space="preserve">Sobrelosa estanque</t>
  </si>
  <si>
    <t xml:space="preserve">Zona tecnica</t>
  </si>
  <si>
    <t xml:space="preserve">Rejilla aguas lluvias</t>
  </si>
  <si>
    <t xml:space="preserve">M3</t>
  </si>
  <si>
    <t xml:space="preserve">Reparacion muro de contencion</t>
  </si>
  <si>
    <t xml:space="preserve">INSTALACIONES</t>
  </si>
  <si>
    <t xml:space="preserve">Reinstalacion de lavamano y WC</t>
  </si>
  <si>
    <t xml:space="preserve">JS Instalaciones sanitarias spa</t>
  </si>
  <si>
    <t xml:space="preserve">Conexión lavafondo y lavamanos</t>
  </si>
  <si>
    <t xml:space="preserve">Pruebas de artefactos</t>
  </si>
  <si>
    <t xml:space="preserve">Sellado de artefactos</t>
  </si>
  <si>
    <t xml:space="preserve">Punto electrico y pacco VEX 05</t>
  </si>
  <si>
    <t xml:space="preserve">Sociedad Loma Alta Electricidad Limitada</t>
  </si>
  <si>
    <t xml:space="preserve">Cableado termostato UMAS</t>
  </si>
  <si>
    <t xml:space="preserve">Punto electrico para caldera</t>
  </si>
  <si>
    <t xml:space="preserve">Instacion luminarias</t>
  </si>
  <si>
    <t xml:space="preserve">Instacion corrientes debiles</t>
  </si>
  <si>
    <t xml:space="preserve">Señaleticas</t>
  </si>
  <si>
    <t xml:space="preserve">Instalacion Hublot</t>
  </si>
  <si>
    <t xml:space="preserve">Conexión Caldera</t>
  </si>
  <si>
    <t xml:space="preserve">DEIGENER LTDA</t>
  </si>
  <si>
    <t xml:space="preserve">Conexión Electrica Chiller</t>
  </si>
  <si>
    <t xml:space="preserve">Conexión electrica UMAS</t>
  </si>
  <si>
    <t xml:space="preserve">Instalacion termostatos UMAS</t>
  </si>
  <si>
    <t xml:space="preserve">Conexión electrica caldera</t>
  </si>
  <si>
    <t xml:space="preserve">Conexión ductos para VEX</t>
  </si>
  <si>
    <t xml:space="preserve">Rejillas y difusores</t>
  </si>
  <si>
    <t xml:space="preserve">Ductos de cubierta</t>
  </si>
  <si>
    <t xml:space="preserve">Forro hojalateria subida vertifcal ppr a cubierta</t>
  </si>
  <si>
    <t xml:space="preserve">Tapa gorro ducto chimenea caldera</t>
  </si>
  <si>
    <t xml:space="preserve">N° ACTIV, PROGRAMADAS</t>
  </si>
  <si>
    <t xml:space="preserve">TOTAL LOGRADO</t>
  </si>
  <si>
    <t xml:space="preserve">% DE CUMPLIMIENTO PAC </t>
  </si>
  <si>
    <t xml:space="preserve">% DE CUMPLIMIENTO PROG.</t>
  </si>
  <si>
    <t xml:space="preserve">DIAGRAMA DE PARETO</t>
  </si>
  <si>
    <t xml:space="preserve">% ACUMULADO</t>
  </si>
  <si>
    <t xml:space="preserve">ACCIONES CORRECTICAS RECOMENDADAS</t>
  </si>
  <si>
    <t xml:space="preserve">PLANILLA DE RESTRICCIONES SEMANALES</t>
  </si>
  <si>
    <t xml:space="preserve">FECHA DETECCION RESTRICCION</t>
  </si>
  <si>
    <t xml:space="preserve">PARTIDA</t>
  </si>
  <si>
    <t xml:space="preserve">TIPO DE RESTRICCIÓN</t>
  </si>
  <si>
    <t xml:space="preserve">DESCRIPCION RESTRICCION</t>
  </si>
  <si>
    <t xml:space="preserve">CLIENTE </t>
  </si>
  <si>
    <t xml:space="preserve">FECHA REQUERIDA POR EL CLIENTE</t>
  </si>
  <si>
    <t xml:space="preserve">FECHA LIBERADA</t>
  </si>
  <si>
    <t xml:space="preserve">ESTADO</t>
  </si>
  <si>
    <t xml:space="preserve">Z6</t>
  </si>
  <si>
    <t xml:space="preserve">Corrientes Debiles</t>
  </si>
  <si>
    <t xml:space="preserve">Diseño</t>
  </si>
  <si>
    <t xml:space="preserve">Ubicación central de radio</t>
  </si>
  <si>
    <t xml:space="preserve">CONSTRUCTORA CASAA LTDA</t>
  </si>
  <si>
    <t xml:space="preserve">GENERAL</t>
  </si>
  <si>
    <t xml:space="preserve">TERMINACION GRUESA</t>
  </si>
  <si>
    <t xml:space="preserve">Iluminacion</t>
  </si>
  <si>
    <t xml:space="preserve">Trazado</t>
  </si>
  <si>
    <t xml:space="preserve">Reprogramar trazados de iluminacion para canalizaciones electricas</t>
  </si>
  <si>
    <t xml:space="preserve">ESTACIONAMIENTO</t>
  </si>
  <si>
    <t xml:space="preserve">Union Domiciliaria</t>
  </si>
  <si>
    <t xml:space="preserve">Ejecucion </t>
  </si>
  <si>
    <t xml:space="preserve">Dejar tapon con yeso</t>
  </si>
  <si>
    <t xml:space="preserve">POLIDEPORTIVO</t>
  </si>
  <si>
    <t xml:space="preserve">Aumento de obra</t>
  </si>
  <si>
    <t xml:space="preserve">Programacion</t>
  </si>
  <si>
    <t xml:space="preserve">Programar Instalacion de soleras y pavimento de veredas en Zona Polideportivo</t>
  </si>
  <si>
    <t xml:space="preserve">PLANILLA DE RESTRICCIONES LEVANTADAS</t>
  </si>
  <si>
    <t xml:space="preserve">M2</t>
  </si>
  <si>
    <t xml:space="preserve">OBRA GRUESA</t>
  </si>
  <si>
    <t xml:space="preserve">Fundación Muro de contención </t>
  </si>
  <si>
    <t xml:space="preserve">Materiales</t>
  </si>
  <si>
    <t xml:space="preserve">Gestionar compra de tablones para inicio de  entibación en zona de derrumbes</t>
  </si>
  <si>
    <t xml:space="preserve">Z3-Z4-Z5</t>
  </si>
  <si>
    <t xml:space="preserve">Relleno radieres</t>
  </si>
  <si>
    <t xml:space="preserve">Mano de obra</t>
  </si>
  <si>
    <t xml:space="preserve">Plataforma para rellenos interiores</t>
  </si>
  <si>
    <t xml:space="preserve">Jimmy Jara</t>
  </si>
  <si>
    <t xml:space="preserve">General</t>
  </si>
  <si>
    <t xml:space="preserve">General elementos de obra</t>
  </si>
  <si>
    <t xml:space="preserve">Información</t>
  </si>
  <si>
    <t xml:space="preserve">Chequear pasadas de elementos </t>
  </si>
  <si>
    <t xml:space="preserve">Patricio Barrientos </t>
  </si>
  <si>
    <t xml:space="preserve">Z1 y Z2</t>
  </si>
  <si>
    <t xml:space="preserve">Hormigón vigas de fundación</t>
  </si>
  <si>
    <t xml:space="preserve">Correo con información referente al tratamiento a la corrosión del Hilo instalado para anclajes</t>
  </si>
  <si>
    <t xml:space="preserve">10-03-205</t>
  </si>
  <si>
    <t xml:space="preserve">Z4</t>
  </si>
  <si>
    <t xml:space="preserve">Reprogramar ingreso JS Instalaciones sanitarias spa en plantas de alcantarillado </t>
  </si>
  <si>
    <t xml:space="preserve">Z2</t>
  </si>
  <si>
    <t xml:space="preserve">Hormigonado de losas</t>
  </si>
  <si>
    <t xml:space="preserve">Se deberá resolver si las tuberías van bajo losa o dentro de losa</t>
  </si>
  <si>
    <t xml:space="preserve">Arriendo de Moldaje elementos en general</t>
  </si>
  <si>
    <t xml:space="preserve">Equipos</t>
  </si>
  <si>
    <t xml:space="preserve">Devolución de moldajes a DOM</t>
  </si>
  <si>
    <t xml:space="preserve">Matias Oyarce</t>
  </si>
  <si>
    <t xml:space="preserve">Z1</t>
  </si>
  <si>
    <t xml:space="preserve">Altura de losa en acceso principal</t>
  </si>
  <si>
    <t xml:space="preserve">EQUIPO DE TRABAJO</t>
  </si>
  <si>
    <t xml:space="preserve">Profesional de obra</t>
  </si>
  <si>
    <t xml:space="preserve">Aprobación profesional BIM</t>
  </si>
  <si>
    <t xml:space="preserve">Proyecto climatización</t>
  </si>
  <si>
    <t xml:space="preserve">Presentación de Subcontrato de Climatización a Inspección</t>
  </si>
  <si>
    <t xml:space="preserve">Confirmar ubicación de túneles solares</t>
  </si>
  <si>
    <t xml:space="preserve">Plano de pasadas especialidades</t>
  </si>
  <si>
    <t xml:space="preserve">Muro contención</t>
  </si>
  <si>
    <t xml:space="preserve">Subcontrato para impermeabilización</t>
  </si>
  <si>
    <t xml:space="preserve">Desviación de descarga aguas lluvias en Talud del muro de contención sector estacionamientos</t>
  </si>
  <si>
    <t xml:space="preserve">Luis Rojas y Luis Aguilar</t>
  </si>
  <si>
    <t xml:space="preserve">Encontrar casa para subcontrato para impermeabilización</t>
  </si>
  <si>
    <t xml:space="preserve">Excavación Muro de contención </t>
  </si>
  <si>
    <t xml:space="preserve">Levantamiento topográfico</t>
  </si>
  <si>
    <t xml:space="preserve">Retirar árbol polideportivo. Gestionar donde se reubicara</t>
  </si>
  <si>
    <t xml:space="preserve">Ricardo Caro y Jimmy Jara</t>
  </si>
  <si>
    <t xml:space="preserve">Z7</t>
  </si>
  <si>
    <t xml:space="preserve">Enfierradura </t>
  </si>
  <si>
    <t xml:space="preserve">Entregar modificación vano puerta en Recinto Técnico</t>
  </si>
  <si>
    <t xml:space="preserve">Z4-Z5</t>
  </si>
  <si>
    <t xml:space="preserve">Hormigón Viga de fundación</t>
  </si>
  <si>
    <t xml:space="preserve">Definición proceso constructivo Viga de fundación para proceso de hormigonado emplantillado</t>
  </si>
  <si>
    <t xml:space="preserve">Topografía</t>
  </si>
  <si>
    <t xml:space="preserve">Chequeo de equipos topográficos</t>
  </si>
  <si>
    <t xml:space="preserve">Matias Pérez</t>
  </si>
  <si>
    <t xml:space="preserve">Moldaje de muros</t>
  </si>
  <si>
    <t xml:space="preserve">Distribución de moldajes de muro para determinar corte de hormigonado</t>
  </si>
  <si>
    <t xml:space="preserve">Jimmy Jara y Patricio Barrientos</t>
  </si>
  <si>
    <t xml:space="preserve">Hormigonado de losa</t>
  </si>
  <si>
    <t xml:space="preserve">Coordinación subcontrato de hormigón losa</t>
  </si>
  <si>
    <t xml:space="preserve">Patricio Barrientos</t>
  </si>
  <si>
    <t xml:space="preserve">Moldajes y hormigones de coronación</t>
  </si>
  <si>
    <t xml:space="preserve">Reprogramación en moldajes y hormigón de coronación</t>
  </si>
  <si>
    <t xml:space="preserve">EIFS</t>
  </si>
  <si>
    <t xml:space="preserve">Mano de obra </t>
  </si>
  <si>
    <t xml:space="preserve">Buscar subcontrato de EIFS</t>
  </si>
  <si>
    <t xml:space="preserve">Excavaciones</t>
  </si>
  <si>
    <t xml:space="preserve">Entibaciones zona tramo 2 </t>
  </si>
  <si>
    <t xml:space="preserve">Levantamiento muro contención</t>
  </si>
  <si>
    <t xml:space="preserve">Aguas lluvias</t>
  </si>
  <si>
    <t xml:space="preserve">Revisión material para barbacanas</t>
  </si>
  <si>
    <t xml:space="preserve">Impermeabilización</t>
  </si>
  <si>
    <t xml:space="preserve">Altura de rellenos para impermeabilización de Denso. Trazado de Mario</t>
  </si>
  <si>
    <t xml:space="preserve">Moldajes</t>
  </si>
  <si>
    <t xml:space="preserve">Faltan carpinteros</t>
  </si>
  <si>
    <t xml:space="preserve">Constructora torres del Valle spa</t>
  </si>
  <si>
    <t xml:space="preserve">Muro de contención</t>
  </si>
  <si>
    <t xml:space="preserve">Retirar polines tramo 3 para colocar en tramo 2</t>
  </si>
  <si>
    <t xml:space="preserve">Z3</t>
  </si>
  <si>
    <t xml:space="preserve">Vigas</t>
  </si>
  <si>
    <t xml:space="preserve">No armar en zona 3 vigas desde el eje 6 al eje 3 para facilitar instalación de moldajes</t>
  </si>
  <si>
    <t xml:space="preserve">Rodrigo Gonzalez</t>
  </si>
  <si>
    <t xml:space="preserve">Canalizaciones</t>
  </si>
  <si>
    <t xml:space="preserve">Revisión y entrega de subcontrato electico en ducterias muros</t>
  </si>
  <si>
    <t xml:space="preserve">Luis Araya</t>
  </si>
  <si>
    <t xml:space="preserve">Responder correo a EFCO por equipos de perdida total</t>
  </si>
  <si>
    <t xml:space="preserve">Confirmar llegada de material WEBER para EIFS</t>
  </si>
  <si>
    <t xml:space="preserve">Solicitud de material granular para drenes de muro contención</t>
  </si>
  <si>
    <t xml:space="preserve">Socalzado Muro contención</t>
  </si>
  <si>
    <t xml:space="preserve">Materiales y Mano de obra</t>
  </si>
  <si>
    <t xml:space="preserve">Aplicar agua cemento en paredes de excavación pilas</t>
  </si>
  <si>
    <t xml:space="preserve">Pilas</t>
  </si>
  <si>
    <t xml:space="preserve">Materiales </t>
  </si>
  <si>
    <t xml:space="preserve">Tablones para pilas </t>
  </si>
  <si>
    <t xml:space="preserve">Enfierradura para pilas</t>
  </si>
  <si>
    <t xml:space="preserve">Cotizar y comprar expansor. Igualmente cotizar hormigón premezclado con expansor</t>
  </si>
  <si>
    <t xml:space="preserve">Relleno Radieres</t>
  </si>
  <si>
    <t xml:space="preserve">Ayudante para Gasfíter en terreno</t>
  </si>
  <si>
    <t xml:space="preserve">Juvenal Soto</t>
  </si>
  <si>
    <t xml:space="preserve">Petróleo</t>
  </si>
  <si>
    <t xml:space="preserve">Pasadas proyecto petróleo</t>
  </si>
  <si>
    <t xml:space="preserve">Estacionamientos</t>
  </si>
  <si>
    <t xml:space="preserve">Pavimentos Exteriores</t>
  </si>
  <si>
    <t xml:space="preserve">Entregar propuesta de planos con pavimentos exteriores</t>
  </si>
  <si>
    <t xml:space="preserve">Mario Verdugo y Javier Aguirre</t>
  </si>
  <si>
    <t xml:space="preserve">Muro de contención </t>
  </si>
  <si>
    <t xml:space="preserve">Reprogramar trabajos de drenes muro de contención en zona tramo 3</t>
  </si>
  <si>
    <t xml:space="preserve">Informacion</t>
  </si>
  <si>
    <t xml:space="preserve">Reprogramar muro de contencion del tramo 2</t>
  </si>
  <si>
    <t xml:space="preserve">Hormigon</t>
  </si>
  <si>
    <t xml:space="preserve">Hormigonar muro eje L en zona 3 para terminar moldaje de losa</t>
  </si>
  <si>
    <t xml:space="preserve">Hormigon Losa</t>
  </si>
  <si>
    <t xml:space="preserve">Pasadas de losa en zona 3 </t>
  </si>
  <si>
    <t xml:space="preserve">Felipe Gonzalez y/o Javier Aguirre</t>
  </si>
  <si>
    <t xml:space="preserve">Equipo</t>
  </si>
  <si>
    <t xml:space="preserve">Ver andamios con ruedas</t>
  </si>
  <si>
    <t xml:space="preserve">Patricio Bariientos</t>
  </si>
  <si>
    <t xml:space="preserve">Liberar moldaje manto para el muro de contención para poder cumplir con programación</t>
  </si>
  <si>
    <t xml:space="preserve">Wilson Campos</t>
  </si>
  <si>
    <t xml:space="preserve">Levantar rendimiento de descimbre</t>
  </si>
  <si>
    <t xml:space="preserve">Limpieza de sobrecimientos para hormigonado dia miercoles 16-04</t>
  </si>
  <si>
    <t xml:space="preserve">Jose Cerpa</t>
  </si>
  <si>
    <t xml:space="preserve">Enlucidos de yeso</t>
  </si>
  <si>
    <t xml:space="preserve">Buscar subcontrato de yeso</t>
  </si>
  <si>
    <t xml:space="preserve">EXTERIORES</t>
  </si>
  <si>
    <t xml:space="preserve">PAVIMENTOS EXTERIROES</t>
  </si>
  <si>
    <t xml:space="preserve">Traspasado niveles exteriores a los murtos de contencion y muros del edificio</t>
  </si>
  <si>
    <t xml:space="preserve">Informacion altura llave Jardin en eje H para instalacion de sistema EIFS</t>
  </si>
  <si>
    <t xml:space="preserve">Revision altura revestimientos exterior para terminar coronaciones</t>
  </si>
  <si>
    <t xml:space="preserve">Programacion empalme provisiorio agua potable.</t>
  </si>
  <si>
    <t xml:space="preserve">Eléctrico</t>
  </si>
  <si>
    <t xml:space="preserve">Información trinchera para eléctrico</t>
  </si>
  <si>
    <t xml:space="preserve">Luis Aguilar y Ernesto Castro</t>
  </si>
  <si>
    <t xml:space="preserve">Z5</t>
  </si>
  <si>
    <t xml:space="preserve">Moldaje</t>
  </si>
  <si>
    <t xml:space="preserve">equipo</t>
  </si>
  <si>
    <t xml:space="preserve">Ver equipo faltante para coodirnar despacho</t>
  </si>
  <si>
    <t xml:space="preserve">Z1 - Z2</t>
  </si>
  <si>
    <t xml:space="preserve">Ver tema de Anclajes de Fachada Ventilada</t>
  </si>
  <si>
    <t xml:space="preserve">Hunter Douglas y Dario Marro</t>
  </si>
  <si>
    <t xml:space="preserve">coodinar despacho material faltante losa 5</t>
  </si>
  <si>
    <t xml:space="preserve">ver forma de mantener seca losas de zona 1 y 2</t>
  </si>
  <si>
    <t xml:space="preserve">Ductos de Climatizacion</t>
  </si>
  <si>
    <t xml:space="preserve">Descubrir pasadas de climatizacion en zona 1</t>
  </si>
  <si>
    <t xml:space="preserve">Pasadas de losa</t>
  </si>
  <si>
    <t xml:space="preserve">Descubri pasadas en zona 3 para electrico ya que estan con Hormigon</t>
  </si>
  <si>
    <t xml:space="preserve">Tabiques </t>
  </si>
  <si>
    <t xml:space="preserve">Despacho tronillos 6x2" para segunda </t>
  </si>
  <si>
    <t xml:space="preserve">Martias Oyarce</t>
  </si>
  <si>
    <t xml:space="preserve">Centro electrico de enchufe</t>
  </si>
  <si>
    <t xml:space="preserve">Agregar enchufe a piso adicional en sala rehabilitacion</t>
  </si>
  <si>
    <t xml:space="preserve">Regularizar cambio de materialidad de acero a ppr en proyecto clima</t>
  </si>
  <si>
    <t xml:space="preserve">Felipe Gutierrez</t>
  </si>
  <si>
    <t xml:space="preserve">Climatizacion</t>
  </si>
  <si>
    <t xml:space="preserve">Solucion de pasada de muro  de ductos por no ejecucion en muros de hormigon</t>
  </si>
  <si>
    <t xml:space="preserve">MOLDAJES</t>
  </si>
  <si>
    <t xml:space="preserve">DISEÑO</t>
  </si>
  <si>
    <t xml:space="preserve">Interferencia enchufe y muebles aereos Sala de servicios Externos</t>
  </si>
  <si>
    <t xml:space="preserve">1-2-3</t>
  </si>
  <si>
    <t xml:space="preserve">IMPERMEABILIZACION</t>
  </si>
  <si>
    <t xml:space="preserve">PROGRAMACION</t>
  </si>
  <si>
    <t xml:space="preserve">Programar instalacion Poliestireno sobre losa</t>
  </si>
  <si>
    <t xml:space="preserve">Informacion de estructura de puertas corta fuego</t>
  </si>
  <si>
    <t xml:space="preserve">Cristian hernandez</t>
  </si>
  <si>
    <t xml:space="preserve">Artefactos sanitarios </t>
  </si>
  <si>
    <t xml:space="preserve">Compra</t>
  </si>
  <si>
    <t xml:space="preserve">Gestionar compra de artefactos Sanitarios </t>
  </si>
  <si>
    <t xml:space="preserve">Estructura Metalica </t>
  </si>
  <si>
    <t xml:space="preserve">Taladros y brocas para perforacion de costaneras</t>
  </si>
  <si>
    <t xml:space="preserve">Jimmy jara</t>
  </si>
  <si>
    <t xml:space="preserve">Despachar moldaje de losa en zona 6</t>
  </si>
  <si>
    <t xml:space="preserve">Llave de torque para estructura metalica</t>
  </si>
  <si>
    <t xml:space="preserve">Hormigones</t>
  </si>
  <si>
    <t xml:space="preserve">Pasada de losa en zona 4 para tuberia de clima para alimentacion de UMA</t>
  </si>
  <si>
    <t xml:space="preserve">Revisar de forma general pasadas</t>
  </si>
  <si>
    <t xml:space="preserve">Javier Aguirre</t>
  </si>
  <si>
    <t xml:space="preserve">Pasadas de losa en sector 6 entre 3 y 4</t>
  </si>
  <si>
    <t xml:space="preserve">Electricidada</t>
  </si>
  <si>
    <t xml:space="preserve">Trazado de equipos e iluminacion en radieres</t>
  </si>
  <si>
    <t xml:space="preserve">Matias Perez</t>
  </si>
  <si>
    <t xml:space="preserve"> ejecucion de pasadas de ducto en muros
en total son 3 </t>
  </si>
  <si>
    <t xml:space="preserve">Jimmy Jara y Julio Morales</t>
  </si>
  <si>
    <t xml:space="preserve">15-07-20025</t>
  </si>
  <si>
    <t xml:space="preserve">Coordinacion</t>
  </si>
  <si>
    <t xml:space="preserve">Se enviara a chofer de bodega a San Carlos a buscar testiguera de Juvenal Soto</t>
  </si>
  <si>
    <t xml:space="preserve">Confirmacion de proposicion de detalles de desague y conexión equipo Fancoil.</t>
  </si>
  <si>
    <t xml:space="preserve">Enviar formalidad  Propuesta de pasada de ductos de clima en losa con pasada mas pequeña
dibujo</t>
  </si>
  <si>
    <t xml:space="preserve">Sanitario</t>
  </si>
  <si>
    <t xml:space="preserve">ver tema de artefactos sanitarios en baños universales</t>
  </si>
  <si>
    <t xml:space="preserve">Z1-Z2</t>
  </si>
  <si>
    <t xml:space="preserve">Estructura Metalica</t>
  </si>
  <si>
    <t xml:space="preserve">Cubicacion</t>
  </si>
  <si>
    <t xml:space="preserve">entregar cubicaciones de pintura intumescente</t>
  </si>
  <si>
    <t xml:space="preserve">General obra</t>
  </si>
  <si>
    <t xml:space="preserve">Programacion intermedia</t>
  </si>
  <si>
    <t xml:space="preserve">Insonorizacion</t>
  </si>
  <si>
    <t xml:space="preserve">Paneles Acusticos distribucion de paneles faltantes</t>
  </si>
  <si>
    <t xml:space="preserve">Definicion de fluxores con piezas especiales y retiro de perfil acero 75x75</t>
  </si>
  <si>
    <t xml:space="preserve">Electricidad</t>
  </si>
  <si>
    <t xml:space="preserve">Ver tema de inicio de trabajos de escalerilla en pasillo doble altura</t>
  </si>
  <si>
    <t xml:space="preserve">Instalacion Tableros Electricos.</t>
  </si>
  <si>
    <t xml:space="preserve">Material</t>
  </si>
  <si>
    <t xml:space="preserve">Ver angulos para trinchera de grupo generador</t>
  </si>
  <si>
    <t xml:space="preserve">Dosificacion para hormigones in situ</t>
  </si>
  <si>
    <t xml:space="preserve">Reprogramar reparaciones de Vanos de portones</t>
  </si>
  <si>
    <t xml:space="preserve">Pasadas de ductos de clima en zona doble altura.</t>
  </si>
  <si>
    <t xml:space="preserve">Estanque agua potable</t>
  </si>
  <si>
    <t xml:space="preserve">Dar nivel de altura terminacion muros de estanque agua potable</t>
  </si>
  <si>
    <t xml:space="preserve">Programacion de obra</t>
  </si>
  <si>
    <t xml:space="preserve">Reprogramacion de instalacion Planchas yeso carton</t>
  </si>
  <si>
    <t xml:space="preserve">Reprogramacion pintura intumescente en base a rendimientos</t>
  </si>
  <si>
    <t xml:space="preserve">Instalacion de faena</t>
  </si>
  <si>
    <t xml:space="preserve">Atriles para tableros electricos de faena</t>
  </si>
  <si>
    <t xml:space="preserve">Cielos</t>
  </si>
  <si>
    <t xml:space="preserve">Trazado de equipos fancoil en losa de cada recinto</t>
  </si>
  <si>
    <t xml:space="preserve">Pintura</t>
  </si>
  <si>
    <t xml:space="preserve">Solicitar medidor de micras para intumcescente</t>
  </si>
  <si>
    <t xml:space="preserve">Tapas prefabricadas para camaras de aguas lluvias </t>
  </si>
  <si>
    <t xml:space="preserve">ver tema de retenedor para puertas corta fuego</t>
  </si>
  <si>
    <t xml:space="preserve">solicitar cholguan para proteccion de pisos</t>
  </si>
  <si>
    <t xml:space="preserve">Materialidad</t>
  </si>
  <si>
    <t xml:space="preserve">Consultar a Loma alta traera caja para valvula de agua potable</t>
  </si>
  <si>
    <t xml:space="preserve">Pinturas</t>
  </si>
  <si>
    <t xml:space="preserve">Se reprograma pintura Latex</t>
  </si>
  <si>
    <t xml:space="preserve">Instalaciones Sanitarias</t>
  </si>
  <si>
    <t xml:space="preserve">Reprogramar tuberias aguas lluvias</t>
  </si>
  <si>
    <t xml:space="preserve">Mantencion</t>
  </si>
  <si>
    <t xml:space="preserve">Cotizar maquina de soldar por sobre 160 </t>
  </si>
  <si>
    <t xml:space="preserve">Combustible</t>
  </si>
  <si>
    <t xml:space="preserve">Programar pasadas </t>
  </si>
  <si>
    <t xml:space="preserve">ZONA TECNICA Y Z7</t>
  </si>
  <si>
    <t xml:space="preserve">Programar combustible</t>
  </si>
  <si>
    <t xml:space="preserve">electrico y sanitario</t>
  </si>
  <si>
    <t xml:space="preserve">Programar especialidades en cielos Box dental</t>
  </si>
  <si>
    <t xml:space="preserve">Alcantarillado</t>
  </si>
  <si>
    <t xml:space="preserve">Proceso Constructivo</t>
  </si>
  <si>
    <t xml:space="preserve">Planificacion trabajos de atravieso calle 14</t>
  </si>
  <si>
    <t xml:space="preserve">Julio Morales - Juvenal Soto y Alejandro</t>
  </si>
  <si>
    <t xml:space="preserve">Proyecto Acustico</t>
  </si>
  <si>
    <t xml:space="preserve">Entregar altura para barrera acustica sobre zona 7</t>
  </si>
  <si>
    <t xml:space="preserve">Instalaciones</t>
  </si>
  <si>
    <t xml:space="preserve">Programar actividad reparacion bajadas ISAMED RDI</t>
  </si>
  <si>
    <t xml:space="preserve">Programacion ISAMED con actividades</t>
  </si>
  <si>
    <t xml:space="preserve">Programacion red agua potable baños Z3 -Z4 - Z5 en cielos</t>
  </si>
  <si>
    <t xml:space="preserve">1 y 2</t>
  </si>
  <si>
    <t xml:space="preserve">Hojalateria</t>
  </si>
  <si>
    <t xml:space="preserve">Programacion Pletinas para instalacion hojalateria</t>
  </si>
  <si>
    <t xml:space="preserve">Revestimiento exterior</t>
  </si>
  <si>
    <t xml:space="preserve">Programar trabajos sobrecimiento EIFS</t>
  </si>
  <si>
    <t xml:space="preserve">Cubierta</t>
  </si>
  <si>
    <t xml:space="preserve">Estructuracion</t>
  </si>
  <si>
    <t xml:space="preserve">Modificacion Estructura UMAS</t>
  </si>
  <si>
    <t xml:space="preserve">Solicitar reunion con Juvenal 27-10</t>
  </si>
  <si>
    <t xml:space="preserve">CUBIERTA</t>
  </si>
  <si>
    <t xml:space="preserve">Impermeabilizacion</t>
  </si>
  <si>
    <t xml:space="preserve">Modificacion de programacion de Setipol</t>
  </si>
  <si>
    <t xml:space="preserve">Agua potable y electricidad</t>
  </si>
  <si>
    <t xml:space="preserve">ver proyecto de riego con agua potable y electricidad</t>
  </si>
  <si>
    <t xml:space="preserve">Pavimentos</t>
  </si>
  <si>
    <t xml:space="preserve">programar Sello estacionamientos</t>
  </si>
  <si>
    <t xml:space="preserve">programar reparacion en estacionamiento</t>
  </si>
  <si>
    <t xml:space="preserve">Estructura vulcomental</t>
  </si>
  <si>
    <t xml:space="preserve">Programar sellado de fronton en zona 1</t>
  </si>
  <si>
    <t xml:space="preserve">Programar  trazados de focos de iluminacion </t>
  </si>
  <si>
    <t xml:space="preserve">Programar cuellos camaras estanque agua potable</t>
  </si>
  <si>
    <t xml:space="preserve">Programar actividades sanitaria en polideportivo</t>
  </si>
  <si>
    <t xml:space="preserve">TERMINACION FINA</t>
  </si>
  <si>
    <t xml:space="preserve">Pisos</t>
  </si>
  <si>
    <t xml:space="preserve">Programar instalacion piso vinilico en sala servidores</t>
  </si>
  <si>
    <t xml:space="preserve">programar picado para retenedores de puertas </t>
  </si>
  <si>
    <t xml:space="preserve">comprar tubo para caldera</t>
  </si>
  <si>
    <t xml:space="preserve">Z1 Y Z2</t>
  </si>
  <si>
    <t xml:space="preserve">Agregar a programacion partida de Esmalte en cielos </t>
  </si>
  <si>
    <t xml:space="preserve">Agregar a programacion partida de Esmalte en muros</t>
  </si>
  <si>
    <t xml:space="preserve">Agregar a programacion partida de focos de iluminacion en cileos </t>
  </si>
  <si>
    <t xml:space="preserve">Agregar a programacion partida de artefactos electricos en muros</t>
  </si>
  <si>
    <t xml:space="preserve">entregar medidas de camaras y rejilla estanque agua potable.</t>
  </si>
  <si>
    <t xml:space="preserve">Instalar ventilaciones Estanque agua potable.</t>
  </si>
  <si>
    <t xml:space="preserve">comprar tapas metalicas para estanque agua potable
1,20 x1,20 0,9x0,90 2 unis</t>
  </si>
  <si>
    <t xml:space="preserve">Dar punto exacto de alimentacion de riego</t>
  </si>
  <si>
    <t xml:space="preserve">INDICE DE PRODUCTIVIDAD SEMANAL </t>
  </si>
  <si>
    <t xml:space="preserve">CT.RF.LP.IS.04-13 Rev. 0</t>
  </si>
  <si>
    <t xml:space="preserve">PORCENTAJE DE ACT. COMPLETADAS</t>
  </si>
  <si>
    <t xml:space="preserve">PORCENTAJE CUMPL. PROGRAMA</t>
  </si>
  <si>
    <t xml:space="preserve">CAUSAS DE NO CUMPLIMIENTO PORCENTUALES</t>
  </si>
  <si>
    <t xml:space="preserve"> Evaluacion De Subcontratos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</si>
  <si>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</si>
  <si>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</si>
  <si>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</si>
  <si>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</si>
  <si>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</si>
  <si>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</si>
  <si>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</si>
  <si>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</si>
  <si>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</si>
  <si>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</si>
  <si>
    <t xml:space="preserve">ENERO</t>
  </si>
  <si>
    <t xml:space="preserve">FEBRERO</t>
  </si>
  <si>
    <t xml:space="preserve">Subcontrato    </t>
  </si>
  <si>
    <t xml:space="preserve">CA</t>
  </si>
  <si>
    <t xml:space="preserve">S</t>
  </si>
  <si>
    <t xml:space="preserve">A.A</t>
  </si>
  <si>
    <t xml:space="preserve">  P</t>
  </si>
  <si>
    <t xml:space="preserve">CO</t>
  </si>
  <si>
    <t xml:space="preserve">PROMEDIO</t>
  </si>
  <si>
    <t xml:space="preserve">JS Instalaciones Sanitarias</t>
  </si>
  <si>
    <t xml:space="preserve">SIMBOLOGIA</t>
  </si>
  <si>
    <t xml:space="preserve">Loma Alta Electricidad Ltda</t>
  </si>
  <si>
    <t xml:space="preserve">MUEBLE ALUM</t>
  </si>
  <si>
    <t xml:space="preserve">VENESUR</t>
  </si>
  <si>
    <t xml:space="preserve">Muebles y cubiertas Talca spa</t>
  </si>
  <si>
    <t xml:space="preserve">INVERSIONES MANCERA SPA</t>
  </si>
  <si>
    <t xml:space="preserve">Consoring spa</t>
  </si>
  <si>
    <t xml:space="preserve">ALPERPRO</t>
  </si>
  <si>
    <t xml:space="preserve">ISAMED spa</t>
  </si>
  <si>
    <t xml:space="preserve">CONSTRUCTORA Y SERVICIOS MG SPA</t>
  </si>
  <si>
    <t xml:space="preserve">Omar Mardones ( Enfierradura)</t>
  </si>
  <si>
    <t xml:space="preserve">Constructora Torres de Valle spa</t>
  </si>
  <si>
    <t xml:space="preserve">Constructora 4S Ltda</t>
  </si>
  <si>
    <t xml:space="preserve">PLAN MAESTRO REPOSICIÓN CONSULTORIO GENERAL RURAL CURANIPE, COMUNA DE PELLUHUE</t>
  </si>
  <si>
    <t xml:space="preserve">CORRESPONDIENTE</t>
  </si>
  <si>
    <t xml:space="preserve">DUR. ESTIMADA (MESES)</t>
  </si>
  <si>
    <t xml:space="preserve">26</t>
  </si>
  <si>
    <t xml:space="preserve">29</t>
  </si>
  <si>
    <t xml:space="preserve">6</t>
  </si>
  <si>
    <t xml:space="preserve">13</t>
  </si>
  <si>
    <t xml:space="preserve">20</t>
  </si>
  <si>
    <t xml:space="preserve">27</t>
  </si>
  <si>
    <t xml:space="preserve">3</t>
  </si>
  <si>
    <t xml:space="preserve">10</t>
  </si>
  <si>
    <t xml:space="preserve">17</t>
  </si>
  <si>
    <t xml:space="preserve">24</t>
  </si>
  <si>
    <t xml:space="preserve">31</t>
  </si>
  <si>
    <t xml:space="preserve">7</t>
  </si>
  <si>
    <t xml:space="preserve">14</t>
  </si>
  <si>
    <t xml:space="preserve">21</t>
  </si>
  <si>
    <t xml:space="preserve">28</t>
  </si>
  <si>
    <t xml:space="preserve">4</t>
  </si>
  <si>
    <t xml:space="preserve">11</t>
  </si>
  <si>
    <t xml:space="preserve">18</t>
  </si>
  <si>
    <t xml:space="preserve">25</t>
  </si>
  <si>
    <t xml:space="preserve">2</t>
  </si>
  <si>
    <t xml:space="preserve">9</t>
  </si>
  <si>
    <t xml:space="preserve">16</t>
  </si>
  <si>
    <t xml:space="preserve">23</t>
  </si>
  <si>
    <t xml:space="preserve">30</t>
  </si>
  <si>
    <t xml:space="preserve">1</t>
  </si>
  <si>
    <t xml:space="preserve">8</t>
  </si>
  <si>
    <t xml:space="preserve">15</t>
  </si>
  <si>
    <t xml:space="preserve">22</t>
  </si>
  <si>
    <t xml:space="preserve">5</t>
  </si>
  <si>
    <t xml:space="preserve">12</t>
  </si>
  <si>
    <t xml:space="preserve">19</t>
  </si>
  <si>
    <t xml:space="preserve">PLAZO TOTAL</t>
  </si>
  <si>
    <t xml:space="preserve">OBRAS PRELIMINARES</t>
  </si>
  <si>
    <t xml:space="preserve">INSTALACIÓN DE FAENAS, INSTALACIONES PROVISORIAS, CIERRE PROVISORIO</t>
  </si>
  <si>
    <t xml:space="preserve">FUNDACIÓN GRÚA</t>
  </si>
  <si>
    <t xml:space="preserve">GRÚA</t>
  </si>
  <si>
    <t xml:space="preserve">EDIFICIO PRINCIPAL + RECINTO TECNICO</t>
  </si>
  <si>
    <t xml:space="preserve">EXCAVACIONES</t>
  </si>
  <si>
    <t xml:space="preserve">ACERO DE REFUERZO</t>
  </si>
  <si>
    <t xml:space="preserve">HORMIGONES</t>
  </si>
  <si>
    <t xml:space="preserve">IMPERMEABILIZACION HORMIGONES DE FUNDACION</t>
  </si>
  <si>
    <t xml:space="preserve">SOBRELOSA</t>
  </si>
  <si>
    <t xml:space="preserve">CUBIERTA E IMPERMEABILIZACION</t>
  </si>
  <si>
    <t xml:space="preserve">TERMINACIÓN GRUESA</t>
  </si>
  <si>
    <t xml:space="preserve">TABIQUES</t>
  </si>
  <si>
    <t xml:space="preserve">YESOS Y ESTUCOS</t>
  </si>
  <si>
    <t xml:space="preserve">AISLACION TERMICA EIFS</t>
  </si>
  <si>
    <t xml:space="preserve">VENTANAS</t>
  </si>
  <si>
    <t xml:space="preserve">PUERTAS</t>
  </si>
  <si>
    <t xml:space="preserve">REVESTIMIENTOS INTERIORES CERAMICAS Y PORCELANATOS</t>
  </si>
  <si>
    <t xml:space="preserve">TERMINACIÓN FINA</t>
  </si>
  <si>
    <t xml:space="preserve">REVESTIMIENTO PISOS INTERIORES</t>
  </si>
  <si>
    <t xml:space="preserve">PINTURAS</t>
  </si>
  <si>
    <t xml:space="preserve">CIELOS DUROS</t>
  </si>
  <si>
    <t xml:space="preserve">CIELOS MODULARES</t>
  </si>
  <si>
    <t xml:space="preserve">REVESTIMIENTOS EXTERIORES</t>
  </si>
  <si>
    <t xml:space="preserve">EQUIPAMIENTO</t>
  </si>
  <si>
    <t xml:space="preserve">ARTEFACTOS SANITARIOS</t>
  </si>
  <si>
    <t xml:space="preserve">ARTEFACTOS ELECTRICOS</t>
  </si>
  <si>
    <t xml:space="preserve">ILUMINACION</t>
  </si>
  <si>
    <t xml:space="preserve">MUEBLES</t>
  </si>
  <si>
    <t xml:space="preserve">INSTALACIONES SANITARIAS</t>
  </si>
  <si>
    <t xml:space="preserve">ESTANQUE AGUA POTABLE ( OBRAS CIVILES Y EQUIPAMIENTO)</t>
  </si>
  <si>
    <t xml:space="preserve">CLIMATIZACION</t>
  </si>
  <si>
    <t xml:space="preserve">CHILLER POLIVALENTE</t>
  </si>
  <si>
    <t xml:space="preserve">GASES CLINICOS</t>
  </si>
  <si>
    <t xml:space="preserve">INSTALACIONES ELECTRICAS</t>
  </si>
  <si>
    <t xml:space="preserve">MALLA TIERRA</t>
  </si>
  <si>
    <t xml:space="preserve">GRUPO GENERADOR</t>
  </si>
  <si>
    <t xml:space="preserve">CABLEADO ESTRUCTURADO Y CORRIENTES DEBILES</t>
  </si>
  <si>
    <t xml:space="preserve">CONTROL CENTRALIZADO AUTOMATIZADO</t>
  </si>
  <si>
    <t xml:space="preserve">PROTECCIONES RADIOLOGICAS</t>
  </si>
  <si>
    <t xml:space="preserve">COMBUSTIBLE DIESEL</t>
  </si>
  <si>
    <t xml:space="preserve">MANEJO DE RECIDUOS</t>
  </si>
  <si>
    <t xml:space="preserve">PROTECCION CONTRA INCENDIOS Y VIAS DE EVACUACION</t>
  </si>
  <si>
    <t xml:space="preserve">INSONORIZACION</t>
  </si>
  <si>
    <t xml:space="preserve">SEÑALETICAS</t>
  </si>
  <si>
    <t xml:space="preserve">PAVIMENTACIÓN</t>
  </si>
  <si>
    <t xml:space="preserve">EQUIPAMIENTOEXTERIOR</t>
  </si>
  <si>
    <t xml:space="preserve">CIERRES PERIMETRALES DEFINITIVOS</t>
  </si>
  <si>
    <t xml:space="preserve">PAISAJISMO</t>
  </si>
  <si>
    <t xml:space="preserve">PROYECTO AGUAS LLUVIAS </t>
  </si>
  <si>
    <t xml:space="preserve">DRENES</t>
  </si>
  <si>
    <t xml:space="preserve">ENTREGA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</si>
</sst>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m/d/yyyy"/>
    <numFmt numFmtId="166" formatCode="General"/>
    <numFmt numFmtId="167" formatCode="0.00%"/>
    <numFmt numFmtId="168" formatCode="[$-C0A]d/mmm/yy;@"/>
    <numFmt numFmtId="169" formatCode="[$-C0A]dd/mmm/yy;@"/>
    <numFmt numFmtId="170" formatCode="[$-C0A]mmm/yy;@"/>
    <numFmt numFmtId="171" formatCode="0%"/>
    <numFmt numFmtId="172" formatCode="0.0%"/>
    <numFmt numFmtId="173" formatCode="d/m/yyyy"/>
    <numFmt numFmtId="174" formatCode="@"/>
    <numFmt numFmtId="175" formatCode="[$-C0A]mmmm/yy;@"/>
    <numFmt numFmtId="176" formatCode="dd/mm/yy;@"/>
    <numFmt numFmtId="177" formatCode="0.0"/>
  </numFmts>
  <fonts count="48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Calibri"/>
      <family val="2"/>
    </font>
    <font>
      <b val="true"/>
      <sz val="14"/>
      <name val="Arial"/>
      <family val="2"/>
    </font>
    <font>
      <b val="true"/>
      <sz val="14"/>
      <color theme="1"/>
      <name val="Arial"/>
      <family val="2"/>
    </font>
    <font>
      <b val="true"/>
      <sz val="24"/>
      <name val="Calibri"/>
      <family val="2"/>
    </font>
    <font>
      <b val="true"/>
      <sz val="14"/>
      <color theme="9" tint="-0.25"/>
      <name val="Calibri"/>
      <family val="2"/>
    </font>
    <font>
      <b val="true"/>
      <sz val="14"/>
      <color theme="1"/>
      <name val="Calibri"/>
      <family val="2"/>
    </font>
    <font>
      <sz val="14"/>
      <color theme="1"/>
      <name val="Trebuchet MS"/>
      <family val="2"/>
    </font>
    <font>
      <b val="true"/>
      <sz val="14"/>
      <color rgb="FFFFC000"/>
      <name val="Gill Sans Ultra Bold"/>
      <family val="2"/>
    </font>
    <font>
      <b val="true"/>
      <sz val="14"/>
      <color theme="9" tint="-0.25"/>
      <name val="Trebuchet MS"/>
      <family val="2"/>
    </font>
    <font>
      <sz val="16"/>
      <name val="Arial Narrow"/>
      <family val="2"/>
    </font>
    <font>
      <b val="true"/>
      <sz val="16"/>
      <color theme="1" tint="0.15"/>
      <name val="Arial Narrow"/>
      <family val="2"/>
    </font>
    <font>
      <b val="true"/>
      <sz val="16"/>
      <name val="Arial Narrow"/>
      <family val="2"/>
    </font>
    <font>
      <sz val="16"/>
      <color theme="1"/>
      <name val="Calibri"/>
      <family val="2"/>
    </font>
    <font>
      <sz val="16"/>
      <color rgb="FF0000FF"/>
      <name val="Arial Narrow"/>
      <family val="2"/>
    </font>
    <font>
      <sz val="16"/>
      <color theme="0"/>
      <name val="Arial Narrow"/>
      <family val="2"/>
    </font>
    <font>
      <sz val="10"/>
      <color rgb="FF000000"/>
      <name val="Calibri"/>
      <family val="2"/>
    </font>
    <font>
      <b val="true"/>
      <sz val="11"/>
      <color theme="1"/>
      <name val="Calibri"/>
      <family val="2"/>
    </font>
    <font>
      <b val="true"/>
      <sz val="18"/>
      <color theme="1"/>
      <name val="Calibri"/>
      <family val="2"/>
    </font>
    <font>
      <sz val="10"/>
      <name val="Arial Narrow"/>
      <family val="2"/>
    </font>
    <font>
      <b val="true"/>
      <sz val="20"/>
      <name val="Arial Narrow"/>
      <family val="2"/>
    </font>
    <font>
      <b val="true"/>
      <sz val="9"/>
      <color theme="1" tint="0.15"/>
      <name val="Arial Narrow"/>
      <family val="2"/>
    </font>
    <font>
      <b val="true"/>
      <sz val="10"/>
      <color theme="1" tint="0.15"/>
      <name val="Arial Narrow"/>
      <family val="2"/>
    </font>
    <font>
      <sz val="8"/>
      <color theme="1"/>
      <name val="Calibri"/>
      <family val="2"/>
    </font>
    <font>
      <b val="true"/>
      <sz val="8"/>
      <color theme="4"/>
      <name val="Calibri"/>
      <family val="2"/>
    </font>
    <font>
      <sz val="10"/>
      <color theme="1"/>
      <name val="Calibri"/>
      <family val="2"/>
    </font>
    <font>
      <b val="true"/>
      <sz val="8"/>
      <color rgb="FFFF0000"/>
      <name val="Calibri"/>
      <family val="2"/>
    </font>
    <font>
      <sz val="11"/>
      <name val="Arial Narrow"/>
      <family val="2"/>
    </font>
    <font>
      <sz val="10"/>
      <name val="Arial"/>
      <family val="2"/>
    </font>
    <font>
      <sz val="9"/>
      <color rgb="FF000000"/>
      <name val="Tahoma"/>
      <family val="2"/>
    </font>
    <font>
      <sz val="14"/>
      <color rgb="FF595959"/>
      <name val="Calibri"/>
      <family val="2"/>
    </font>
    <font>
      <sz val="9"/>
      <color rgb="FF595959"/>
      <name val="Calibri"/>
      <family val="2"/>
    </font>
    <font>
      <b val="true"/>
      <sz val="18"/>
      <color rgb="FF404040"/>
      <name val="Calibri"/>
      <family val="2"/>
    </font>
    <font>
      <b val="true"/>
      <sz val="9"/>
      <color rgb="FFFFFFFF"/>
      <name val="Calibri"/>
      <family val="2"/>
    </font>
    <font>
      <sz val="9"/>
      <color rgb="FF404040"/>
      <name val="Calibri"/>
      <family val="2"/>
    </font>
    <font>
      <b val="true"/>
      <sz val="16"/>
      <color theme="1"/>
      <name val="Arial Narrow"/>
      <family val="2"/>
    </font>
    <font>
      <b val="true"/>
      <sz val="12"/>
      <color theme="1"/>
      <name val="Arial Narrow"/>
      <family val="2"/>
    </font>
    <font>
      <sz val="12"/>
      <color theme="1"/>
      <name val="Arial Narrow"/>
      <family val="2"/>
    </font>
    <font>
      <b val="true"/>
      <sz val="12"/>
      <color theme="0"/>
      <name val="Arial Narrow"/>
      <family val="2"/>
    </font>
    <font>
      <b val="true"/>
      <sz val="36"/>
      <color theme="1"/>
      <name val="Times New Roman"/>
      <family val="1"/>
    </font>
    <font>
      <b val="true"/>
      <sz val="20"/>
      <color theme="1"/>
      <name val="Times New Roman"/>
      <family val="1"/>
    </font>
    <font>
      <b val="true"/>
      <sz val="20"/>
      <color rgb="FFFF0000"/>
      <name val="Times New Roman"/>
      <family val="1"/>
    </font>
    <font>
      <sz val="20"/>
      <color theme="1"/>
      <name val="Times New Roman"/>
      <family val="1"/>
    </font>
    <font>
      <sz val="20"/>
      <color rgb="FFFF0000"/>
      <name val="Times New Roman"/>
      <family val="1"/>
    </font>
    <font>
      <b val="true"/>
      <sz val="20"/>
      <name val="Times New Roman"/>
      <family val="1"/>
    </font>
  </fonts>
  <fills count="20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theme="4" tint="0.7999"/>
        <bgColor rgb="FFF2F2F2"/>
      </patternFill>
    </fill>
    <fill>
      <patternFill patternType="solid">
        <fgColor theme="0" tint="-0.15"/>
        <bgColor rgb="FFD8D8D8"/>
      </patternFill>
    </fill>
    <fill>
      <patternFill patternType="solid">
        <fgColor theme="0" tint="-0.25"/>
        <bgColor rgb="FFD8D8D8"/>
      </patternFill>
    </fill>
    <fill>
      <patternFill patternType="solid">
        <fgColor rgb="FFFF0000"/>
        <bgColor rgb="FF9C0006"/>
      </patternFill>
    </fill>
    <fill>
      <patternFill patternType="solid">
        <fgColor theme="7" tint="0.7999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8080"/>
      </patternFill>
    </fill>
    <fill>
      <patternFill patternType="solid">
        <fgColor rgb="FFFFCCFF"/>
        <bgColor rgb="FFFFC7CE"/>
      </patternFill>
    </fill>
    <fill>
      <patternFill patternType="solid">
        <fgColor rgb="FF92D050"/>
        <bgColor rgb="FFBFBFBF"/>
      </patternFill>
    </fill>
    <fill>
      <patternFill patternType="solid">
        <fgColor rgb="FFFF66CC"/>
        <bgColor rgb="FFD97F53"/>
      </patternFill>
    </fill>
    <fill>
      <patternFill patternType="solid">
        <fgColor rgb="FF00B0F0"/>
        <bgColor rgb="FF008080"/>
      </patternFill>
    </fill>
    <fill>
      <patternFill patternType="solid">
        <fgColor theme="4" tint="-0.25"/>
        <bgColor rgb="FF0066CC"/>
      </patternFill>
    </fill>
    <fill>
      <patternFill patternType="solid">
        <fgColor theme="0" tint="-0.05"/>
        <bgColor rgb="FFDEEBF7"/>
      </patternFill>
    </fill>
    <fill>
      <patternFill patternType="solid">
        <fgColor theme="3" tint="0.3999"/>
        <bgColor rgb="FF8B8B8B"/>
      </patternFill>
    </fill>
    <fill>
      <patternFill patternType="solid">
        <fgColor rgb="FFFFC000"/>
        <bgColor rgb="FFFF9900"/>
      </patternFill>
    </fill>
    <fill>
      <patternFill patternType="solid">
        <fgColor rgb="FFD8D8D8"/>
        <bgColor rgb="FFD9D9D9"/>
      </patternFill>
    </fill>
    <fill>
      <patternFill patternType="solid">
        <fgColor theme="8" tint="0.3999"/>
        <bgColor rgb="FF8497B0"/>
      </patternFill>
    </fill>
  </fills>
  <borders count="63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medium"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1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0" fillId="2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0" fillId="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1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3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2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4" fillId="4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4" fillId="4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5" fillId="5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5" fillId="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6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5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5" fillId="6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3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7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1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7" fillId="2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3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7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7" fillId="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3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3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7" fillId="2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3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3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4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2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2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3" fillId="2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2" borderId="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2" borderId="4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4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2" borderId="1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2" borderId="4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4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20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3" borderId="1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1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1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2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3" borderId="17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18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3" borderId="18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19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1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2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2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5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5" fillId="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0" fillId="2" borderId="4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0" fillId="2" borderId="4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0" fillId="2" borderId="5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0" fillId="2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0" fillId="2" borderId="3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0" fillId="2" borderId="41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75" fontId="0" fillId="2" borderId="4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0" fillId="0" borderId="3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0" fillId="2" borderId="2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0" fillId="2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0" fillId="2" borderId="4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26" fillId="2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6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6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6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6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6" fillId="2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6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6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6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6" fillId="2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6" fillId="2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6" fillId="2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6" fillId="0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6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6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6" fillId="2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6" fillId="2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6" fillId="2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2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8" fillId="2" borderId="3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8" fillId="2" borderId="9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8" fillId="2" borderId="1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8" fillId="2" borderId="1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8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8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8" fillId="2" borderId="1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8" fillId="2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8" fillId="2" borderId="4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8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8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8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8" fillId="0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0" borderId="4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8" fillId="8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8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8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8" fillId="2" borderId="5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8" fillId="2" borderId="1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8" fillId="2" borderId="1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8" fillId="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8" fillId="2" borderId="1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8" fillId="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8" fillId="2" borderId="1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8" fillId="2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8" fillId="2" borderId="5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8" fillId="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8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8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8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8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8" fillId="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8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5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0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5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4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15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0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5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4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15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15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0" fillId="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5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5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1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0" fillId="4" borderId="4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2" borderId="4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2" borderId="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2" borderId="6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2" borderId="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2" borderId="7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2" borderId="49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30" fillId="4" borderId="4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2" borderId="4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2" borderId="9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2" borderId="1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2" borderId="1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2" borderId="1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2" borderId="3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30" fillId="4" borderId="5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2" borderId="5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2" borderId="1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2" borderId="14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0" fillId="2" borderId="14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2" borderId="1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0" fillId="2" borderId="53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1" fillId="16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16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16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16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1" fillId="16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1" fillId="16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16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17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1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17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0" borderId="5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7" fontId="0" fillId="0" borderId="3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5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0" fillId="0" borderId="5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2" fillId="18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3" fillId="18" borderId="3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18" borderId="4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8" borderId="3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8" borderId="5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18" borderId="5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18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43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43" fillId="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43" fillId="8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43" fillId="8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43" fillId="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43" fillId="8" borderId="6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43" fillId="8" borderId="6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43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43" fillId="0" borderId="6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43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43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43" fillId="0" borderId="6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18" borderId="6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3" fillId="18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43" fillId="17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43" fillId="17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43" fillId="17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43" fillId="17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43" fillId="17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43" fillId="6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43" fillId="6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43" fillId="6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43" fillId="6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43" fillId="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44" fillId="6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44" fillId="6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44" fillId="6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44" fillId="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44" fillId="6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18" borderId="5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18" borderId="3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5" fillId="8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5" fillId="8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5" fillId="8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5" fillId="0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5" fillId="0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5" fillId="0" borderId="4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5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5" fillId="0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5" fillId="8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6" fillId="0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6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6" fillId="0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6" fillId="0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6" fillId="8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6" fillId="8" borderId="4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6" fillId="8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6" fillId="8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6" fillId="8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6" fillId="19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6" fillId="19" borderId="4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6" fillId="19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6" fillId="19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5" fillId="19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5" fillId="19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5" fillId="19" borderId="4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4" fillId="18" borderId="5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4" fillId="18" borderId="3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4" fillId="18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17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5" fillId="17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5" fillId="17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5" fillId="17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5" fillId="17" borderId="4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5" fillId="6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5" fillId="6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5" fillId="6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5" fillId="6" borderId="4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5" fillId="6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5" fillId="8" borderId="4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5" fillId="19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5" fillId="19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5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5" fillId="2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5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19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3" fillId="18" borderId="3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5" fillId="19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18" borderId="5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18" borderId="3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7" fillId="18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18" borderId="3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19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19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2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0" borderId="1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5" fillId="0" borderId="1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5" fillId="0" borderId="1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5" fillId="0" borderId="1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5" fillId="0" borderId="5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5" fillId="19" borderId="1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5" fillId="19" borderId="1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5" fillId="19" borderId="15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3"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  <dxf>
      <font>
        <color rgb="FF9C0006"/>
      </font>
      <numFmt numFmtId="164" formatCode="General"/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548235"/>
      <rgbColor rgb="FF800080"/>
      <rgbColor rgb="FF008080"/>
      <rgbColor rgb="FFBFBFBF"/>
      <rgbColor rgb="FF8B8B8B"/>
      <rgbColor rgb="FF8FAADC"/>
      <rgbColor rgb="FFFF66CC"/>
      <rgbColor rgb="FFFFF2CC"/>
      <rgbColor rgb="FFDEEBF7"/>
      <rgbColor rgb="FF660066"/>
      <rgbColor rgb="FFD97F53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F2F2F2"/>
      <rgbColor rgb="FFD9D9D9"/>
      <rgbColor rgb="FFFFFF99"/>
      <rgbColor rgb="FF99CCFF"/>
      <rgbColor rgb="FFF1A78B"/>
      <rgbColor rgb="FFFFCCFF"/>
      <rgbColor rgb="FFFFC7CE"/>
      <rgbColor rgb="FF2E75B6"/>
      <rgbColor rgb="FF5B9BD5"/>
      <rgbColor rgb="FF92D050"/>
      <rgbColor rgb="FFFFC000"/>
      <rgbColor rgb="FFFF9900"/>
      <rgbColor rgb="FFED7D31"/>
      <rgbColor rgb="FF595959"/>
      <rgbColor rgb="FF8497B0"/>
      <rgbColor rgb="FF003366"/>
      <rgbColor rgb="FF00B050"/>
      <rgbColor rgb="FF003300"/>
      <rgbColor rgb="FF404040"/>
      <rgbColor rgb="FFCA6017"/>
      <rgbColor rgb="FF993366"/>
      <rgbColor rgb="FF333399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14282572036073"/>
          <c:y val="0.0174875089221984"/>
          <c:w val="0.915917589266075"/>
          <c:h val="0.9238490364025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'Last Planner-65'!$E$143:$E$143</c:f>
              <c:strCache>
                <c:ptCount val="1"/>
                <c:pt idx="0">
                  <c:v>FRECUENCIA</c:v>
                </c:pt>
              </c:strCache>
            </c:strRef>
          </c:tx>
          <c:spPr>
            <a:gradFill>
              <a:gsLst>
                <a:gs pos="0">
                  <a:srgbClr val="d97f53"/>
                </a:gs>
                <a:gs pos="50000">
                  <a:srgbClr val="da6c22"/>
                </a:gs>
                <a:gs pos="100000">
                  <a:srgbClr val="ca6017"/>
                </a:gs>
              </a:gsLst>
              <a:lin ang="5400000"/>
            </a:gra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'Last Planner-65'!$T$2:$T$10</c:f>
              <c:strCache>
                <c:ptCount val="9"/>
                <c:pt idx="0">
                  <c:v>Falta o Falla de Equipos</c:v>
                </c:pt>
                <c:pt idx="1">
                  <c:v>Falta Mano de Obra</c:v>
                </c:pt>
                <c:pt idx="2">
                  <c:v>Falta de Materiales</c:v>
                </c:pt>
                <c:pt idx="3">
                  <c:v>Falla de Subcontratistas</c:v>
                </c:pt>
                <c:pt idx="4">
                  <c:v>Eventos no programables (clima, despachos, etc.)</c:v>
                </c:pt>
                <c:pt idx="5">
                  <c:v>Falla de Programación</c:v>
                </c:pt>
                <c:pt idx="6">
                  <c:v>Cambio de Activ. Por el JT o AO</c:v>
                </c:pt>
                <c:pt idx="7">
                  <c:v>Indefinición de Proyecto o Diseño</c:v>
                </c:pt>
                <c:pt idx="8">
                  <c:v>Mala Ejecucion</c:v>
                </c:pt>
              </c:strCache>
            </c:strRef>
          </c:cat>
          <c:val>
            <c:numRef>
              <c:f>'Last Planner-65'!$E$144:$E$152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gapWidth val="150"/>
        <c:overlap val="0"/>
        <c:axId val="14480442"/>
        <c:axId val="17871718"/>
      </c:barChart>
      <c:lineChart>
        <c:grouping val="standard"/>
        <c:varyColors val="0"/>
        <c:ser>
          <c:idx val="1"/>
          <c:order val="1"/>
          <c:tx>
            <c:strRef>
              <c:f>'Last Planner-65'!$W$1:$W$1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1a78b"/>
            </a:solidFill>
            <a:ln w="44280">
              <a:solidFill>
                <a:srgbClr val="f1a78b"/>
              </a:solidFill>
              <a:round/>
            </a:ln>
          </c:spPr>
          <c:marker>
            <c:symbol val="square"/>
            <c:size val="7"/>
            <c:spPr>
              <a:solidFill>
                <a:srgbClr val="f1a78b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'Last Planner-65'!$T$2:$T$10</c:f>
              <c:strCache>
                <c:ptCount val="9"/>
                <c:pt idx="0">
                  <c:v>Falta o Falla de Equipos</c:v>
                </c:pt>
                <c:pt idx="1">
                  <c:v>Falta Mano de Obra</c:v>
                </c:pt>
                <c:pt idx="2">
                  <c:v>Falta de Materiales</c:v>
                </c:pt>
                <c:pt idx="3">
                  <c:v>Falla de Subcontratistas</c:v>
                </c:pt>
                <c:pt idx="4">
                  <c:v>Eventos no programables (clima, despachos, etc.)</c:v>
                </c:pt>
                <c:pt idx="5">
                  <c:v>Falla de Programación</c:v>
                </c:pt>
                <c:pt idx="6">
                  <c:v>Cambio de Activ. Por el JT o AO</c:v>
                </c:pt>
                <c:pt idx="7">
                  <c:v>Indefinición de Proyecto o Diseño</c:v>
                </c:pt>
                <c:pt idx="8">
                  <c:v>Mala Ejecucion</c:v>
                </c:pt>
              </c:strCache>
            </c:strRef>
          </c:cat>
          <c:val>
            <c:numRef>
              <c:f>'Last Planner-65'!$W$2:$W$10</c:f>
              <c:numCache>
                <c:formatCode>0.00%</c:formatCode>
                <c:ptCount val="9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2273524"/>
        <c:axId val="53529965"/>
      </c:lineChart>
      <c:catAx>
        <c:axId val="14480442"/>
        <c:scaling>
          <c:orientation val="minMax"/>
        </c:scaling>
        <c:delete val="0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871718"/>
        <c:crosses val="autoZero"/>
        <c:auto val="1"/>
        <c:lblAlgn val="ctr"/>
        <c:lblOffset val="100"/>
        <c:noMultiLvlLbl val="0"/>
      </c:catAx>
      <c:valAx>
        <c:axId val="17871718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480442"/>
        <c:crosses val="autoZero"/>
        <c:crossBetween val="between"/>
        <c:majorUnit val="1"/>
      </c:valAx>
      <c:catAx>
        <c:axId val="12273524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one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529965"/>
        <c:auto val="1"/>
        <c:lblAlgn val="ctr"/>
        <c:lblOffset val="100"/>
        <c:noMultiLvlLbl val="0"/>
      </c:catAx>
      <c:valAx>
        <c:axId val="53529965"/>
        <c:scaling>
          <c:orientation val="minMax"/>
          <c:max val="1"/>
        </c:scaling>
        <c:delete val="0"/>
        <c:axPos val="r"/>
        <c:numFmt formatCode="0.00%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273524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25560">
      <a:solidFill>
        <a:srgbClr val="000000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</a:rPr>
              <a:t>PORCENTAJE DE ACTIVIDADES COMPLETADAS (PAC)</a:t>
            </a:r>
          </a:p>
        </c:rich>
      </c:tx>
      <c:layout>
        <c:manualLayout>
          <c:xMode val="edge"/>
          <c:yMode val="edge"/>
          <c:x val="0.0193364228047701"/>
          <c:y val="0.0146207974980453"/>
        </c:manualLayout>
      </c:layout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5b9bd5"/>
            </a:solidFill>
            <a:ln cap="rnd" w="19080">
              <a:solidFill>
                <a:srgbClr val="5b9bd5"/>
              </a:solidFill>
              <a:round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Consolidado!$D$41:$BP$42</c:f>
              <c:multiLvlStrCache>
                <c:ptCount val="65"/>
                <c:lvl>
                  <c:pt idx="0">
                    <c:v>80.0%</c:v>
                  </c:pt>
                  <c:pt idx="1">
                    <c:v>80.0%</c:v>
                  </c:pt>
                  <c:pt idx="2">
                    <c:v>80.0%</c:v>
                  </c:pt>
                  <c:pt idx="3">
                    <c:v>#REF!</c:v>
                  </c:pt>
                  <c:pt idx="4">
                    <c:v>#REF!</c:v>
                  </c:pt>
                  <c:pt idx="5">
                    <c:v>66.0%</c:v>
                  </c:pt>
                  <c:pt idx="6">
                    <c:v>#REF!</c:v>
                  </c:pt>
                  <c:pt idx="7">
                    <c:v>#REF!</c:v>
                  </c:pt>
                  <c:pt idx="8">
                    <c:v>#REF!</c:v>
                  </c:pt>
                  <c:pt idx="9">
                    <c:v>#REF!</c:v>
                  </c:pt>
                  <c:pt idx="10">
                    <c:v>#REF!</c:v>
                  </c:pt>
                  <c:pt idx="11">
                    <c:v>#REF!</c:v>
                  </c:pt>
                  <c:pt idx="12">
                    <c:v>#REF!</c:v>
                  </c:pt>
                  <c:pt idx="13">
                    <c:v>#REF!</c:v>
                  </c:pt>
                  <c:pt idx="14">
                    <c:v>#REF!</c:v>
                  </c:pt>
                  <c:pt idx="15">
                    <c:v>#REF!</c:v>
                  </c:pt>
                  <c:pt idx="16">
                    <c:v>#REF!</c:v>
                  </c:pt>
                  <c:pt idx="17">
                    <c:v>#REF!</c:v>
                  </c:pt>
                  <c:pt idx="18">
                    <c:v>#REF!</c:v>
                  </c:pt>
                  <c:pt idx="19">
                    <c:v>#REF!</c:v>
                  </c:pt>
                  <c:pt idx="20">
                    <c:v>#REF!</c:v>
                  </c:pt>
                  <c:pt idx="21">
                    <c:v>#REF!</c:v>
                  </c:pt>
                  <c:pt idx="22">
                    <c:v>#REF!</c:v>
                  </c:pt>
                  <c:pt idx="23">
                    <c:v>#REF!</c:v>
                  </c:pt>
                  <c:pt idx="24">
                    <c:v>#REF!</c:v>
                  </c:pt>
                  <c:pt idx="25">
                    <c:v>#REF!</c:v>
                  </c:pt>
                  <c:pt idx="26">
                    <c:v>#REF!</c:v>
                  </c:pt>
                  <c:pt idx="27">
                    <c:v>#REF!</c:v>
                  </c:pt>
                  <c:pt idx="28">
                    <c:v>#REF!</c:v>
                  </c:pt>
                  <c:pt idx="29">
                    <c:v>#REF!</c:v>
                  </c:pt>
                  <c:pt idx="30">
                    <c:v>#REF!</c:v>
                  </c:pt>
                  <c:pt idx="31">
                    <c:v>#REF!</c:v>
                  </c:pt>
                  <c:pt idx="32">
                    <c:v>#REF!</c:v>
                  </c:pt>
                  <c:pt idx="33">
                    <c:v>#REF!</c:v>
                  </c:pt>
                  <c:pt idx="34">
                    <c:v>#REF!</c:v>
                  </c:pt>
                  <c:pt idx="35">
                    <c:v>#REF!</c:v>
                  </c:pt>
                  <c:pt idx="36">
                    <c:v>#REF!</c:v>
                  </c:pt>
                  <c:pt idx="37">
                    <c:v>#REF!</c:v>
                  </c:pt>
                  <c:pt idx="38">
                    <c:v>#REF!</c:v>
                  </c:pt>
                  <c:pt idx="39">
                    <c:v>#REF!</c:v>
                  </c:pt>
                  <c:pt idx="40">
                    <c:v>#REF!</c:v>
                  </c:pt>
                  <c:pt idx="41">
                    <c:v>#REF!</c:v>
                  </c:pt>
                  <c:pt idx="42">
                    <c:v>#REF!</c:v>
                  </c:pt>
                  <c:pt idx="43">
                    <c:v>#REF!</c:v>
                  </c:pt>
                  <c:pt idx="44">
                    <c:v>#REF!</c:v>
                  </c:pt>
                  <c:pt idx="45">
                    <c:v>#REF!</c:v>
                  </c:pt>
                  <c:pt idx="46">
                    <c:v>#REF!</c:v>
                  </c:pt>
                  <c:pt idx="47">
                    <c:v>#REF!</c:v>
                  </c:pt>
                  <c:pt idx="48">
                    <c:v>#REF!</c:v>
                  </c:pt>
                  <c:pt idx="49">
                    <c:v>#REF!</c:v>
                  </c:pt>
                  <c:pt idx="50">
                    <c:v>#REF!</c:v>
                  </c:pt>
                  <c:pt idx="51">
                    <c:v>#REF!</c:v>
                  </c:pt>
                  <c:pt idx="52">
                    <c:v>#REF!</c:v>
                  </c:pt>
                  <c:pt idx="53">
                    <c:v>#REF!</c:v>
                  </c:pt>
                  <c:pt idx="54">
                    <c:v>#REF!</c:v>
                  </c:pt>
                  <c:pt idx="55">
                    <c:v>#REF!</c:v>
                  </c:pt>
                  <c:pt idx="56">
                    <c:v>#REF!</c:v>
                  </c:pt>
                  <c:pt idx="57">
                    <c:v>#REF!</c:v>
                  </c:pt>
                  <c:pt idx="58">
                    <c:v>#REF!</c:v>
                  </c:pt>
                  <c:pt idx="59">
                    <c:v>#REF!</c:v>
                  </c:pt>
                  <c:pt idx="60">
                    <c:v>#REF!</c:v>
                  </c:pt>
                  <c:pt idx="61">
                    <c:v>#REF!</c:v>
                  </c:pt>
                  <c:pt idx="62">
                    <c:v>#REF!</c:v>
                  </c:pt>
                  <c:pt idx="63">
                    <c:v>#REF!</c:v>
                  </c:pt>
                  <c:pt idx="64">
                    <c:v>#REF!</c:v>
                  </c:pt>
                </c:lvl>
                <c:lvl>
                  <c:pt idx="0">
                    <c:v>29/11/24</c:v>
                  </c:pt>
                  <c:pt idx="1">
                    <c:v>06/12/24</c:v>
                  </c:pt>
                  <c:pt idx="2">
                    <c:v>13/12/24</c:v>
                  </c:pt>
                  <c:pt idx="3">
                    <c:v>20/12/24</c:v>
                  </c:pt>
                  <c:pt idx="4">
                    <c:v>27/12/24</c:v>
                  </c:pt>
                  <c:pt idx="5">
                    <c:v>03/01/25</c:v>
                  </c:pt>
                  <c:pt idx="6">
                    <c:v>10/01/25</c:v>
                  </c:pt>
                  <c:pt idx="7">
                    <c:v>17/01/25</c:v>
                  </c:pt>
                  <c:pt idx="8">
                    <c:v>24/01/25</c:v>
                  </c:pt>
                  <c:pt idx="9">
                    <c:v>31/01/25</c:v>
                  </c:pt>
                  <c:pt idx="10">
                    <c:v>07/02/25</c:v>
                  </c:pt>
                  <c:pt idx="11">
                    <c:v>14/02/25</c:v>
                  </c:pt>
                  <c:pt idx="12">
                    <c:v>21/02/25</c:v>
                  </c:pt>
                  <c:pt idx="13">
                    <c:v>28/02/25</c:v>
                  </c:pt>
                  <c:pt idx="14">
                    <c:v>07/03/25</c:v>
                  </c:pt>
                  <c:pt idx="15">
                    <c:v>14/03/25</c:v>
                  </c:pt>
                  <c:pt idx="16">
                    <c:v>21/03/25</c:v>
                  </c:pt>
                  <c:pt idx="17">
                    <c:v>28/03/25</c:v>
                  </c:pt>
                  <c:pt idx="18">
                    <c:v>04/04/25</c:v>
                  </c:pt>
                  <c:pt idx="19">
                    <c:v>11/04/25</c:v>
                  </c:pt>
                  <c:pt idx="20">
                    <c:v>18/04/25</c:v>
                  </c:pt>
                  <c:pt idx="21">
                    <c:v>25/04/25</c:v>
                  </c:pt>
                  <c:pt idx="22">
                    <c:v>02/05/25</c:v>
                  </c:pt>
                  <c:pt idx="23">
                    <c:v>09/05/25</c:v>
                  </c:pt>
                  <c:pt idx="24">
                    <c:v>16/05/25</c:v>
                  </c:pt>
                  <c:pt idx="25">
                    <c:v>23/05/25</c:v>
                  </c:pt>
                  <c:pt idx="26">
                    <c:v>30/05/25</c:v>
                  </c:pt>
                  <c:pt idx="27">
                    <c:v>06/06/25</c:v>
                  </c:pt>
                  <c:pt idx="28">
                    <c:v>13/06/25</c:v>
                  </c:pt>
                  <c:pt idx="29">
                    <c:v>20/06/25</c:v>
                  </c:pt>
                  <c:pt idx="30">
                    <c:v>27/06/25</c:v>
                  </c:pt>
                  <c:pt idx="31">
                    <c:v>04/07/25</c:v>
                  </c:pt>
                  <c:pt idx="32">
                    <c:v>11/07/25</c:v>
                  </c:pt>
                  <c:pt idx="33">
                    <c:v>18/07/25</c:v>
                  </c:pt>
                  <c:pt idx="34">
                    <c:v>25/07/25</c:v>
                  </c:pt>
                  <c:pt idx="35">
                    <c:v>01/08/25</c:v>
                  </c:pt>
                  <c:pt idx="36">
                    <c:v>08/08/25</c:v>
                  </c:pt>
                  <c:pt idx="37">
                    <c:v>15/08/25</c:v>
                  </c:pt>
                  <c:pt idx="38">
                    <c:v>22/08/25</c:v>
                  </c:pt>
                  <c:pt idx="39">
                    <c:v>29/08/25</c:v>
                  </c:pt>
                  <c:pt idx="40">
                    <c:v>05/09/25</c:v>
                  </c:pt>
                  <c:pt idx="41">
                    <c:v>12/09/25</c:v>
                  </c:pt>
                  <c:pt idx="42">
                    <c:v>19/09/25</c:v>
                  </c:pt>
                  <c:pt idx="43">
                    <c:v>26/09/25</c:v>
                  </c:pt>
                  <c:pt idx="44">
                    <c:v>03/10/25</c:v>
                  </c:pt>
                  <c:pt idx="45">
                    <c:v>10/10/25</c:v>
                  </c:pt>
                  <c:pt idx="46">
                    <c:v>17/10/25</c:v>
                  </c:pt>
                  <c:pt idx="47">
                    <c:v>24/10/25</c:v>
                  </c:pt>
                  <c:pt idx="48">
                    <c:v>31/10/25</c:v>
                  </c:pt>
                  <c:pt idx="49">
                    <c:v>07/11/25</c:v>
                  </c:pt>
                  <c:pt idx="50">
                    <c:v>14/11/25</c:v>
                  </c:pt>
                  <c:pt idx="51">
                    <c:v>21/11/25</c:v>
                  </c:pt>
                  <c:pt idx="52">
                    <c:v>28/11/25</c:v>
                  </c:pt>
                  <c:pt idx="53">
                    <c:v>05/12/25</c:v>
                  </c:pt>
                  <c:pt idx="54">
                    <c:v>12/12/25</c:v>
                  </c:pt>
                  <c:pt idx="55">
                    <c:v>19/12/25</c:v>
                  </c:pt>
                  <c:pt idx="56">
                    <c:v>02/01/26</c:v>
                  </c:pt>
                  <c:pt idx="57">
                    <c:v>09/01/26</c:v>
                  </c:pt>
                  <c:pt idx="58">
                    <c:v>16/01/26</c:v>
                  </c:pt>
                  <c:pt idx="59">
                    <c:v>23/01/26</c:v>
                  </c:pt>
                  <c:pt idx="60">
                    <c:v>30/01/26</c:v>
                  </c:pt>
                  <c:pt idx="61">
                    <c:v>06/02/26</c:v>
                  </c:pt>
                  <c:pt idx="62">
                    <c:v>13/02/26</c:v>
                  </c:pt>
                  <c:pt idx="63">
                    <c:v>20/02/26</c:v>
                  </c:pt>
                  <c:pt idx="64">
                    <c:v>27/02/26</c:v>
                  </c:pt>
                </c:lvl>
              </c:multiLvlStrCache>
            </c:multiLvlStrRef>
          </c:cat>
          <c:val>
            <c:numRef>
              <c:f>Consolidado!$D$42:$BP$42</c:f>
              <c:numCache>
                <c:formatCode>0.0%</c:formatCode>
                <c:ptCount val="65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5">
                  <c:v>0.66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Consolidado!$B$43:$C$43</c:f>
              <c:strCache>
                <c:ptCount val="1"/>
                <c:pt idx="0">
                  <c:v>PORCENTAJE CUMPL. PROGRAMA</c:v>
                </c:pt>
              </c:strCache>
            </c:strRef>
          </c:tx>
          <c:spPr>
            <a:solidFill>
              <a:srgbClr val="ed7d31"/>
            </a:solidFill>
            <a:ln cap="rnd" w="28440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Consolidado!$D$41:$BP$42</c:f>
              <c:multiLvlStrCache>
                <c:ptCount val="65"/>
                <c:lvl>
                  <c:pt idx="0">
                    <c:v>80.0%</c:v>
                  </c:pt>
                  <c:pt idx="1">
                    <c:v>80.0%</c:v>
                  </c:pt>
                  <c:pt idx="2">
                    <c:v>80.0%</c:v>
                  </c:pt>
                  <c:pt idx="3">
                    <c:v>#REF!</c:v>
                  </c:pt>
                  <c:pt idx="4">
                    <c:v>#REF!</c:v>
                  </c:pt>
                  <c:pt idx="5">
                    <c:v>66.0%</c:v>
                  </c:pt>
                  <c:pt idx="6">
                    <c:v>#REF!</c:v>
                  </c:pt>
                  <c:pt idx="7">
                    <c:v>#REF!</c:v>
                  </c:pt>
                  <c:pt idx="8">
                    <c:v>#REF!</c:v>
                  </c:pt>
                  <c:pt idx="9">
                    <c:v>#REF!</c:v>
                  </c:pt>
                  <c:pt idx="10">
                    <c:v>#REF!</c:v>
                  </c:pt>
                  <c:pt idx="11">
                    <c:v>#REF!</c:v>
                  </c:pt>
                  <c:pt idx="12">
                    <c:v>#REF!</c:v>
                  </c:pt>
                  <c:pt idx="13">
                    <c:v>#REF!</c:v>
                  </c:pt>
                  <c:pt idx="14">
                    <c:v>#REF!</c:v>
                  </c:pt>
                  <c:pt idx="15">
                    <c:v>#REF!</c:v>
                  </c:pt>
                  <c:pt idx="16">
                    <c:v>#REF!</c:v>
                  </c:pt>
                  <c:pt idx="17">
                    <c:v>#REF!</c:v>
                  </c:pt>
                  <c:pt idx="18">
                    <c:v>#REF!</c:v>
                  </c:pt>
                  <c:pt idx="19">
                    <c:v>#REF!</c:v>
                  </c:pt>
                  <c:pt idx="20">
                    <c:v>#REF!</c:v>
                  </c:pt>
                  <c:pt idx="21">
                    <c:v>#REF!</c:v>
                  </c:pt>
                  <c:pt idx="22">
                    <c:v>#REF!</c:v>
                  </c:pt>
                  <c:pt idx="23">
                    <c:v>#REF!</c:v>
                  </c:pt>
                  <c:pt idx="24">
                    <c:v>#REF!</c:v>
                  </c:pt>
                  <c:pt idx="25">
                    <c:v>#REF!</c:v>
                  </c:pt>
                  <c:pt idx="26">
                    <c:v>#REF!</c:v>
                  </c:pt>
                  <c:pt idx="27">
                    <c:v>#REF!</c:v>
                  </c:pt>
                  <c:pt idx="28">
                    <c:v>#REF!</c:v>
                  </c:pt>
                  <c:pt idx="29">
                    <c:v>#REF!</c:v>
                  </c:pt>
                  <c:pt idx="30">
                    <c:v>#REF!</c:v>
                  </c:pt>
                  <c:pt idx="31">
                    <c:v>#REF!</c:v>
                  </c:pt>
                  <c:pt idx="32">
                    <c:v>#REF!</c:v>
                  </c:pt>
                  <c:pt idx="33">
                    <c:v>#REF!</c:v>
                  </c:pt>
                  <c:pt idx="34">
                    <c:v>#REF!</c:v>
                  </c:pt>
                  <c:pt idx="35">
                    <c:v>#REF!</c:v>
                  </c:pt>
                  <c:pt idx="36">
                    <c:v>#REF!</c:v>
                  </c:pt>
                  <c:pt idx="37">
                    <c:v>#REF!</c:v>
                  </c:pt>
                  <c:pt idx="38">
                    <c:v>#REF!</c:v>
                  </c:pt>
                  <c:pt idx="39">
                    <c:v>#REF!</c:v>
                  </c:pt>
                  <c:pt idx="40">
                    <c:v>#REF!</c:v>
                  </c:pt>
                  <c:pt idx="41">
                    <c:v>#REF!</c:v>
                  </c:pt>
                  <c:pt idx="42">
                    <c:v>#REF!</c:v>
                  </c:pt>
                  <c:pt idx="43">
                    <c:v>#REF!</c:v>
                  </c:pt>
                  <c:pt idx="44">
                    <c:v>#REF!</c:v>
                  </c:pt>
                  <c:pt idx="45">
                    <c:v>#REF!</c:v>
                  </c:pt>
                  <c:pt idx="46">
                    <c:v>#REF!</c:v>
                  </c:pt>
                  <c:pt idx="47">
                    <c:v>#REF!</c:v>
                  </c:pt>
                  <c:pt idx="48">
                    <c:v>#REF!</c:v>
                  </c:pt>
                  <c:pt idx="49">
                    <c:v>#REF!</c:v>
                  </c:pt>
                  <c:pt idx="50">
                    <c:v>#REF!</c:v>
                  </c:pt>
                  <c:pt idx="51">
                    <c:v>#REF!</c:v>
                  </c:pt>
                  <c:pt idx="52">
                    <c:v>#REF!</c:v>
                  </c:pt>
                  <c:pt idx="53">
                    <c:v>#REF!</c:v>
                  </c:pt>
                  <c:pt idx="54">
                    <c:v>#REF!</c:v>
                  </c:pt>
                  <c:pt idx="55">
                    <c:v>#REF!</c:v>
                  </c:pt>
                  <c:pt idx="56">
                    <c:v>#REF!</c:v>
                  </c:pt>
                  <c:pt idx="57">
                    <c:v>#REF!</c:v>
                  </c:pt>
                  <c:pt idx="58">
                    <c:v>#REF!</c:v>
                  </c:pt>
                  <c:pt idx="59">
                    <c:v>#REF!</c:v>
                  </c:pt>
                  <c:pt idx="60">
                    <c:v>#REF!</c:v>
                  </c:pt>
                  <c:pt idx="61">
                    <c:v>#REF!</c:v>
                  </c:pt>
                  <c:pt idx="62">
                    <c:v>#REF!</c:v>
                  </c:pt>
                  <c:pt idx="63">
                    <c:v>#REF!</c:v>
                  </c:pt>
                  <c:pt idx="64">
                    <c:v>#REF!</c:v>
                  </c:pt>
                </c:lvl>
                <c:lvl>
                  <c:pt idx="0">
                    <c:v>29/11/24</c:v>
                  </c:pt>
                  <c:pt idx="1">
                    <c:v>06/12/24</c:v>
                  </c:pt>
                  <c:pt idx="2">
                    <c:v>13/12/24</c:v>
                  </c:pt>
                  <c:pt idx="3">
                    <c:v>20/12/24</c:v>
                  </c:pt>
                  <c:pt idx="4">
                    <c:v>27/12/24</c:v>
                  </c:pt>
                  <c:pt idx="5">
                    <c:v>03/01/25</c:v>
                  </c:pt>
                  <c:pt idx="6">
                    <c:v>10/01/25</c:v>
                  </c:pt>
                  <c:pt idx="7">
                    <c:v>17/01/25</c:v>
                  </c:pt>
                  <c:pt idx="8">
                    <c:v>24/01/25</c:v>
                  </c:pt>
                  <c:pt idx="9">
                    <c:v>31/01/25</c:v>
                  </c:pt>
                  <c:pt idx="10">
                    <c:v>07/02/25</c:v>
                  </c:pt>
                  <c:pt idx="11">
                    <c:v>14/02/25</c:v>
                  </c:pt>
                  <c:pt idx="12">
                    <c:v>21/02/25</c:v>
                  </c:pt>
                  <c:pt idx="13">
                    <c:v>28/02/25</c:v>
                  </c:pt>
                  <c:pt idx="14">
                    <c:v>07/03/25</c:v>
                  </c:pt>
                  <c:pt idx="15">
                    <c:v>14/03/25</c:v>
                  </c:pt>
                  <c:pt idx="16">
                    <c:v>21/03/25</c:v>
                  </c:pt>
                  <c:pt idx="17">
                    <c:v>28/03/25</c:v>
                  </c:pt>
                  <c:pt idx="18">
                    <c:v>04/04/25</c:v>
                  </c:pt>
                  <c:pt idx="19">
                    <c:v>11/04/25</c:v>
                  </c:pt>
                  <c:pt idx="20">
                    <c:v>18/04/25</c:v>
                  </c:pt>
                  <c:pt idx="21">
                    <c:v>25/04/25</c:v>
                  </c:pt>
                  <c:pt idx="22">
                    <c:v>02/05/25</c:v>
                  </c:pt>
                  <c:pt idx="23">
                    <c:v>09/05/25</c:v>
                  </c:pt>
                  <c:pt idx="24">
                    <c:v>16/05/25</c:v>
                  </c:pt>
                  <c:pt idx="25">
                    <c:v>23/05/25</c:v>
                  </c:pt>
                  <c:pt idx="26">
                    <c:v>30/05/25</c:v>
                  </c:pt>
                  <c:pt idx="27">
                    <c:v>06/06/25</c:v>
                  </c:pt>
                  <c:pt idx="28">
                    <c:v>13/06/25</c:v>
                  </c:pt>
                  <c:pt idx="29">
                    <c:v>20/06/25</c:v>
                  </c:pt>
                  <c:pt idx="30">
                    <c:v>27/06/25</c:v>
                  </c:pt>
                  <c:pt idx="31">
                    <c:v>04/07/25</c:v>
                  </c:pt>
                  <c:pt idx="32">
                    <c:v>11/07/25</c:v>
                  </c:pt>
                  <c:pt idx="33">
                    <c:v>18/07/25</c:v>
                  </c:pt>
                  <c:pt idx="34">
                    <c:v>25/07/25</c:v>
                  </c:pt>
                  <c:pt idx="35">
                    <c:v>01/08/25</c:v>
                  </c:pt>
                  <c:pt idx="36">
                    <c:v>08/08/25</c:v>
                  </c:pt>
                  <c:pt idx="37">
                    <c:v>15/08/25</c:v>
                  </c:pt>
                  <c:pt idx="38">
                    <c:v>22/08/25</c:v>
                  </c:pt>
                  <c:pt idx="39">
                    <c:v>29/08/25</c:v>
                  </c:pt>
                  <c:pt idx="40">
                    <c:v>05/09/25</c:v>
                  </c:pt>
                  <c:pt idx="41">
                    <c:v>12/09/25</c:v>
                  </c:pt>
                  <c:pt idx="42">
                    <c:v>19/09/25</c:v>
                  </c:pt>
                  <c:pt idx="43">
                    <c:v>26/09/25</c:v>
                  </c:pt>
                  <c:pt idx="44">
                    <c:v>03/10/25</c:v>
                  </c:pt>
                  <c:pt idx="45">
                    <c:v>10/10/25</c:v>
                  </c:pt>
                  <c:pt idx="46">
                    <c:v>17/10/25</c:v>
                  </c:pt>
                  <c:pt idx="47">
                    <c:v>24/10/25</c:v>
                  </c:pt>
                  <c:pt idx="48">
                    <c:v>31/10/25</c:v>
                  </c:pt>
                  <c:pt idx="49">
                    <c:v>07/11/25</c:v>
                  </c:pt>
                  <c:pt idx="50">
                    <c:v>14/11/25</c:v>
                  </c:pt>
                  <c:pt idx="51">
                    <c:v>21/11/25</c:v>
                  </c:pt>
                  <c:pt idx="52">
                    <c:v>28/11/25</c:v>
                  </c:pt>
                  <c:pt idx="53">
                    <c:v>05/12/25</c:v>
                  </c:pt>
                  <c:pt idx="54">
                    <c:v>12/12/25</c:v>
                  </c:pt>
                  <c:pt idx="55">
                    <c:v>19/12/25</c:v>
                  </c:pt>
                  <c:pt idx="56">
                    <c:v>02/01/26</c:v>
                  </c:pt>
                  <c:pt idx="57">
                    <c:v>09/01/26</c:v>
                  </c:pt>
                  <c:pt idx="58">
                    <c:v>16/01/26</c:v>
                  </c:pt>
                  <c:pt idx="59">
                    <c:v>23/01/26</c:v>
                  </c:pt>
                  <c:pt idx="60">
                    <c:v>30/01/26</c:v>
                  </c:pt>
                  <c:pt idx="61">
                    <c:v>06/02/26</c:v>
                  </c:pt>
                  <c:pt idx="62">
                    <c:v>13/02/26</c:v>
                  </c:pt>
                  <c:pt idx="63">
                    <c:v>20/02/26</c:v>
                  </c:pt>
                  <c:pt idx="64">
                    <c:v>27/02/26</c:v>
                  </c:pt>
                </c:lvl>
              </c:multiLvlStrCache>
            </c:multiLvlStrRef>
          </c:cat>
          <c:val>
            <c:numRef>
              <c:f>Consolidado!$D$43:$BT$43</c:f>
              <c:numCache>
                <c:formatCode>0.0%</c:formatCode>
                <c:ptCount val="69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  <c:pt idx="12">
                  <c:v>0.8</c:v>
                </c:pt>
                <c:pt idx="13">
                  <c:v>0.8</c:v>
                </c:pt>
                <c:pt idx="14">
                  <c:v>0.8</c:v>
                </c:pt>
                <c:pt idx="15">
                  <c:v>0.8</c:v>
                </c:pt>
                <c:pt idx="16">
                  <c:v>0.8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0.8</c:v>
                </c:pt>
                <c:pt idx="21">
                  <c:v>0.8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0.8</c:v>
                </c:pt>
                <c:pt idx="38">
                  <c:v>0.8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  <c:pt idx="48">
                  <c:v>0.8</c:v>
                </c:pt>
                <c:pt idx="49">
                  <c:v>0.8</c:v>
                </c:pt>
                <c:pt idx="50">
                  <c:v>0.8</c:v>
                </c:pt>
                <c:pt idx="51">
                  <c:v>0.8</c:v>
                </c:pt>
                <c:pt idx="52">
                  <c:v>0.8</c:v>
                </c:pt>
                <c:pt idx="53">
                  <c:v>0.8</c:v>
                </c:pt>
                <c:pt idx="54">
                  <c:v>0.8</c:v>
                </c:pt>
                <c:pt idx="55">
                  <c:v>0.8</c:v>
                </c:pt>
                <c:pt idx="56">
                  <c:v>0.8</c:v>
                </c:pt>
                <c:pt idx="57">
                  <c:v>0.8</c:v>
                </c:pt>
                <c:pt idx="58">
                  <c:v>0.8</c:v>
                </c:pt>
                <c:pt idx="59">
                  <c:v>0.8</c:v>
                </c:pt>
                <c:pt idx="60">
                  <c:v>0.8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8904123"/>
        <c:axId val="89380028"/>
      </c:lineChart>
      <c:catAx>
        <c:axId val="18904123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9380028"/>
        <c:crosses val="autoZero"/>
        <c:auto val="1"/>
        <c:lblAlgn val="ctr"/>
        <c:lblOffset val="100"/>
        <c:noMultiLvlLbl val="0"/>
      </c:catAx>
      <c:valAx>
        <c:axId val="89380028"/>
        <c:scaling>
          <c:orientation val="minMax"/>
          <c:max val="1"/>
          <c:min val="0.1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minorGridlines>
          <c:spPr>
            <a:ln w="9360">
              <a:solidFill>
                <a:srgbClr val="f2f2f2"/>
              </a:solidFill>
              <a:round/>
            </a:ln>
          </c:spPr>
        </c:minorGridlines>
        <c:numFmt formatCode="0.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8904123"/>
        <c:crosses val="autoZero"/>
        <c:crossBetween val="between"/>
        <c:majorUnit val="0.1"/>
        <c:minorUnit val="0.01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s-CL" sz="1800" spc="-1" strike="noStrike">
                <a:solidFill>
                  <a:srgbClr val="404040"/>
                </a:solidFill>
                <a:latin typeface="Calibri"/>
              </a:defRPr>
            </a:pPr>
            <a:r>
              <a:rPr b="1" lang="es-CL" sz="1800" spc="-1" strike="noStrike">
                <a:solidFill>
                  <a:srgbClr val="404040"/>
                </a:solidFill>
                <a:latin typeface="Calibri"/>
              </a:rPr>
              <a:t>Causas de no Cumplimiento (General)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5b9bd5">
                <a:alpha val="85000"/>
              </a:srgbClr>
            </a:solidFill>
            <a:ln w="9360">
              <a:solidFill>
                <a:srgbClr val="ffffff">
                  <a:alpha val="50000"/>
                </a:srgbClr>
              </a:solidFill>
              <a:round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1" sz="9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Consolidado!$B$59:$B$67</c:f>
              <c:strCache>
                <c:ptCount val="9"/>
                <c:pt idx="0">
                  <c:v>Falta o Falla de Equipos</c:v>
                </c:pt>
                <c:pt idx="1">
                  <c:v>Falta Mano de Obra</c:v>
                </c:pt>
                <c:pt idx="2">
                  <c:v>Falta de Materiales</c:v>
                </c:pt>
                <c:pt idx="3">
                  <c:v>Falla de Subcontratistas</c:v>
                </c:pt>
                <c:pt idx="4">
                  <c:v>Eventos no programables (clima, despachos, etc.)</c:v>
                </c:pt>
                <c:pt idx="5">
                  <c:v>Falla de Programación</c:v>
                </c:pt>
                <c:pt idx="6">
                  <c:v>Cambio de Activ. Por el JT o AO</c:v>
                </c:pt>
                <c:pt idx="7">
                  <c:v>Indefinición de Proyecto o Diseño</c:v>
                </c:pt>
                <c:pt idx="8">
                  <c:v>Mala Ejecucion</c:v>
                </c:pt>
              </c:strCache>
            </c:strRef>
          </c:cat>
          <c:val>
            <c:numRef>
              <c:f>Consolidado!$C$59:$C$67</c:f>
              <c:numCache>
                <c:formatCode>0%</c:formatCode>
                <c:ptCount val="9"/>
              </c:numCache>
            </c:numRef>
          </c:val>
        </c:ser>
        <c:gapWidth val="65"/>
        <c:overlap val="0"/>
        <c:axId val="75362989"/>
        <c:axId val="18130857"/>
      </c:barChart>
      <c:catAx>
        <c:axId val="7536298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9080">
            <a:solidFill>
              <a:srgbClr val="404040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18130857"/>
        <c:crosses val="autoZero"/>
        <c:auto val="1"/>
        <c:lblAlgn val="ctr"/>
        <c:lblOffset val="100"/>
        <c:noMultiLvlLbl val="0"/>
      </c:catAx>
      <c:valAx>
        <c:axId val="18130857"/>
        <c:scaling>
          <c:orientation val="minMax"/>
        </c:scaling>
        <c:delete val="0"/>
        <c:axPos val="l"/>
        <c:majorGridlines>
          <c:spPr>
            <a:ln w="9360">
              <a:solidFill>
                <a:srgbClr val="bfbfbf">
                  <a:alpha val="36000"/>
                </a:srgbClr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7536298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gradFill>
      <a:gsLst>
        <a:gs pos="0">
          <a:srgbClr val="ffffff"/>
        </a:gs>
        <a:gs pos="39000">
          <a:srgbClr val="ffffff"/>
        </a:gs>
        <a:gs pos="100000">
          <a:srgbClr val="bfbfbf"/>
        </a:gs>
      </a:gsLst>
      <a:path path="circle">
        <a:fillToRect l="50000" t="0" r="50000" b="100000"/>
      </a:path>
    </a:gradFill>
    <a:ln w="9360">
      <a:solidFill>
        <a:srgbClr val="bfbfbf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s-CL" sz="1800" spc="-1" strike="noStrike">
                <a:solidFill>
                  <a:srgbClr val="404040"/>
                </a:solidFill>
                <a:latin typeface="Calibri"/>
              </a:defRPr>
            </a:pPr>
            <a:r>
              <a:rPr b="1" lang="es-CL" sz="1800" spc="-1" strike="noStrike">
                <a:solidFill>
                  <a:srgbClr val="404040"/>
                </a:solidFill>
                <a:latin typeface="Calibri"/>
              </a:rPr>
              <a:t>Causas de no Cumplimiento (Semanal)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5b9bd5">
                <a:alpha val="85000"/>
              </a:srgbClr>
            </a:solidFill>
            <a:ln w="9360">
              <a:solidFill>
                <a:srgbClr val="ffffff">
                  <a:alpha val="50000"/>
                </a:srgbClr>
              </a:solidFill>
              <a:round/>
            </a:ln>
          </c:spPr>
          <c:invertIfNegative val="0"/>
          <c:dLbls>
            <c:numFmt formatCode="0%" sourceLinked="1"/>
            <c:txPr>
              <a:bodyPr wrap="square"/>
              <a:lstStyle/>
              <a:p>
                <a:pPr>
                  <a:defRPr b="1" sz="9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Consolidado!$B$59:$B$67</c:f>
              <c:strCache>
                <c:ptCount val="9"/>
                <c:pt idx="0">
                  <c:v>Falta o Falla de Equipos</c:v>
                </c:pt>
                <c:pt idx="1">
                  <c:v>Falta Mano de Obra</c:v>
                </c:pt>
                <c:pt idx="2">
                  <c:v>Falta de Materiales</c:v>
                </c:pt>
                <c:pt idx="3">
                  <c:v>Falla de Subcontratistas</c:v>
                </c:pt>
                <c:pt idx="4">
                  <c:v>Eventos no programables (clima, despachos, etc.)</c:v>
                </c:pt>
                <c:pt idx="5">
                  <c:v>Falla de Programación</c:v>
                </c:pt>
                <c:pt idx="6">
                  <c:v>Cambio de Activ. Por el JT o AO</c:v>
                </c:pt>
                <c:pt idx="7">
                  <c:v>Indefinición de Proyecto o Diseño</c:v>
                </c:pt>
                <c:pt idx="8">
                  <c:v>Mala Ejecucion</c:v>
                </c:pt>
              </c:strCache>
            </c:strRef>
          </c:cat>
          <c:val>
            <c:numRef>
              <c:f>Consolidado!$BP$59:$BP$67</c:f>
              <c:numCache>
                <c:formatCode>0%</c:formatCode>
                <c:ptCount val="9"/>
              </c:numCache>
            </c:numRef>
          </c:val>
        </c:ser>
        <c:gapWidth val="65"/>
        <c:overlap val="0"/>
        <c:axId val="36575987"/>
        <c:axId val="89031090"/>
      </c:barChart>
      <c:catAx>
        <c:axId val="3657598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9080">
            <a:solidFill>
              <a:srgbClr val="404040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89031090"/>
        <c:crosses val="autoZero"/>
        <c:auto val="1"/>
        <c:lblAlgn val="ctr"/>
        <c:lblOffset val="100"/>
        <c:noMultiLvlLbl val="0"/>
      </c:catAx>
      <c:valAx>
        <c:axId val="89031090"/>
        <c:scaling>
          <c:orientation val="minMax"/>
        </c:scaling>
        <c:delete val="0"/>
        <c:axPos val="l"/>
        <c:majorGridlines>
          <c:spPr>
            <a:ln w="9360">
              <a:solidFill>
                <a:srgbClr val="bfbfbf">
                  <a:alpha val="36000"/>
                </a:srgbClr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404040"/>
                </a:solidFill>
                <a:latin typeface="Calibri"/>
              </a:defRPr>
            </a:pPr>
          </a:p>
        </c:txPr>
        <c:crossAx val="3657598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gradFill>
      <a:gsLst>
        <a:gs pos="0">
          <a:srgbClr val="ffffff"/>
        </a:gs>
        <a:gs pos="39000">
          <a:srgbClr val="ffffff"/>
        </a:gs>
        <a:gs pos="100000">
          <a:srgbClr val="bfbfbf"/>
        </a:gs>
      </a:gsLst>
      <a:path path="circle">
        <a:fillToRect l="50000" t="0" r="50000" b="100000"/>
      </a:path>
    </a:gradFill>
    <a:ln w="9360">
      <a:solidFill>
        <a:srgbClr val="bfbfbf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3.png"/><Relationship Id="rId4" Type="http://schemas.openxmlformats.org/officeDocument/2006/relationships/image" Target="../media/image4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image" Target="../media/image5.png"/><Relationship Id="rId4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Relationship Id="rId3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289440</xdr:colOff>
      <xdr:row>0</xdr:row>
      <xdr:rowOff>117000</xdr:rowOff>
    </xdr:from>
    <xdr:to>
      <xdr:col>3</xdr:col>
      <xdr:colOff>645120</xdr:colOff>
      <xdr:row>2</xdr:row>
      <xdr:rowOff>253800</xdr:rowOff>
    </xdr:to>
    <xdr:pic>
      <xdr:nvPicPr>
        <xdr:cNvPr id="0" name="Imagen 1" descr=""/>
        <xdr:cNvPicPr/>
      </xdr:nvPicPr>
      <xdr:blipFill>
        <a:blip r:embed="rId1"/>
        <a:stretch/>
      </xdr:blipFill>
      <xdr:spPr>
        <a:xfrm>
          <a:off x="590400" y="117000"/>
          <a:ext cx="2117160" cy="517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470880</xdr:colOff>
      <xdr:row>163</xdr:row>
      <xdr:rowOff>202680</xdr:rowOff>
    </xdr:from>
    <xdr:to>
      <xdr:col>17</xdr:col>
      <xdr:colOff>2647800</xdr:colOff>
      <xdr:row>195</xdr:row>
      <xdr:rowOff>144360</xdr:rowOff>
    </xdr:to>
    <xdr:graphicFrame>
      <xdr:nvGraphicFramePr>
        <xdr:cNvPr id="1" name="7 Gráfico"/>
        <xdr:cNvGraphicFramePr/>
      </xdr:nvGraphicFramePr>
      <xdr:xfrm>
        <a:off x="470880" y="46975680"/>
        <a:ext cx="24549840" cy="8069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265680</xdr:colOff>
      <xdr:row>1</xdr:row>
      <xdr:rowOff>207720</xdr:rowOff>
    </xdr:from>
    <xdr:to>
      <xdr:col>2</xdr:col>
      <xdr:colOff>860400</xdr:colOff>
      <xdr:row>4</xdr:row>
      <xdr:rowOff>212040</xdr:rowOff>
    </xdr:to>
    <xdr:pic>
      <xdr:nvPicPr>
        <xdr:cNvPr id="2" name="Imagen 2" descr=""/>
        <xdr:cNvPicPr/>
      </xdr:nvPicPr>
      <xdr:blipFill>
        <a:blip r:embed="rId2"/>
        <a:stretch/>
      </xdr:blipFill>
      <xdr:spPr>
        <a:xfrm>
          <a:off x="265680" y="235080"/>
          <a:ext cx="3388680" cy="7718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100800</xdr:colOff>
      <xdr:row>1</xdr:row>
      <xdr:rowOff>39600</xdr:rowOff>
    </xdr:from>
    <xdr:to>
      <xdr:col>2</xdr:col>
      <xdr:colOff>831240</xdr:colOff>
      <xdr:row>3</xdr:row>
      <xdr:rowOff>176400</xdr:rowOff>
    </xdr:to>
    <xdr:pic>
      <xdr:nvPicPr>
        <xdr:cNvPr id="3" name="Imagen 1" descr=""/>
        <xdr:cNvPicPr/>
      </xdr:nvPicPr>
      <xdr:blipFill>
        <a:blip r:embed="rId1"/>
        <a:stretch/>
      </xdr:blipFill>
      <xdr:spPr>
        <a:xfrm>
          <a:off x="523800" y="230040"/>
          <a:ext cx="2121120" cy="518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100800</xdr:colOff>
      <xdr:row>1</xdr:row>
      <xdr:rowOff>39600</xdr:rowOff>
    </xdr:from>
    <xdr:to>
      <xdr:col>2</xdr:col>
      <xdr:colOff>831240</xdr:colOff>
      <xdr:row>3</xdr:row>
      <xdr:rowOff>173520</xdr:rowOff>
    </xdr:to>
    <xdr:pic>
      <xdr:nvPicPr>
        <xdr:cNvPr id="4" name="Imagen 2" descr=""/>
        <xdr:cNvPicPr/>
      </xdr:nvPicPr>
      <xdr:blipFill>
        <a:blip r:embed="rId2"/>
        <a:stretch/>
      </xdr:blipFill>
      <xdr:spPr>
        <a:xfrm>
          <a:off x="523800" y="230040"/>
          <a:ext cx="2121120" cy="515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100800</xdr:colOff>
      <xdr:row>1</xdr:row>
      <xdr:rowOff>39600</xdr:rowOff>
    </xdr:from>
    <xdr:to>
      <xdr:col>2</xdr:col>
      <xdr:colOff>831240</xdr:colOff>
      <xdr:row>3</xdr:row>
      <xdr:rowOff>176400</xdr:rowOff>
    </xdr:to>
    <xdr:pic>
      <xdr:nvPicPr>
        <xdr:cNvPr id="5" name="Imagen 3" descr=""/>
        <xdr:cNvPicPr/>
      </xdr:nvPicPr>
      <xdr:blipFill>
        <a:blip r:embed="rId3"/>
        <a:stretch/>
      </xdr:blipFill>
      <xdr:spPr>
        <a:xfrm>
          <a:off x="523800" y="230040"/>
          <a:ext cx="2121120" cy="518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100800</xdr:colOff>
      <xdr:row>1</xdr:row>
      <xdr:rowOff>39600</xdr:rowOff>
    </xdr:from>
    <xdr:to>
      <xdr:col>2</xdr:col>
      <xdr:colOff>831240</xdr:colOff>
      <xdr:row>3</xdr:row>
      <xdr:rowOff>173520</xdr:rowOff>
    </xdr:to>
    <xdr:pic>
      <xdr:nvPicPr>
        <xdr:cNvPr id="6" name="Imagen 4" descr=""/>
        <xdr:cNvPicPr/>
      </xdr:nvPicPr>
      <xdr:blipFill>
        <a:blip r:embed="rId4"/>
        <a:stretch/>
      </xdr:blipFill>
      <xdr:spPr>
        <a:xfrm>
          <a:off x="523800" y="230040"/>
          <a:ext cx="2121120" cy="5151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731520</xdr:colOff>
      <xdr:row>12</xdr:row>
      <xdr:rowOff>149400</xdr:rowOff>
    </xdr:from>
    <xdr:to>
      <xdr:col>71</xdr:col>
      <xdr:colOff>522360</xdr:colOff>
      <xdr:row>37</xdr:row>
      <xdr:rowOff>149760</xdr:rowOff>
    </xdr:to>
    <xdr:graphicFrame>
      <xdr:nvGraphicFramePr>
        <xdr:cNvPr id="7" name="Gráfico 1"/>
        <xdr:cNvGraphicFramePr/>
      </xdr:nvGraphicFramePr>
      <xdr:xfrm>
        <a:off x="833760" y="2684880"/>
        <a:ext cx="41870880" cy="4604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138960</xdr:colOff>
      <xdr:row>72</xdr:row>
      <xdr:rowOff>50040</xdr:rowOff>
    </xdr:from>
    <xdr:to>
      <xdr:col>20</xdr:col>
      <xdr:colOff>270000</xdr:colOff>
      <xdr:row>111</xdr:row>
      <xdr:rowOff>175320</xdr:rowOff>
    </xdr:to>
    <xdr:graphicFrame>
      <xdr:nvGraphicFramePr>
        <xdr:cNvPr id="8" name="Gráfico 3"/>
        <xdr:cNvGraphicFramePr/>
      </xdr:nvGraphicFramePr>
      <xdr:xfrm>
        <a:off x="2176200" y="16607160"/>
        <a:ext cx="9611280" cy="7306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46440</xdr:colOff>
      <xdr:row>1</xdr:row>
      <xdr:rowOff>293400</xdr:rowOff>
    </xdr:from>
    <xdr:to>
      <xdr:col>1</xdr:col>
      <xdr:colOff>1781280</xdr:colOff>
      <xdr:row>2</xdr:row>
      <xdr:rowOff>97560</xdr:rowOff>
    </xdr:to>
    <xdr:pic>
      <xdr:nvPicPr>
        <xdr:cNvPr id="9" name="Imagen 2" descr=""/>
        <xdr:cNvPicPr/>
      </xdr:nvPicPr>
      <xdr:blipFill>
        <a:blip r:embed="rId3"/>
        <a:stretch/>
      </xdr:blipFill>
      <xdr:spPr>
        <a:xfrm>
          <a:off x="148680" y="401400"/>
          <a:ext cx="1734840" cy="383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155880</xdr:colOff>
      <xdr:row>113</xdr:row>
      <xdr:rowOff>130680</xdr:rowOff>
    </xdr:from>
    <xdr:to>
      <xdr:col>20</xdr:col>
      <xdr:colOff>289800</xdr:colOff>
      <xdr:row>153</xdr:row>
      <xdr:rowOff>79920</xdr:rowOff>
    </xdr:to>
    <xdr:graphicFrame>
      <xdr:nvGraphicFramePr>
        <xdr:cNvPr id="10" name="Gráfico 5"/>
        <xdr:cNvGraphicFramePr/>
      </xdr:nvGraphicFramePr>
      <xdr:xfrm>
        <a:off x="2193120" y="24237720"/>
        <a:ext cx="9614160" cy="7315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242</xdr:col>
      <xdr:colOff>684360</xdr:colOff>
      <xdr:row>12</xdr:row>
      <xdr:rowOff>91080</xdr:rowOff>
    </xdr:from>
    <xdr:to>
      <xdr:col>243</xdr:col>
      <xdr:colOff>711000</xdr:colOff>
      <xdr:row>18</xdr:row>
      <xdr:rowOff>113400</xdr:rowOff>
    </xdr:to>
    <xdr:pic>
      <xdr:nvPicPr>
        <xdr:cNvPr id="11" name="Picture 2" descr=""/>
        <xdr:cNvPicPr/>
      </xdr:nvPicPr>
      <xdr:blipFill>
        <a:blip r:embed="rId1"/>
        <a:srcRect l="43266" t="42186" r="44948" b="19530"/>
        <a:stretch/>
      </xdr:blipFill>
      <xdr:spPr>
        <a:xfrm>
          <a:off x="60379920" y="2495160"/>
          <a:ext cx="779400" cy="1203480"/>
        </a:xfrm>
        <a:prstGeom prst="rect">
          <a:avLst/>
        </a:prstGeom>
        <a:ln w="1">
          <a:noFill/>
        </a:ln>
      </xdr:spPr>
    </xdr:pic>
    <xdr:clientData/>
  </xdr:twoCellAnchor>
  <xdr:twoCellAnchor editAs="oneCell">
    <xdr:from>
      <xdr:col>0</xdr:col>
      <xdr:colOff>152280</xdr:colOff>
      <xdr:row>2</xdr:row>
      <xdr:rowOff>184320</xdr:rowOff>
    </xdr:from>
    <xdr:to>
      <xdr:col>0</xdr:col>
      <xdr:colOff>1684800</xdr:colOff>
      <xdr:row>2</xdr:row>
      <xdr:rowOff>568440</xdr:rowOff>
    </xdr:to>
    <xdr:pic>
      <xdr:nvPicPr>
        <xdr:cNvPr id="12" name="Imagen 2" descr=""/>
        <xdr:cNvPicPr/>
      </xdr:nvPicPr>
      <xdr:blipFill>
        <a:blip r:embed="rId2"/>
        <a:stretch/>
      </xdr:blipFill>
      <xdr:spPr>
        <a:xfrm>
          <a:off x="152280" y="184320"/>
          <a:ext cx="1532520" cy="384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242</xdr:col>
      <xdr:colOff>553320</xdr:colOff>
      <xdr:row>6</xdr:row>
      <xdr:rowOff>95040</xdr:rowOff>
    </xdr:from>
    <xdr:to>
      <xdr:col>244</xdr:col>
      <xdr:colOff>582120</xdr:colOff>
      <xdr:row>12</xdr:row>
      <xdr:rowOff>20880</xdr:rowOff>
    </xdr:to>
    <xdr:pic>
      <xdr:nvPicPr>
        <xdr:cNvPr id="13" name="Imagen 3" descr=""/>
        <xdr:cNvPicPr/>
      </xdr:nvPicPr>
      <xdr:blipFill>
        <a:blip r:embed="rId3"/>
        <a:stretch/>
      </xdr:blipFill>
      <xdr:spPr>
        <a:xfrm>
          <a:off x="60248880" y="1265400"/>
          <a:ext cx="1533960" cy="11595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true"/>
  </sheetPr>
  <dimension ref="A1:O28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L10" activeCellId="0" sqref="L10"/>
    </sheetView>
  </sheetViews>
  <sheetFormatPr defaultColWidth="11.453125" defaultRowHeight="18.5" zeroHeight="false" outlineLevelRow="0" outlineLevelCol="0"/>
  <cols>
    <col collapsed="false" customWidth="true" hidden="false" outlineLevel="0" max="1" min="1" style="1" width="4.27"/>
    <col collapsed="false" customWidth="true" hidden="false" outlineLevel="0" max="2" min="2" style="1" width="7.45"/>
    <col collapsed="false" customWidth="true" hidden="false" outlineLevel="0" max="3" min="3" style="1" width="17.54"/>
    <col collapsed="false" customWidth="true" hidden="false" outlineLevel="0" max="4" min="4" style="1" width="28.82"/>
    <col collapsed="false" customWidth="true" hidden="false" outlineLevel="0" max="5" min="5" style="1" width="14.27"/>
    <col collapsed="false" customWidth="true" hidden="false" outlineLevel="0" max="6" min="6" style="1" width="8.45"/>
    <col collapsed="false" customWidth="true" hidden="false" outlineLevel="0" max="7" min="7" style="1" width="11.82"/>
    <col collapsed="false" customWidth="true" hidden="false" outlineLevel="0" max="8" min="8" style="1" width="27.82"/>
    <col collapsed="false" customWidth="true" hidden="false" outlineLevel="0" max="9" min="9" style="1" width="12.18"/>
    <col collapsed="false" customWidth="true" hidden="false" outlineLevel="0" max="10" min="10" style="1" width="22"/>
    <col collapsed="false" customWidth="true" hidden="false" outlineLevel="0" max="11" min="11" style="1" width="26.18"/>
    <col collapsed="false" customWidth="true" hidden="false" outlineLevel="0" max="12" min="12" style="1" width="13.54"/>
    <col collapsed="false" customWidth="true" hidden="false" outlineLevel="0" max="13" min="13" style="1" width="17.82"/>
    <col collapsed="false" customWidth="true" hidden="false" outlineLevel="0" max="14" min="14" style="1" width="28.54"/>
    <col collapsed="false" customWidth="true" hidden="false" outlineLevel="0" max="15" min="15" style="1" width="3.54"/>
    <col collapsed="false" customWidth="false" hidden="false" outlineLevel="0" max="16384" min="16" style="1" width="11.45"/>
  </cols>
  <sheetData>
    <row r="1" customFormat="false" ht="15" hidden="false" customHeight="true" outlineLevel="0" collapsed="false">
      <c r="A1" s="2"/>
      <c r="B1" s="2"/>
      <c r="C1" s="2"/>
      <c r="D1" s="2"/>
      <c r="E1" s="3"/>
      <c r="F1" s="3"/>
      <c r="G1" s="3"/>
      <c r="H1" s="3"/>
      <c r="I1" s="3"/>
      <c r="J1" s="4"/>
      <c r="K1" s="4"/>
      <c r="L1" s="4"/>
      <c r="N1" s="3"/>
    </row>
    <row r="2" customFormat="false" ht="15" hidden="false" customHeight="true" outlineLevel="0" collapsed="false">
      <c r="A2" s="2"/>
      <c r="C2" s="5"/>
      <c r="D2" s="5"/>
      <c r="E2" s="6" t="s">
        <v>0</v>
      </c>
      <c r="F2" s="6"/>
      <c r="G2" s="6"/>
      <c r="H2" s="6"/>
      <c r="I2" s="6"/>
      <c r="J2" s="6"/>
      <c r="K2" s="6"/>
      <c r="L2" s="6"/>
      <c r="M2" s="6"/>
      <c r="N2" s="6"/>
    </row>
    <row r="3" customFormat="false" ht="37" hidden="false" customHeight="true" outlineLevel="0" collapsed="false">
      <c r="B3" s="2"/>
      <c r="C3" s="2"/>
      <c r="D3" s="2"/>
      <c r="E3" s="6"/>
      <c r="F3" s="6"/>
      <c r="G3" s="6"/>
      <c r="H3" s="6"/>
      <c r="I3" s="6"/>
      <c r="J3" s="6"/>
      <c r="K3" s="6"/>
      <c r="L3" s="6"/>
      <c r="M3" s="6"/>
      <c r="N3" s="6"/>
    </row>
    <row r="4" s="7" customFormat="true" ht="44.5" hidden="false" customHeight="true" outlineLevel="0" collapsed="false">
      <c r="B4" s="8" t="s">
        <v>1</v>
      </c>
      <c r="C4" s="8"/>
      <c r="D4" s="9" t="s">
        <v>2</v>
      </c>
      <c r="E4" s="8" t="s">
        <v>3</v>
      </c>
      <c r="F4" s="8"/>
      <c r="G4" s="9" t="n">
        <v>65</v>
      </c>
      <c r="H4" s="9"/>
      <c r="I4" s="8" t="s">
        <v>4</v>
      </c>
      <c r="J4" s="10" t="n">
        <v>46083</v>
      </c>
      <c r="K4" s="10"/>
      <c r="L4" s="8" t="s">
        <v>5</v>
      </c>
      <c r="M4" s="9" t="s">
        <v>6</v>
      </c>
      <c r="N4" s="9"/>
    </row>
    <row r="5" customFormat="false" ht="21.75" hidden="false" customHeight="true" outlineLevel="0" collapsed="false">
      <c r="B5" s="11" t="s">
        <v>7</v>
      </c>
      <c r="C5" s="11"/>
      <c r="D5" s="11"/>
      <c r="E5" s="11"/>
      <c r="F5" s="11"/>
      <c r="G5" s="11"/>
      <c r="H5" s="11"/>
      <c r="I5" s="11"/>
      <c r="J5" s="11"/>
      <c r="K5" s="11"/>
      <c r="L5" s="11"/>
    </row>
    <row r="6" customFormat="false" ht="21.75" hidden="false" customHeight="true" outlineLevel="0" collapsed="false">
      <c r="B6" s="12" t="s">
        <v>8</v>
      </c>
      <c r="C6" s="13" t="s">
        <v>9</v>
      </c>
      <c r="D6" s="13" t="s">
        <v>10</v>
      </c>
      <c r="E6" s="13" t="s">
        <v>11</v>
      </c>
      <c r="F6" s="13" t="s">
        <v>12</v>
      </c>
      <c r="G6" s="13"/>
      <c r="H6" s="14" t="s">
        <v>13</v>
      </c>
      <c r="I6" s="15" t="s">
        <v>8</v>
      </c>
      <c r="J6" s="13" t="s">
        <v>9</v>
      </c>
      <c r="K6" s="13" t="s">
        <v>10</v>
      </c>
      <c r="L6" s="13" t="s">
        <v>11</v>
      </c>
      <c r="M6" s="13" t="s">
        <v>12</v>
      </c>
      <c r="N6" s="14" t="s">
        <v>13</v>
      </c>
    </row>
    <row r="7" s="16" customFormat="true" ht="50.15" hidden="false" customHeight="true" outlineLevel="0" collapsed="false">
      <c r="B7" s="17" t="n">
        <v>1</v>
      </c>
      <c r="C7" s="18" t="s">
        <v>14</v>
      </c>
      <c r="D7" s="18" t="s">
        <v>15</v>
      </c>
      <c r="E7" s="19" t="s">
        <v>16</v>
      </c>
      <c r="F7" s="20"/>
      <c r="G7" s="20"/>
      <c r="H7" s="21"/>
      <c r="I7" s="22" t="n">
        <f aca="false">+B20+1</f>
        <v>15</v>
      </c>
      <c r="J7" s="23" t="s">
        <v>17</v>
      </c>
      <c r="K7" s="18" t="s">
        <v>18</v>
      </c>
      <c r="L7" s="19" t="s">
        <v>19</v>
      </c>
      <c r="M7" s="20"/>
      <c r="N7" s="21"/>
      <c r="O7" s="1"/>
    </row>
    <row r="8" s="16" customFormat="true" ht="50.15" hidden="false" customHeight="true" outlineLevel="0" collapsed="false">
      <c r="B8" s="17" t="n">
        <f aca="false">+B7+1</f>
        <v>2</v>
      </c>
      <c r="C8" s="18" t="s">
        <v>20</v>
      </c>
      <c r="D8" s="18" t="s">
        <v>21</v>
      </c>
      <c r="E8" s="19" t="s">
        <v>22</v>
      </c>
      <c r="F8" s="20"/>
      <c r="G8" s="20"/>
      <c r="H8" s="24"/>
      <c r="I8" s="22" t="n">
        <f aca="false">+I7+1</f>
        <v>16</v>
      </c>
      <c r="J8" s="23" t="s">
        <v>23</v>
      </c>
      <c r="K8" s="18" t="s">
        <v>24</v>
      </c>
      <c r="L8" s="19" t="s">
        <v>25</v>
      </c>
      <c r="M8" s="20"/>
      <c r="N8" s="24"/>
      <c r="O8" s="1"/>
    </row>
    <row r="9" s="16" customFormat="true" ht="50.15" hidden="false" customHeight="true" outlineLevel="0" collapsed="false">
      <c r="B9" s="17" t="n">
        <f aca="false">+B8+1</f>
        <v>3</v>
      </c>
      <c r="C9" s="18" t="s">
        <v>26</v>
      </c>
      <c r="D9" s="18" t="s">
        <v>27</v>
      </c>
      <c r="E9" s="19" t="s">
        <v>28</v>
      </c>
      <c r="F9" s="20"/>
      <c r="G9" s="20"/>
      <c r="H9" s="24"/>
      <c r="I9" s="22" t="n">
        <f aca="false">+I8+1</f>
        <v>17</v>
      </c>
      <c r="J9" s="23" t="s">
        <v>29</v>
      </c>
      <c r="K9" s="18" t="s">
        <v>30</v>
      </c>
      <c r="L9" s="19" t="s">
        <v>31</v>
      </c>
      <c r="M9" s="20"/>
      <c r="N9" s="24"/>
      <c r="O9" s="1"/>
    </row>
    <row r="10" s="16" customFormat="true" ht="50.15" hidden="false" customHeight="true" outlineLevel="0" collapsed="false">
      <c r="B10" s="17" t="n">
        <f aca="false">+B9+1</f>
        <v>4</v>
      </c>
      <c r="C10" s="18" t="s">
        <v>32</v>
      </c>
      <c r="D10" s="18" t="s">
        <v>33</v>
      </c>
      <c r="E10" s="19" t="s">
        <v>34</v>
      </c>
      <c r="F10" s="20"/>
      <c r="G10" s="20"/>
      <c r="H10" s="24"/>
      <c r="I10" s="22" t="n">
        <f aca="false">+I9+1</f>
        <v>18</v>
      </c>
      <c r="J10" s="23" t="s">
        <v>35</v>
      </c>
      <c r="K10" s="18" t="s">
        <v>36</v>
      </c>
      <c r="L10" s="19" t="s">
        <v>37</v>
      </c>
      <c r="M10" s="20"/>
      <c r="N10" s="24"/>
      <c r="O10" s="1"/>
    </row>
    <row r="11" s="16" customFormat="true" ht="50.15" hidden="false" customHeight="true" outlineLevel="0" collapsed="false">
      <c r="B11" s="17" t="n">
        <f aca="false">+B10+1</f>
        <v>5</v>
      </c>
      <c r="C11" s="18" t="s">
        <v>38</v>
      </c>
      <c r="D11" s="18" t="s">
        <v>39</v>
      </c>
      <c r="E11" s="19" t="s">
        <v>40</v>
      </c>
      <c r="F11" s="20"/>
      <c r="G11" s="20"/>
      <c r="H11" s="24"/>
      <c r="I11" s="22" t="n">
        <f aca="false">+I10+1</f>
        <v>19</v>
      </c>
      <c r="J11" s="18" t="s">
        <v>41</v>
      </c>
      <c r="K11" s="18" t="s">
        <v>42</v>
      </c>
      <c r="L11" s="19" t="s">
        <v>43</v>
      </c>
      <c r="M11" s="20"/>
      <c r="N11" s="24"/>
      <c r="O11" s="1"/>
    </row>
    <row r="12" s="16" customFormat="true" ht="50.15" hidden="false" customHeight="true" outlineLevel="0" collapsed="false">
      <c r="B12" s="17" t="n">
        <f aca="false">+B11+1</f>
        <v>6</v>
      </c>
      <c r="C12" s="23" t="s">
        <v>44</v>
      </c>
      <c r="D12" s="18" t="s">
        <v>45</v>
      </c>
      <c r="E12" s="19" t="s">
        <v>46</v>
      </c>
      <c r="F12" s="20"/>
      <c r="G12" s="20"/>
      <c r="H12" s="24"/>
      <c r="I12" s="22" t="n">
        <f aca="false">+I11+1</f>
        <v>20</v>
      </c>
      <c r="J12" s="23" t="s">
        <v>47</v>
      </c>
      <c r="K12" s="18" t="s">
        <v>48</v>
      </c>
      <c r="L12" s="19" t="s">
        <v>49</v>
      </c>
      <c r="M12" s="20"/>
      <c r="N12" s="24"/>
      <c r="O12" s="1"/>
    </row>
    <row r="13" s="16" customFormat="true" ht="50.15" hidden="false" customHeight="true" outlineLevel="0" collapsed="false">
      <c r="B13" s="17" t="n">
        <f aca="false">+B12+1</f>
        <v>7</v>
      </c>
      <c r="C13" s="18" t="s">
        <v>50</v>
      </c>
      <c r="D13" s="18" t="s">
        <v>51</v>
      </c>
      <c r="E13" s="19" t="s">
        <v>19</v>
      </c>
      <c r="F13" s="20"/>
      <c r="G13" s="20"/>
      <c r="H13" s="24"/>
      <c r="I13" s="22"/>
      <c r="J13" s="23"/>
      <c r="K13" s="18"/>
      <c r="L13" s="19"/>
      <c r="M13" s="20"/>
      <c r="N13" s="24"/>
      <c r="O13" s="1"/>
    </row>
    <row r="14" s="16" customFormat="true" ht="50.15" hidden="false" customHeight="true" outlineLevel="0" collapsed="false">
      <c r="B14" s="17" t="n">
        <f aca="false">+B13+1</f>
        <v>8</v>
      </c>
      <c r="C14" s="18" t="s">
        <v>52</v>
      </c>
      <c r="D14" s="18" t="s">
        <v>53</v>
      </c>
      <c r="E14" s="19" t="s">
        <v>54</v>
      </c>
      <c r="F14" s="20"/>
      <c r="G14" s="20"/>
      <c r="H14" s="24"/>
      <c r="I14" s="22"/>
      <c r="J14" s="23"/>
      <c r="K14" s="18"/>
      <c r="L14" s="19"/>
      <c r="M14" s="20"/>
      <c r="N14" s="24"/>
    </row>
    <row r="15" s="16" customFormat="true" ht="50.15" hidden="false" customHeight="true" outlineLevel="0" collapsed="false">
      <c r="B15" s="17" t="n">
        <f aca="false">+B14+1</f>
        <v>9</v>
      </c>
      <c r="C15" s="18" t="s">
        <v>55</v>
      </c>
      <c r="D15" s="18" t="s">
        <v>56</v>
      </c>
      <c r="E15" s="19" t="s">
        <v>57</v>
      </c>
      <c r="F15" s="20"/>
      <c r="G15" s="20"/>
      <c r="H15" s="24"/>
      <c r="I15" s="22"/>
      <c r="J15" s="23"/>
      <c r="K15" s="18"/>
      <c r="L15" s="19"/>
      <c r="M15" s="20"/>
      <c r="N15" s="24"/>
    </row>
    <row r="16" s="16" customFormat="true" ht="65.15" hidden="false" customHeight="true" outlineLevel="0" collapsed="false">
      <c r="B16" s="17" t="n">
        <f aca="false">+B15+1</f>
        <v>10</v>
      </c>
      <c r="C16" s="18" t="s">
        <v>58</v>
      </c>
      <c r="D16" s="18" t="s">
        <v>59</v>
      </c>
      <c r="E16" s="19" t="s">
        <v>60</v>
      </c>
      <c r="F16" s="20"/>
      <c r="G16" s="20"/>
      <c r="H16" s="24"/>
      <c r="I16" s="25"/>
      <c r="J16" s="26"/>
      <c r="K16" s="26"/>
      <c r="L16" s="26"/>
      <c r="M16" s="20"/>
      <c r="N16" s="24"/>
    </row>
    <row r="17" s="16" customFormat="true" ht="50.15" hidden="false" customHeight="true" outlineLevel="0" collapsed="false">
      <c r="B17" s="17" t="n">
        <f aca="false">+B16+1</f>
        <v>11</v>
      </c>
      <c r="C17" s="18" t="s">
        <v>61</v>
      </c>
      <c r="D17" s="18" t="s">
        <v>62</v>
      </c>
      <c r="E17" s="19" t="s">
        <v>63</v>
      </c>
      <c r="F17" s="20"/>
      <c r="G17" s="20"/>
      <c r="H17" s="24"/>
      <c r="I17" s="22"/>
      <c r="J17" s="23"/>
      <c r="K17" s="18"/>
      <c r="L17" s="19"/>
      <c r="M17" s="20"/>
      <c r="N17" s="24"/>
    </row>
    <row r="18" s="16" customFormat="true" ht="50.15" hidden="false" customHeight="true" outlineLevel="0" collapsed="false">
      <c r="B18" s="17" t="n">
        <f aca="false">+B17+1</f>
        <v>12</v>
      </c>
      <c r="C18" s="23" t="s">
        <v>64</v>
      </c>
      <c r="D18" s="18" t="s">
        <v>65</v>
      </c>
      <c r="E18" s="19" t="s">
        <v>66</v>
      </c>
      <c r="F18" s="20"/>
      <c r="G18" s="20"/>
      <c r="H18" s="24"/>
      <c r="I18" s="25"/>
      <c r="J18" s="26"/>
      <c r="K18" s="26"/>
      <c r="L18" s="26"/>
      <c r="M18" s="20"/>
      <c r="N18" s="24"/>
    </row>
    <row r="19" s="16" customFormat="true" ht="50.15" hidden="false" customHeight="true" outlineLevel="0" collapsed="false">
      <c r="B19" s="17" t="n">
        <f aca="false">+B18+1</f>
        <v>13</v>
      </c>
      <c r="C19" s="18" t="s">
        <v>67</v>
      </c>
      <c r="D19" s="18" t="s">
        <v>68</v>
      </c>
      <c r="E19" s="19" t="s">
        <v>69</v>
      </c>
      <c r="F19" s="20"/>
      <c r="G19" s="20"/>
      <c r="H19" s="24"/>
      <c r="I19" s="25"/>
      <c r="J19" s="26"/>
      <c r="K19" s="26"/>
      <c r="L19" s="26"/>
      <c r="M19" s="20"/>
      <c r="N19" s="24"/>
    </row>
    <row r="20" s="16" customFormat="true" ht="50.15" hidden="false" customHeight="true" outlineLevel="0" collapsed="false">
      <c r="B20" s="27" t="n">
        <f aca="false">+B19+1</f>
        <v>14</v>
      </c>
      <c r="C20" s="28" t="s">
        <v>70</v>
      </c>
      <c r="D20" s="28" t="s">
        <v>71</v>
      </c>
      <c r="E20" s="29" t="s">
        <v>72</v>
      </c>
      <c r="F20" s="30"/>
      <c r="G20" s="30"/>
      <c r="H20" s="31"/>
      <c r="I20" s="32"/>
      <c r="J20" s="33"/>
      <c r="K20" s="33"/>
      <c r="L20" s="33"/>
      <c r="M20" s="30"/>
      <c r="N20" s="31"/>
    </row>
    <row r="21" s="16" customFormat="true" ht="43.5" hidden="false" customHeight="true" outlineLevel="0" collapsed="false"/>
    <row r="22" s="16" customFormat="true" ht="43.5" hidden="false" customHeight="true" outlineLevel="0" collapsed="false">
      <c r="B22" s="34" t="s">
        <v>73</v>
      </c>
      <c r="C22" s="34"/>
      <c r="D22" s="35" t="s">
        <v>74</v>
      </c>
      <c r="E22" s="35" t="s">
        <v>75</v>
      </c>
      <c r="F22" s="35"/>
      <c r="G22" s="35"/>
      <c r="H22" s="35"/>
      <c r="I22" s="35"/>
      <c r="J22" s="35"/>
      <c r="K22" s="35"/>
      <c r="L22" s="35"/>
      <c r="M22" s="36" t="s">
        <v>76</v>
      </c>
      <c r="N22" s="36"/>
    </row>
    <row r="23" s="16" customFormat="true" ht="43.5" hidden="false" customHeight="true" outlineLevel="0" collapsed="false">
      <c r="A23" s="7" t="n">
        <v>1</v>
      </c>
      <c r="B23" s="37"/>
      <c r="C23" s="37"/>
      <c r="D23" s="38"/>
      <c r="E23" s="38"/>
      <c r="F23" s="38"/>
      <c r="G23" s="38"/>
      <c r="H23" s="38"/>
      <c r="I23" s="38"/>
      <c r="J23" s="38"/>
      <c r="K23" s="38"/>
      <c r="L23" s="38"/>
      <c r="M23" s="39"/>
      <c r="N23" s="39"/>
    </row>
    <row r="24" s="16" customFormat="true" ht="43.5" hidden="false" customHeight="true" outlineLevel="0" collapsed="false">
      <c r="A24" s="7" t="n">
        <f aca="false">+A23+1</f>
        <v>2</v>
      </c>
      <c r="B24" s="40"/>
      <c r="C24" s="40"/>
      <c r="D24" s="41"/>
      <c r="E24" s="41"/>
      <c r="F24" s="41"/>
      <c r="G24" s="41"/>
      <c r="H24" s="41"/>
      <c r="I24" s="41"/>
      <c r="J24" s="41"/>
      <c r="K24" s="41"/>
      <c r="L24" s="41"/>
      <c r="M24" s="42"/>
      <c r="N24" s="42"/>
    </row>
    <row r="25" customFormat="false" ht="48" hidden="false" customHeight="true" outlineLevel="0" collapsed="false">
      <c r="A25" s="7" t="n">
        <f aca="false">+A24+1</f>
        <v>3</v>
      </c>
      <c r="B25" s="40"/>
      <c r="C25" s="40"/>
      <c r="D25" s="41"/>
      <c r="E25" s="41"/>
      <c r="F25" s="41"/>
      <c r="G25" s="41"/>
      <c r="H25" s="41"/>
      <c r="I25" s="41"/>
      <c r="J25" s="41"/>
      <c r="K25" s="41"/>
      <c r="L25" s="41"/>
      <c r="M25" s="42"/>
      <c r="N25" s="42"/>
    </row>
    <row r="26" customFormat="false" ht="48" hidden="false" customHeight="true" outlineLevel="0" collapsed="false">
      <c r="A26" s="7" t="n">
        <f aca="false">+A25+1</f>
        <v>4</v>
      </c>
      <c r="B26" s="40"/>
      <c r="C26" s="40"/>
      <c r="D26" s="41"/>
      <c r="E26" s="41"/>
      <c r="F26" s="41"/>
      <c r="G26" s="41"/>
      <c r="H26" s="41"/>
      <c r="I26" s="41"/>
      <c r="J26" s="41"/>
      <c r="K26" s="41"/>
      <c r="L26" s="41"/>
      <c r="M26" s="42"/>
      <c r="N26" s="42"/>
    </row>
    <row r="27" s="7" customFormat="true" ht="33" hidden="false" customHeight="true" outlineLevel="0" collapsed="false">
      <c r="N27" s="43"/>
    </row>
    <row r="28" s="7" customFormat="true" ht="33" hidden="false" customHeight="true" outlineLevel="0" collapsed="false">
      <c r="N28" s="43"/>
    </row>
  </sheetData>
  <mergeCells count="37">
    <mergeCell ref="E2:N3"/>
    <mergeCell ref="B4:C4"/>
    <mergeCell ref="E4:F4"/>
    <mergeCell ref="G4:H4"/>
    <mergeCell ref="J4:K4"/>
    <mergeCell ref="M4:N4"/>
    <mergeCell ref="B5:L5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B22:C22"/>
    <mergeCell ref="E22:L22"/>
    <mergeCell ref="M22:N22"/>
    <mergeCell ref="B23:C23"/>
    <mergeCell ref="E23:L23"/>
    <mergeCell ref="M23:N23"/>
    <mergeCell ref="B24:C24"/>
    <mergeCell ref="E24:L24"/>
    <mergeCell ref="M24:N24"/>
    <mergeCell ref="B25:C25"/>
    <mergeCell ref="E25:L25"/>
    <mergeCell ref="M25:N25"/>
    <mergeCell ref="B26:C26"/>
    <mergeCell ref="E26:L26"/>
    <mergeCell ref="M26:N26"/>
  </mergeCells>
  <conditionalFormatting sqref="K17">
    <cfRule type="duplicateValues" priority="2" aboveAverage="0" equalAverage="0" bottom="0" percent="0" rank="0" text="" dxfId="0"/>
  </conditionalFormatting>
  <conditionalFormatting sqref="K7 D20">
    <cfRule type="duplicateValues" priority="3" aboveAverage="0" equalAverage="0" bottom="0" percent="0" rank="0" text="" dxfId="1"/>
  </conditionalFormatting>
  <conditionalFormatting sqref="D18 K8:K15">
    <cfRule type="duplicateValues" priority="4" aboveAverage="0" equalAverage="0" bottom="0" percent="0" rank="0" text="" dxfId="2"/>
  </conditionalFormatting>
  <dataValidations count="1">
    <dataValidation allowBlank="true" errorStyle="stop" operator="between" showDropDown="false" showErrorMessage="true" showInputMessage="true" sqref="J7 J9:J10 C12 C14:C15 J17 C18 C20" type="list">
      <formula1>0</formula1>
      <formula2>0</formula2>
    </dataValidation>
  </dataValidations>
  <printOptions headings="false" gridLines="false" gridLinesSet="true" horizontalCentered="false" verticalCentered="false"/>
  <pageMargins left="0.236111111111111" right="0.236111111111111" top="0.747916666666667" bottom="0.74791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true"/>
  </sheetPr>
  <dimension ref="A1:W153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pane xSplit="6" ySplit="11" topLeftCell="G12" activePane="bottomRight" state="frozen"/>
      <selection pane="topLeft" activeCell="A1" activeCellId="0" sqref="A1"/>
      <selection pane="topRight" activeCell="G1" activeCellId="0" sqref="G1"/>
      <selection pane="bottomLeft" activeCell="A12" activeCellId="0" sqref="A12"/>
      <selection pane="bottomRight" activeCell="Q19" activeCellId="0" sqref="Q19"/>
    </sheetView>
  </sheetViews>
  <sheetFormatPr defaultColWidth="11.453125" defaultRowHeight="20" zeroHeight="false" outlineLevelRow="0" outlineLevelCol="0"/>
  <cols>
    <col collapsed="false" customWidth="true" hidden="false" outlineLevel="0" max="1" min="1" style="44" width="15.82"/>
    <col collapsed="false" customWidth="true" hidden="false" outlineLevel="0" max="2" min="2" style="44" width="23.82"/>
    <col collapsed="false" customWidth="true" hidden="false" outlineLevel="0" max="3" min="3" style="44" width="26.45"/>
    <col collapsed="false" customWidth="true" hidden="false" outlineLevel="0" max="4" min="4" style="45" width="50.36"/>
    <col collapsed="false" customWidth="true" hidden="false" outlineLevel="0" max="5" min="5" style="45" width="45.54"/>
    <col collapsed="false" customWidth="true" hidden="false" outlineLevel="0" max="6" min="6" style="45" width="27.45"/>
    <col collapsed="false" customWidth="true" hidden="false" outlineLevel="0" max="7" min="7" style="44" width="4.18"/>
    <col collapsed="false" customWidth="true" hidden="false" outlineLevel="0" max="8" min="8" style="44" width="8.18"/>
    <col collapsed="false" customWidth="true" hidden="false" outlineLevel="0" max="9" min="9" style="44" width="6.27"/>
    <col collapsed="false" customWidth="true" hidden="false" outlineLevel="0" max="10" min="10" style="44" width="6"/>
    <col collapsed="false" customWidth="true" hidden="false" outlineLevel="0" max="11" min="11" style="44" width="5.54"/>
    <col collapsed="false" customWidth="true" hidden="false" outlineLevel="0" max="13" min="12" style="44" width="4.18"/>
    <col collapsed="false" customWidth="true" hidden="false" outlineLevel="0" max="14" min="14" style="45" width="21.18"/>
    <col collapsed="false" customWidth="true" hidden="false" outlineLevel="0" max="15" min="15" style="45" width="12.18"/>
    <col collapsed="false" customWidth="true" hidden="false" outlineLevel="0" max="16" min="16" style="45" width="14.63"/>
    <col collapsed="false" customWidth="true" hidden="false" outlineLevel="0" max="17" min="17" style="45" width="41.45"/>
    <col collapsed="false" customWidth="true" hidden="false" outlineLevel="0" max="18" min="18" style="45" width="38.82"/>
    <col collapsed="false" customWidth="true" hidden="false" outlineLevel="0" max="19" min="19" style="44" width="15.54"/>
    <col collapsed="false" customWidth="true" hidden="false" outlineLevel="0" max="20" min="20" style="44" width="34.54"/>
    <col collapsed="false" customWidth="true" hidden="false" outlineLevel="0" max="21" min="21" style="44" width="12.27"/>
    <col collapsed="false" customWidth="true" hidden="false" outlineLevel="0" max="22" min="22" style="44" width="14"/>
    <col collapsed="false" customWidth="true" hidden="false" outlineLevel="0" max="23" min="23" style="44" width="13.54"/>
    <col collapsed="false" customWidth="false" hidden="false" outlineLevel="0" max="259" min="24" style="44" width="11.45"/>
    <col collapsed="false" customWidth="true" hidden="false" outlineLevel="0" max="260" min="260" style="44" width="3.82"/>
    <col collapsed="false" customWidth="true" hidden="false" outlineLevel="0" max="261" min="261" style="44" width="7.18"/>
    <col collapsed="false" customWidth="true" hidden="false" outlineLevel="0" max="262" min="262" style="44" width="57.54"/>
    <col collapsed="false" customWidth="true" hidden="false" outlineLevel="0" max="263" min="263" style="44" width="19.45"/>
    <col collapsed="false" customWidth="true" hidden="false" outlineLevel="0" max="269" min="264" style="44" width="3.82"/>
    <col collapsed="false" customWidth="true" hidden="false" outlineLevel="0" max="270" min="270" style="44" width="14.45"/>
    <col collapsed="false" customWidth="true" hidden="false" outlineLevel="0" max="271" min="271" style="44" width="12.18"/>
    <col collapsed="false" customWidth="true" hidden="false" outlineLevel="0" max="272" min="272" style="44" width="9.18"/>
    <col collapsed="false" customWidth="true" hidden="false" outlineLevel="0" max="273" min="273" style="44" width="35.82"/>
    <col collapsed="false" customWidth="false" hidden="false" outlineLevel="0" max="275" min="274" style="44" width="11.45"/>
    <col collapsed="false" customWidth="true" hidden="true" outlineLevel="0" max="276" min="276" style="44" width="11.53"/>
    <col collapsed="false" customWidth="true" hidden="false" outlineLevel="0" max="277" min="277" style="44" width="41.18"/>
    <col collapsed="false" customWidth="false" hidden="false" outlineLevel="0" max="515" min="278" style="44" width="11.45"/>
    <col collapsed="false" customWidth="true" hidden="false" outlineLevel="0" max="516" min="516" style="44" width="3.82"/>
    <col collapsed="false" customWidth="true" hidden="false" outlineLevel="0" max="517" min="517" style="44" width="7.18"/>
    <col collapsed="false" customWidth="true" hidden="false" outlineLevel="0" max="518" min="518" style="44" width="57.54"/>
    <col collapsed="false" customWidth="true" hidden="false" outlineLevel="0" max="519" min="519" style="44" width="19.45"/>
    <col collapsed="false" customWidth="true" hidden="false" outlineLevel="0" max="525" min="520" style="44" width="3.82"/>
    <col collapsed="false" customWidth="true" hidden="false" outlineLevel="0" max="526" min="526" style="44" width="14.45"/>
    <col collapsed="false" customWidth="true" hidden="false" outlineLevel="0" max="527" min="527" style="44" width="12.18"/>
    <col collapsed="false" customWidth="true" hidden="false" outlineLevel="0" max="528" min="528" style="44" width="9.18"/>
    <col collapsed="false" customWidth="true" hidden="false" outlineLevel="0" max="529" min="529" style="44" width="35.82"/>
    <col collapsed="false" customWidth="false" hidden="false" outlineLevel="0" max="531" min="530" style="44" width="11.45"/>
    <col collapsed="false" customWidth="true" hidden="true" outlineLevel="0" max="532" min="532" style="44" width="11.53"/>
    <col collapsed="false" customWidth="true" hidden="false" outlineLevel="0" max="533" min="533" style="44" width="41.18"/>
    <col collapsed="false" customWidth="false" hidden="false" outlineLevel="0" max="771" min="534" style="44" width="11.45"/>
    <col collapsed="false" customWidth="true" hidden="false" outlineLevel="0" max="772" min="772" style="44" width="3.82"/>
    <col collapsed="false" customWidth="true" hidden="false" outlineLevel="0" max="773" min="773" style="44" width="7.18"/>
    <col collapsed="false" customWidth="true" hidden="false" outlineLevel="0" max="774" min="774" style="44" width="57.54"/>
    <col collapsed="false" customWidth="true" hidden="false" outlineLevel="0" max="775" min="775" style="44" width="19.45"/>
    <col collapsed="false" customWidth="true" hidden="false" outlineLevel="0" max="781" min="776" style="44" width="3.82"/>
    <col collapsed="false" customWidth="true" hidden="false" outlineLevel="0" max="782" min="782" style="44" width="14.45"/>
    <col collapsed="false" customWidth="true" hidden="false" outlineLevel="0" max="783" min="783" style="44" width="12.18"/>
    <col collapsed="false" customWidth="true" hidden="false" outlineLevel="0" max="784" min="784" style="44" width="9.18"/>
    <col collapsed="false" customWidth="true" hidden="false" outlineLevel="0" max="785" min="785" style="44" width="35.82"/>
    <col collapsed="false" customWidth="false" hidden="false" outlineLevel="0" max="787" min="786" style="44" width="11.45"/>
    <col collapsed="false" customWidth="true" hidden="true" outlineLevel="0" max="788" min="788" style="44" width="11.53"/>
    <col collapsed="false" customWidth="true" hidden="false" outlineLevel="0" max="789" min="789" style="44" width="41.18"/>
    <col collapsed="false" customWidth="false" hidden="false" outlineLevel="0" max="1027" min="790" style="44" width="11.45"/>
    <col collapsed="false" customWidth="true" hidden="false" outlineLevel="0" max="1028" min="1028" style="44" width="3.82"/>
    <col collapsed="false" customWidth="true" hidden="false" outlineLevel="0" max="1029" min="1029" style="44" width="7.18"/>
    <col collapsed="false" customWidth="true" hidden="false" outlineLevel="0" max="1030" min="1030" style="44" width="57.54"/>
    <col collapsed="false" customWidth="true" hidden="false" outlineLevel="0" max="1031" min="1031" style="44" width="19.45"/>
    <col collapsed="false" customWidth="true" hidden="false" outlineLevel="0" max="1037" min="1032" style="44" width="3.82"/>
    <col collapsed="false" customWidth="true" hidden="false" outlineLevel="0" max="1038" min="1038" style="44" width="14.45"/>
    <col collapsed="false" customWidth="true" hidden="false" outlineLevel="0" max="1039" min="1039" style="44" width="12.18"/>
    <col collapsed="false" customWidth="true" hidden="false" outlineLevel="0" max="1040" min="1040" style="44" width="9.18"/>
    <col collapsed="false" customWidth="true" hidden="false" outlineLevel="0" max="1041" min="1041" style="44" width="35.82"/>
    <col collapsed="false" customWidth="false" hidden="false" outlineLevel="0" max="1043" min="1042" style="44" width="11.45"/>
    <col collapsed="false" customWidth="true" hidden="true" outlineLevel="0" max="1044" min="1044" style="44" width="11.53"/>
    <col collapsed="false" customWidth="true" hidden="false" outlineLevel="0" max="1045" min="1045" style="44" width="41.18"/>
    <col collapsed="false" customWidth="false" hidden="false" outlineLevel="0" max="1283" min="1046" style="44" width="11.45"/>
    <col collapsed="false" customWidth="true" hidden="false" outlineLevel="0" max="1284" min="1284" style="44" width="3.82"/>
    <col collapsed="false" customWidth="true" hidden="false" outlineLevel="0" max="1285" min="1285" style="44" width="7.18"/>
    <col collapsed="false" customWidth="true" hidden="false" outlineLevel="0" max="1286" min="1286" style="44" width="57.54"/>
    <col collapsed="false" customWidth="true" hidden="false" outlineLevel="0" max="1287" min="1287" style="44" width="19.45"/>
    <col collapsed="false" customWidth="true" hidden="false" outlineLevel="0" max="1293" min="1288" style="44" width="3.82"/>
    <col collapsed="false" customWidth="true" hidden="false" outlineLevel="0" max="1294" min="1294" style="44" width="14.45"/>
    <col collapsed="false" customWidth="true" hidden="false" outlineLevel="0" max="1295" min="1295" style="44" width="12.18"/>
    <col collapsed="false" customWidth="true" hidden="false" outlineLevel="0" max="1296" min="1296" style="44" width="9.18"/>
    <col collapsed="false" customWidth="true" hidden="false" outlineLevel="0" max="1297" min="1297" style="44" width="35.82"/>
    <col collapsed="false" customWidth="false" hidden="false" outlineLevel="0" max="1299" min="1298" style="44" width="11.45"/>
    <col collapsed="false" customWidth="true" hidden="true" outlineLevel="0" max="1300" min="1300" style="44" width="11.53"/>
    <col collapsed="false" customWidth="true" hidden="false" outlineLevel="0" max="1301" min="1301" style="44" width="41.18"/>
    <col collapsed="false" customWidth="false" hidden="false" outlineLevel="0" max="1539" min="1302" style="44" width="11.45"/>
    <col collapsed="false" customWidth="true" hidden="false" outlineLevel="0" max="1540" min="1540" style="44" width="3.82"/>
    <col collapsed="false" customWidth="true" hidden="false" outlineLevel="0" max="1541" min="1541" style="44" width="7.18"/>
    <col collapsed="false" customWidth="true" hidden="false" outlineLevel="0" max="1542" min="1542" style="44" width="57.54"/>
    <col collapsed="false" customWidth="true" hidden="false" outlineLevel="0" max="1543" min="1543" style="44" width="19.45"/>
    <col collapsed="false" customWidth="true" hidden="false" outlineLevel="0" max="1549" min="1544" style="44" width="3.82"/>
    <col collapsed="false" customWidth="true" hidden="false" outlineLevel="0" max="1550" min="1550" style="44" width="14.45"/>
    <col collapsed="false" customWidth="true" hidden="false" outlineLevel="0" max="1551" min="1551" style="44" width="12.18"/>
    <col collapsed="false" customWidth="true" hidden="false" outlineLevel="0" max="1552" min="1552" style="44" width="9.18"/>
    <col collapsed="false" customWidth="true" hidden="false" outlineLevel="0" max="1553" min="1553" style="44" width="35.82"/>
    <col collapsed="false" customWidth="false" hidden="false" outlineLevel="0" max="1555" min="1554" style="44" width="11.45"/>
    <col collapsed="false" customWidth="true" hidden="true" outlineLevel="0" max="1556" min="1556" style="44" width="11.53"/>
    <col collapsed="false" customWidth="true" hidden="false" outlineLevel="0" max="1557" min="1557" style="44" width="41.18"/>
    <col collapsed="false" customWidth="false" hidden="false" outlineLevel="0" max="1795" min="1558" style="44" width="11.45"/>
    <col collapsed="false" customWidth="true" hidden="false" outlineLevel="0" max="1796" min="1796" style="44" width="3.82"/>
    <col collapsed="false" customWidth="true" hidden="false" outlineLevel="0" max="1797" min="1797" style="44" width="7.18"/>
    <col collapsed="false" customWidth="true" hidden="false" outlineLevel="0" max="1798" min="1798" style="44" width="57.54"/>
    <col collapsed="false" customWidth="true" hidden="false" outlineLevel="0" max="1799" min="1799" style="44" width="19.45"/>
    <col collapsed="false" customWidth="true" hidden="false" outlineLevel="0" max="1805" min="1800" style="44" width="3.82"/>
    <col collapsed="false" customWidth="true" hidden="false" outlineLevel="0" max="1806" min="1806" style="44" width="14.45"/>
    <col collapsed="false" customWidth="true" hidden="false" outlineLevel="0" max="1807" min="1807" style="44" width="12.18"/>
    <col collapsed="false" customWidth="true" hidden="false" outlineLevel="0" max="1808" min="1808" style="44" width="9.18"/>
    <col collapsed="false" customWidth="true" hidden="false" outlineLevel="0" max="1809" min="1809" style="44" width="35.82"/>
    <col collapsed="false" customWidth="false" hidden="false" outlineLevel="0" max="1811" min="1810" style="44" width="11.45"/>
    <col collapsed="false" customWidth="true" hidden="true" outlineLevel="0" max="1812" min="1812" style="44" width="11.53"/>
    <col collapsed="false" customWidth="true" hidden="false" outlineLevel="0" max="1813" min="1813" style="44" width="41.18"/>
    <col collapsed="false" customWidth="false" hidden="false" outlineLevel="0" max="2051" min="1814" style="44" width="11.45"/>
    <col collapsed="false" customWidth="true" hidden="false" outlineLevel="0" max="2052" min="2052" style="44" width="3.82"/>
    <col collapsed="false" customWidth="true" hidden="false" outlineLevel="0" max="2053" min="2053" style="44" width="7.18"/>
    <col collapsed="false" customWidth="true" hidden="false" outlineLevel="0" max="2054" min="2054" style="44" width="57.54"/>
    <col collapsed="false" customWidth="true" hidden="false" outlineLevel="0" max="2055" min="2055" style="44" width="19.45"/>
    <col collapsed="false" customWidth="true" hidden="false" outlineLevel="0" max="2061" min="2056" style="44" width="3.82"/>
    <col collapsed="false" customWidth="true" hidden="false" outlineLevel="0" max="2062" min="2062" style="44" width="14.45"/>
    <col collapsed="false" customWidth="true" hidden="false" outlineLevel="0" max="2063" min="2063" style="44" width="12.18"/>
    <col collapsed="false" customWidth="true" hidden="false" outlineLevel="0" max="2064" min="2064" style="44" width="9.18"/>
    <col collapsed="false" customWidth="true" hidden="false" outlineLevel="0" max="2065" min="2065" style="44" width="35.82"/>
    <col collapsed="false" customWidth="false" hidden="false" outlineLevel="0" max="2067" min="2066" style="44" width="11.45"/>
    <col collapsed="false" customWidth="true" hidden="true" outlineLevel="0" max="2068" min="2068" style="44" width="11.53"/>
    <col collapsed="false" customWidth="true" hidden="false" outlineLevel="0" max="2069" min="2069" style="44" width="41.18"/>
    <col collapsed="false" customWidth="false" hidden="false" outlineLevel="0" max="2307" min="2070" style="44" width="11.45"/>
    <col collapsed="false" customWidth="true" hidden="false" outlineLevel="0" max="2308" min="2308" style="44" width="3.82"/>
    <col collapsed="false" customWidth="true" hidden="false" outlineLevel="0" max="2309" min="2309" style="44" width="7.18"/>
    <col collapsed="false" customWidth="true" hidden="false" outlineLevel="0" max="2310" min="2310" style="44" width="57.54"/>
    <col collapsed="false" customWidth="true" hidden="false" outlineLevel="0" max="2311" min="2311" style="44" width="19.45"/>
    <col collapsed="false" customWidth="true" hidden="false" outlineLevel="0" max="2317" min="2312" style="44" width="3.82"/>
    <col collapsed="false" customWidth="true" hidden="false" outlineLevel="0" max="2318" min="2318" style="44" width="14.45"/>
    <col collapsed="false" customWidth="true" hidden="false" outlineLevel="0" max="2319" min="2319" style="44" width="12.18"/>
    <col collapsed="false" customWidth="true" hidden="false" outlineLevel="0" max="2320" min="2320" style="44" width="9.18"/>
    <col collapsed="false" customWidth="true" hidden="false" outlineLevel="0" max="2321" min="2321" style="44" width="35.82"/>
    <col collapsed="false" customWidth="false" hidden="false" outlineLevel="0" max="2323" min="2322" style="44" width="11.45"/>
    <col collapsed="false" customWidth="true" hidden="true" outlineLevel="0" max="2324" min="2324" style="44" width="11.53"/>
    <col collapsed="false" customWidth="true" hidden="false" outlineLevel="0" max="2325" min="2325" style="44" width="41.18"/>
    <col collapsed="false" customWidth="false" hidden="false" outlineLevel="0" max="2563" min="2326" style="44" width="11.45"/>
    <col collapsed="false" customWidth="true" hidden="false" outlineLevel="0" max="2564" min="2564" style="44" width="3.82"/>
    <col collapsed="false" customWidth="true" hidden="false" outlineLevel="0" max="2565" min="2565" style="44" width="7.18"/>
    <col collapsed="false" customWidth="true" hidden="false" outlineLevel="0" max="2566" min="2566" style="44" width="57.54"/>
    <col collapsed="false" customWidth="true" hidden="false" outlineLevel="0" max="2567" min="2567" style="44" width="19.45"/>
    <col collapsed="false" customWidth="true" hidden="false" outlineLevel="0" max="2573" min="2568" style="44" width="3.82"/>
    <col collapsed="false" customWidth="true" hidden="false" outlineLevel="0" max="2574" min="2574" style="44" width="14.45"/>
    <col collapsed="false" customWidth="true" hidden="false" outlineLevel="0" max="2575" min="2575" style="44" width="12.18"/>
    <col collapsed="false" customWidth="true" hidden="false" outlineLevel="0" max="2576" min="2576" style="44" width="9.18"/>
    <col collapsed="false" customWidth="true" hidden="false" outlineLevel="0" max="2577" min="2577" style="44" width="35.82"/>
    <col collapsed="false" customWidth="false" hidden="false" outlineLevel="0" max="2579" min="2578" style="44" width="11.45"/>
    <col collapsed="false" customWidth="true" hidden="true" outlineLevel="0" max="2580" min="2580" style="44" width="11.53"/>
    <col collapsed="false" customWidth="true" hidden="false" outlineLevel="0" max="2581" min="2581" style="44" width="41.18"/>
    <col collapsed="false" customWidth="false" hidden="false" outlineLevel="0" max="2819" min="2582" style="44" width="11.45"/>
    <col collapsed="false" customWidth="true" hidden="false" outlineLevel="0" max="2820" min="2820" style="44" width="3.82"/>
    <col collapsed="false" customWidth="true" hidden="false" outlineLevel="0" max="2821" min="2821" style="44" width="7.18"/>
    <col collapsed="false" customWidth="true" hidden="false" outlineLevel="0" max="2822" min="2822" style="44" width="57.54"/>
    <col collapsed="false" customWidth="true" hidden="false" outlineLevel="0" max="2823" min="2823" style="44" width="19.45"/>
    <col collapsed="false" customWidth="true" hidden="false" outlineLevel="0" max="2829" min="2824" style="44" width="3.82"/>
    <col collapsed="false" customWidth="true" hidden="false" outlineLevel="0" max="2830" min="2830" style="44" width="14.45"/>
    <col collapsed="false" customWidth="true" hidden="false" outlineLevel="0" max="2831" min="2831" style="44" width="12.18"/>
    <col collapsed="false" customWidth="true" hidden="false" outlineLevel="0" max="2832" min="2832" style="44" width="9.18"/>
    <col collapsed="false" customWidth="true" hidden="false" outlineLevel="0" max="2833" min="2833" style="44" width="35.82"/>
    <col collapsed="false" customWidth="false" hidden="false" outlineLevel="0" max="2835" min="2834" style="44" width="11.45"/>
    <col collapsed="false" customWidth="true" hidden="true" outlineLevel="0" max="2836" min="2836" style="44" width="11.53"/>
    <col collapsed="false" customWidth="true" hidden="false" outlineLevel="0" max="2837" min="2837" style="44" width="41.18"/>
    <col collapsed="false" customWidth="false" hidden="false" outlineLevel="0" max="3075" min="2838" style="44" width="11.45"/>
    <col collapsed="false" customWidth="true" hidden="false" outlineLevel="0" max="3076" min="3076" style="44" width="3.82"/>
    <col collapsed="false" customWidth="true" hidden="false" outlineLevel="0" max="3077" min="3077" style="44" width="7.18"/>
    <col collapsed="false" customWidth="true" hidden="false" outlineLevel="0" max="3078" min="3078" style="44" width="57.54"/>
    <col collapsed="false" customWidth="true" hidden="false" outlineLevel="0" max="3079" min="3079" style="44" width="19.45"/>
    <col collapsed="false" customWidth="true" hidden="false" outlineLevel="0" max="3085" min="3080" style="44" width="3.82"/>
    <col collapsed="false" customWidth="true" hidden="false" outlineLevel="0" max="3086" min="3086" style="44" width="14.45"/>
    <col collapsed="false" customWidth="true" hidden="false" outlineLevel="0" max="3087" min="3087" style="44" width="12.18"/>
    <col collapsed="false" customWidth="true" hidden="false" outlineLevel="0" max="3088" min="3088" style="44" width="9.18"/>
    <col collapsed="false" customWidth="true" hidden="false" outlineLevel="0" max="3089" min="3089" style="44" width="35.82"/>
    <col collapsed="false" customWidth="false" hidden="false" outlineLevel="0" max="3091" min="3090" style="44" width="11.45"/>
    <col collapsed="false" customWidth="true" hidden="true" outlineLevel="0" max="3092" min="3092" style="44" width="11.53"/>
    <col collapsed="false" customWidth="true" hidden="false" outlineLevel="0" max="3093" min="3093" style="44" width="41.18"/>
    <col collapsed="false" customWidth="false" hidden="false" outlineLevel="0" max="3331" min="3094" style="44" width="11.45"/>
    <col collapsed="false" customWidth="true" hidden="false" outlineLevel="0" max="3332" min="3332" style="44" width="3.82"/>
    <col collapsed="false" customWidth="true" hidden="false" outlineLevel="0" max="3333" min="3333" style="44" width="7.18"/>
    <col collapsed="false" customWidth="true" hidden="false" outlineLevel="0" max="3334" min="3334" style="44" width="57.54"/>
    <col collapsed="false" customWidth="true" hidden="false" outlineLevel="0" max="3335" min="3335" style="44" width="19.45"/>
    <col collapsed="false" customWidth="true" hidden="false" outlineLevel="0" max="3341" min="3336" style="44" width="3.82"/>
    <col collapsed="false" customWidth="true" hidden="false" outlineLevel="0" max="3342" min="3342" style="44" width="14.45"/>
    <col collapsed="false" customWidth="true" hidden="false" outlineLevel="0" max="3343" min="3343" style="44" width="12.18"/>
    <col collapsed="false" customWidth="true" hidden="false" outlineLevel="0" max="3344" min="3344" style="44" width="9.18"/>
    <col collapsed="false" customWidth="true" hidden="false" outlineLevel="0" max="3345" min="3345" style="44" width="35.82"/>
    <col collapsed="false" customWidth="false" hidden="false" outlineLevel="0" max="3347" min="3346" style="44" width="11.45"/>
    <col collapsed="false" customWidth="true" hidden="true" outlineLevel="0" max="3348" min="3348" style="44" width="11.53"/>
    <col collapsed="false" customWidth="true" hidden="false" outlineLevel="0" max="3349" min="3349" style="44" width="41.18"/>
    <col collapsed="false" customWidth="false" hidden="false" outlineLevel="0" max="3587" min="3350" style="44" width="11.45"/>
    <col collapsed="false" customWidth="true" hidden="false" outlineLevel="0" max="3588" min="3588" style="44" width="3.82"/>
    <col collapsed="false" customWidth="true" hidden="false" outlineLevel="0" max="3589" min="3589" style="44" width="7.18"/>
    <col collapsed="false" customWidth="true" hidden="false" outlineLevel="0" max="3590" min="3590" style="44" width="57.54"/>
    <col collapsed="false" customWidth="true" hidden="false" outlineLevel="0" max="3591" min="3591" style="44" width="19.45"/>
    <col collapsed="false" customWidth="true" hidden="false" outlineLevel="0" max="3597" min="3592" style="44" width="3.82"/>
    <col collapsed="false" customWidth="true" hidden="false" outlineLevel="0" max="3598" min="3598" style="44" width="14.45"/>
    <col collapsed="false" customWidth="true" hidden="false" outlineLevel="0" max="3599" min="3599" style="44" width="12.18"/>
    <col collapsed="false" customWidth="true" hidden="false" outlineLevel="0" max="3600" min="3600" style="44" width="9.18"/>
    <col collapsed="false" customWidth="true" hidden="false" outlineLevel="0" max="3601" min="3601" style="44" width="35.82"/>
    <col collapsed="false" customWidth="false" hidden="false" outlineLevel="0" max="3603" min="3602" style="44" width="11.45"/>
    <col collapsed="false" customWidth="true" hidden="true" outlineLevel="0" max="3604" min="3604" style="44" width="11.53"/>
    <col collapsed="false" customWidth="true" hidden="false" outlineLevel="0" max="3605" min="3605" style="44" width="41.18"/>
    <col collapsed="false" customWidth="false" hidden="false" outlineLevel="0" max="3843" min="3606" style="44" width="11.45"/>
    <col collapsed="false" customWidth="true" hidden="false" outlineLevel="0" max="3844" min="3844" style="44" width="3.82"/>
    <col collapsed="false" customWidth="true" hidden="false" outlineLevel="0" max="3845" min="3845" style="44" width="7.18"/>
    <col collapsed="false" customWidth="true" hidden="false" outlineLevel="0" max="3846" min="3846" style="44" width="57.54"/>
    <col collapsed="false" customWidth="true" hidden="false" outlineLevel="0" max="3847" min="3847" style="44" width="19.45"/>
    <col collapsed="false" customWidth="true" hidden="false" outlineLevel="0" max="3853" min="3848" style="44" width="3.82"/>
    <col collapsed="false" customWidth="true" hidden="false" outlineLevel="0" max="3854" min="3854" style="44" width="14.45"/>
    <col collapsed="false" customWidth="true" hidden="false" outlineLevel="0" max="3855" min="3855" style="44" width="12.18"/>
    <col collapsed="false" customWidth="true" hidden="false" outlineLevel="0" max="3856" min="3856" style="44" width="9.18"/>
    <col collapsed="false" customWidth="true" hidden="false" outlineLevel="0" max="3857" min="3857" style="44" width="35.82"/>
    <col collapsed="false" customWidth="false" hidden="false" outlineLevel="0" max="3859" min="3858" style="44" width="11.45"/>
    <col collapsed="false" customWidth="true" hidden="true" outlineLevel="0" max="3860" min="3860" style="44" width="11.53"/>
    <col collapsed="false" customWidth="true" hidden="false" outlineLevel="0" max="3861" min="3861" style="44" width="41.18"/>
    <col collapsed="false" customWidth="false" hidden="false" outlineLevel="0" max="4099" min="3862" style="44" width="11.45"/>
    <col collapsed="false" customWidth="true" hidden="false" outlineLevel="0" max="4100" min="4100" style="44" width="3.82"/>
    <col collapsed="false" customWidth="true" hidden="false" outlineLevel="0" max="4101" min="4101" style="44" width="7.18"/>
    <col collapsed="false" customWidth="true" hidden="false" outlineLevel="0" max="4102" min="4102" style="44" width="57.54"/>
    <col collapsed="false" customWidth="true" hidden="false" outlineLevel="0" max="4103" min="4103" style="44" width="19.45"/>
    <col collapsed="false" customWidth="true" hidden="false" outlineLevel="0" max="4109" min="4104" style="44" width="3.82"/>
    <col collapsed="false" customWidth="true" hidden="false" outlineLevel="0" max="4110" min="4110" style="44" width="14.45"/>
    <col collapsed="false" customWidth="true" hidden="false" outlineLevel="0" max="4111" min="4111" style="44" width="12.18"/>
    <col collapsed="false" customWidth="true" hidden="false" outlineLevel="0" max="4112" min="4112" style="44" width="9.18"/>
    <col collapsed="false" customWidth="true" hidden="false" outlineLevel="0" max="4113" min="4113" style="44" width="35.82"/>
    <col collapsed="false" customWidth="false" hidden="false" outlineLevel="0" max="4115" min="4114" style="44" width="11.45"/>
    <col collapsed="false" customWidth="true" hidden="true" outlineLevel="0" max="4116" min="4116" style="44" width="11.53"/>
    <col collapsed="false" customWidth="true" hidden="false" outlineLevel="0" max="4117" min="4117" style="44" width="41.18"/>
    <col collapsed="false" customWidth="false" hidden="false" outlineLevel="0" max="4355" min="4118" style="44" width="11.45"/>
    <col collapsed="false" customWidth="true" hidden="false" outlineLevel="0" max="4356" min="4356" style="44" width="3.82"/>
    <col collapsed="false" customWidth="true" hidden="false" outlineLevel="0" max="4357" min="4357" style="44" width="7.18"/>
    <col collapsed="false" customWidth="true" hidden="false" outlineLevel="0" max="4358" min="4358" style="44" width="57.54"/>
    <col collapsed="false" customWidth="true" hidden="false" outlineLevel="0" max="4359" min="4359" style="44" width="19.45"/>
    <col collapsed="false" customWidth="true" hidden="false" outlineLevel="0" max="4365" min="4360" style="44" width="3.82"/>
    <col collapsed="false" customWidth="true" hidden="false" outlineLevel="0" max="4366" min="4366" style="44" width="14.45"/>
    <col collapsed="false" customWidth="true" hidden="false" outlineLevel="0" max="4367" min="4367" style="44" width="12.18"/>
    <col collapsed="false" customWidth="true" hidden="false" outlineLevel="0" max="4368" min="4368" style="44" width="9.18"/>
    <col collapsed="false" customWidth="true" hidden="false" outlineLevel="0" max="4369" min="4369" style="44" width="35.82"/>
    <col collapsed="false" customWidth="false" hidden="false" outlineLevel="0" max="4371" min="4370" style="44" width="11.45"/>
    <col collapsed="false" customWidth="true" hidden="true" outlineLevel="0" max="4372" min="4372" style="44" width="11.53"/>
    <col collapsed="false" customWidth="true" hidden="false" outlineLevel="0" max="4373" min="4373" style="44" width="41.18"/>
    <col collapsed="false" customWidth="false" hidden="false" outlineLevel="0" max="4611" min="4374" style="44" width="11.45"/>
    <col collapsed="false" customWidth="true" hidden="false" outlineLevel="0" max="4612" min="4612" style="44" width="3.82"/>
    <col collapsed="false" customWidth="true" hidden="false" outlineLevel="0" max="4613" min="4613" style="44" width="7.18"/>
    <col collapsed="false" customWidth="true" hidden="false" outlineLevel="0" max="4614" min="4614" style="44" width="57.54"/>
    <col collapsed="false" customWidth="true" hidden="false" outlineLevel="0" max="4615" min="4615" style="44" width="19.45"/>
    <col collapsed="false" customWidth="true" hidden="false" outlineLevel="0" max="4621" min="4616" style="44" width="3.82"/>
    <col collapsed="false" customWidth="true" hidden="false" outlineLevel="0" max="4622" min="4622" style="44" width="14.45"/>
    <col collapsed="false" customWidth="true" hidden="false" outlineLevel="0" max="4623" min="4623" style="44" width="12.18"/>
    <col collapsed="false" customWidth="true" hidden="false" outlineLevel="0" max="4624" min="4624" style="44" width="9.18"/>
    <col collapsed="false" customWidth="true" hidden="false" outlineLevel="0" max="4625" min="4625" style="44" width="35.82"/>
    <col collapsed="false" customWidth="false" hidden="false" outlineLevel="0" max="4627" min="4626" style="44" width="11.45"/>
    <col collapsed="false" customWidth="true" hidden="true" outlineLevel="0" max="4628" min="4628" style="44" width="11.53"/>
    <col collapsed="false" customWidth="true" hidden="false" outlineLevel="0" max="4629" min="4629" style="44" width="41.18"/>
    <col collapsed="false" customWidth="false" hidden="false" outlineLevel="0" max="4867" min="4630" style="44" width="11.45"/>
    <col collapsed="false" customWidth="true" hidden="false" outlineLevel="0" max="4868" min="4868" style="44" width="3.82"/>
    <col collapsed="false" customWidth="true" hidden="false" outlineLevel="0" max="4869" min="4869" style="44" width="7.18"/>
    <col collapsed="false" customWidth="true" hidden="false" outlineLevel="0" max="4870" min="4870" style="44" width="57.54"/>
    <col collapsed="false" customWidth="true" hidden="false" outlineLevel="0" max="4871" min="4871" style="44" width="19.45"/>
    <col collapsed="false" customWidth="true" hidden="false" outlineLevel="0" max="4877" min="4872" style="44" width="3.82"/>
    <col collapsed="false" customWidth="true" hidden="false" outlineLevel="0" max="4878" min="4878" style="44" width="14.45"/>
    <col collapsed="false" customWidth="true" hidden="false" outlineLevel="0" max="4879" min="4879" style="44" width="12.18"/>
    <col collapsed="false" customWidth="true" hidden="false" outlineLevel="0" max="4880" min="4880" style="44" width="9.18"/>
    <col collapsed="false" customWidth="true" hidden="false" outlineLevel="0" max="4881" min="4881" style="44" width="35.82"/>
    <col collapsed="false" customWidth="false" hidden="false" outlineLevel="0" max="4883" min="4882" style="44" width="11.45"/>
    <col collapsed="false" customWidth="true" hidden="true" outlineLevel="0" max="4884" min="4884" style="44" width="11.53"/>
    <col collapsed="false" customWidth="true" hidden="false" outlineLevel="0" max="4885" min="4885" style="44" width="41.18"/>
    <col collapsed="false" customWidth="false" hidden="false" outlineLevel="0" max="5123" min="4886" style="44" width="11.45"/>
    <col collapsed="false" customWidth="true" hidden="false" outlineLevel="0" max="5124" min="5124" style="44" width="3.82"/>
    <col collapsed="false" customWidth="true" hidden="false" outlineLevel="0" max="5125" min="5125" style="44" width="7.18"/>
    <col collapsed="false" customWidth="true" hidden="false" outlineLevel="0" max="5126" min="5126" style="44" width="57.54"/>
    <col collapsed="false" customWidth="true" hidden="false" outlineLevel="0" max="5127" min="5127" style="44" width="19.45"/>
    <col collapsed="false" customWidth="true" hidden="false" outlineLevel="0" max="5133" min="5128" style="44" width="3.82"/>
    <col collapsed="false" customWidth="true" hidden="false" outlineLevel="0" max="5134" min="5134" style="44" width="14.45"/>
    <col collapsed="false" customWidth="true" hidden="false" outlineLevel="0" max="5135" min="5135" style="44" width="12.18"/>
    <col collapsed="false" customWidth="true" hidden="false" outlineLevel="0" max="5136" min="5136" style="44" width="9.18"/>
    <col collapsed="false" customWidth="true" hidden="false" outlineLevel="0" max="5137" min="5137" style="44" width="35.82"/>
    <col collapsed="false" customWidth="false" hidden="false" outlineLevel="0" max="5139" min="5138" style="44" width="11.45"/>
    <col collapsed="false" customWidth="true" hidden="true" outlineLevel="0" max="5140" min="5140" style="44" width="11.53"/>
    <col collapsed="false" customWidth="true" hidden="false" outlineLevel="0" max="5141" min="5141" style="44" width="41.18"/>
    <col collapsed="false" customWidth="false" hidden="false" outlineLevel="0" max="5379" min="5142" style="44" width="11.45"/>
    <col collapsed="false" customWidth="true" hidden="false" outlineLevel="0" max="5380" min="5380" style="44" width="3.82"/>
    <col collapsed="false" customWidth="true" hidden="false" outlineLevel="0" max="5381" min="5381" style="44" width="7.18"/>
    <col collapsed="false" customWidth="true" hidden="false" outlineLevel="0" max="5382" min="5382" style="44" width="57.54"/>
    <col collapsed="false" customWidth="true" hidden="false" outlineLevel="0" max="5383" min="5383" style="44" width="19.45"/>
    <col collapsed="false" customWidth="true" hidden="false" outlineLevel="0" max="5389" min="5384" style="44" width="3.82"/>
    <col collapsed="false" customWidth="true" hidden="false" outlineLevel="0" max="5390" min="5390" style="44" width="14.45"/>
    <col collapsed="false" customWidth="true" hidden="false" outlineLevel="0" max="5391" min="5391" style="44" width="12.18"/>
    <col collapsed="false" customWidth="true" hidden="false" outlineLevel="0" max="5392" min="5392" style="44" width="9.18"/>
    <col collapsed="false" customWidth="true" hidden="false" outlineLevel="0" max="5393" min="5393" style="44" width="35.82"/>
    <col collapsed="false" customWidth="false" hidden="false" outlineLevel="0" max="5395" min="5394" style="44" width="11.45"/>
    <col collapsed="false" customWidth="true" hidden="true" outlineLevel="0" max="5396" min="5396" style="44" width="11.53"/>
    <col collapsed="false" customWidth="true" hidden="false" outlineLevel="0" max="5397" min="5397" style="44" width="41.18"/>
    <col collapsed="false" customWidth="false" hidden="false" outlineLevel="0" max="5635" min="5398" style="44" width="11.45"/>
    <col collapsed="false" customWidth="true" hidden="false" outlineLevel="0" max="5636" min="5636" style="44" width="3.82"/>
    <col collapsed="false" customWidth="true" hidden="false" outlineLevel="0" max="5637" min="5637" style="44" width="7.18"/>
    <col collapsed="false" customWidth="true" hidden="false" outlineLevel="0" max="5638" min="5638" style="44" width="57.54"/>
    <col collapsed="false" customWidth="true" hidden="false" outlineLevel="0" max="5639" min="5639" style="44" width="19.45"/>
    <col collapsed="false" customWidth="true" hidden="false" outlineLevel="0" max="5645" min="5640" style="44" width="3.82"/>
    <col collapsed="false" customWidth="true" hidden="false" outlineLevel="0" max="5646" min="5646" style="44" width="14.45"/>
    <col collapsed="false" customWidth="true" hidden="false" outlineLevel="0" max="5647" min="5647" style="44" width="12.18"/>
    <col collapsed="false" customWidth="true" hidden="false" outlineLevel="0" max="5648" min="5648" style="44" width="9.18"/>
    <col collapsed="false" customWidth="true" hidden="false" outlineLevel="0" max="5649" min="5649" style="44" width="35.82"/>
    <col collapsed="false" customWidth="false" hidden="false" outlineLevel="0" max="5651" min="5650" style="44" width="11.45"/>
    <col collapsed="false" customWidth="true" hidden="true" outlineLevel="0" max="5652" min="5652" style="44" width="11.53"/>
    <col collapsed="false" customWidth="true" hidden="false" outlineLevel="0" max="5653" min="5653" style="44" width="41.18"/>
    <col collapsed="false" customWidth="false" hidden="false" outlineLevel="0" max="5891" min="5654" style="44" width="11.45"/>
    <col collapsed="false" customWidth="true" hidden="false" outlineLevel="0" max="5892" min="5892" style="44" width="3.82"/>
    <col collapsed="false" customWidth="true" hidden="false" outlineLevel="0" max="5893" min="5893" style="44" width="7.18"/>
    <col collapsed="false" customWidth="true" hidden="false" outlineLevel="0" max="5894" min="5894" style="44" width="57.54"/>
    <col collapsed="false" customWidth="true" hidden="false" outlineLevel="0" max="5895" min="5895" style="44" width="19.45"/>
    <col collapsed="false" customWidth="true" hidden="false" outlineLevel="0" max="5901" min="5896" style="44" width="3.82"/>
    <col collapsed="false" customWidth="true" hidden="false" outlineLevel="0" max="5902" min="5902" style="44" width="14.45"/>
    <col collapsed="false" customWidth="true" hidden="false" outlineLevel="0" max="5903" min="5903" style="44" width="12.18"/>
    <col collapsed="false" customWidth="true" hidden="false" outlineLevel="0" max="5904" min="5904" style="44" width="9.18"/>
    <col collapsed="false" customWidth="true" hidden="false" outlineLevel="0" max="5905" min="5905" style="44" width="35.82"/>
    <col collapsed="false" customWidth="false" hidden="false" outlineLevel="0" max="5907" min="5906" style="44" width="11.45"/>
    <col collapsed="false" customWidth="true" hidden="true" outlineLevel="0" max="5908" min="5908" style="44" width="11.53"/>
    <col collapsed="false" customWidth="true" hidden="false" outlineLevel="0" max="5909" min="5909" style="44" width="41.18"/>
    <col collapsed="false" customWidth="false" hidden="false" outlineLevel="0" max="6147" min="5910" style="44" width="11.45"/>
    <col collapsed="false" customWidth="true" hidden="false" outlineLevel="0" max="6148" min="6148" style="44" width="3.82"/>
    <col collapsed="false" customWidth="true" hidden="false" outlineLevel="0" max="6149" min="6149" style="44" width="7.18"/>
    <col collapsed="false" customWidth="true" hidden="false" outlineLevel="0" max="6150" min="6150" style="44" width="57.54"/>
    <col collapsed="false" customWidth="true" hidden="false" outlineLevel="0" max="6151" min="6151" style="44" width="19.45"/>
    <col collapsed="false" customWidth="true" hidden="false" outlineLevel="0" max="6157" min="6152" style="44" width="3.82"/>
    <col collapsed="false" customWidth="true" hidden="false" outlineLevel="0" max="6158" min="6158" style="44" width="14.45"/>
    <col collapsed="false" customWidth="true" hidden="false" outlineLevel="0" max="6159" min="6159" style="44" width="12.18"/>
    <col collapsed="false" customWidth="true" hidden="false" outlineLevel="0" max="6160" min="6160" style="44" width="9.18"/>
    <col collapsed="false" customWidth="true" hidden="false" outlineLevel="0" max="6161" min="6161" style="44" width="35.82"/>
    <col collapsed="false" customWidth="false" hidden="false" outlineLevel="0" max="6163" min="6162" style="44" width="11.45"/>
    <col collapsed="false" customWidth="true" hidden="true" outlineLevel="0" max="6164" min="6164" style="44" width="11.53"/>
    <col collapsed="false" customWidth="true" hidden="false" outlineLevel="0" max="6165" min="6165" style="44" width="41.18"/>
    <col collapsed="false" customWidth="false" hidden="false" outlineLevel="0" max="6403" min="6166" style="44" width="11.45"/>
    <col collapsed="false" customWidth="true" hidden="false" outlineLevel="0" max="6404" min="6404" style="44" width="3.82"/>
    <col collapsed="false" customWidth="true" hidden="false" outlineLevel="0" max="6405" min="6405" style="44" width="7.18"/>
    <col collapsed="false" customWidth="true" hidden="false" outlineLevel="0" max="6406" min="6406" style="44" width="57.54"/>
    <col collapsed="false" customWidth="true" hidden="false" outlineLevel="0" max="6407" min="6407" style="44" width="19.45"/>
    <col collapsed="false" customWidth="true" hidden="false" outlineLevel="0" max="6413" min="6408" style="44" width="3.82"/>
    <col collapsed="false" customWidth="true" hidden="false" outlineLevel="0" max="6414" min="6414" style="44" width="14.45"/>
    <col collapsed="false" customWidth="true" hidden="false" outlineLevel="0" max="6415" min="6415" style="44" width="12.18"/>
    <col collapsed="false" customWidth="true" hidden="false" outlineLevel="0" max="6416" min="6416" style="44" width="9.18"/>
    <col collapsed="false" customWidth="true" hidden="false" outlineLevel="0" max="6417" min="6417" style="44" width="35.82"/>
    <col collapsed="false" customWidth="false" hidden="false" outlineLevel="0" max="6419" min="6418" style="44" width="11.45"/>
    <col collapsed="false" customWidth="true" hidden="true" outlineLevel="0" max="6420" min="6420" style="44" width="11.53"/>
    <col collapsed="false" customWidth="true" hidden="false" outlineLevel="0" max="6421" min="6421" style="44" width="41.18"/>
    <col collapsed="false" customWidth="false" hidden="false" outlineLevel="0" max="6659" min="6422" style="44" width="11.45"/>
    <col collapsed="false" customWidth="true" hidden="false" outlineLevel="0" max="6660" min="6660" style="44" width="3.82"/>
    <col collapsed="false" customWidth="true" hidden="false" outlineLevel="0" max="6661" min="6661" style="44" width="7.18"/>
    <col collapsed="false" customWidth="true" hidden="false" outlineLevel="0" max="6662" min="6662" style="44" width="57.54"/>
    <col collapsed="false" customWidth="true" hidden="false" outlineLevel="0" max="6663" min="6663" style="44" width="19.45"/>
    <col collapsed="false" customWidth="true" hidden="false" outlineLevel="0" max="6669" min="6664" style="44" width="3.82"/>
    <col collapsed="false" customWidth="true" hidden="false" outlineLevel="0" max="6670" min="6670" style="44" width="14.45"/>
    <col collapsed="false" customWidth="true" hidden="false" outlineLevel="0" max="6671" min="6671" style="44" width="12.18"/>
    <col collapsed="false" customWidth="true" hidden="false" outlineLevel="0" max="6672" min="6672" style="44" width="9.18"/>
    <col collapsed="false" customWidth="true" hidden="false" outlineLevel="0" max="6673" min="6673" style="44" width="35.82"/>
    <col collapsed="false" customWidth="false" hidden="false" outlineLevel="0" max="6675" min="6674" style="44" width="11.45"/>
    <col collapsed="false" customWidth="true" hidden="true" outlineLevel="0" max="6676" min="6676" style="44" width="11.53"/>
    <col collapsed="false" customWidth="true" hidden="false" outlineLevel="0" max="6677" min="6677" style="44" width="41.18"/>
    <col collapsed="false" customWidth="false" hidden="false" outlineLevel="0" max="6915" min="6678" style="44" width="11.45"/>
    <col collapsed="false" customWidth="true" hidden="false" outlineLevel="0" max="6916" min="6916" style="44" width="3.82"/>
    <col collapsed="false" customWidth="true" hidden="false" outlineLevel="0" max="6917" min="6917" style="44" width="7.18"/>
    <col collapsed="false" customWidth="true" hidden="false" outlineLevel="0" max="6918" min="6918" style="44" width="57.54"/>
    <col collapsed="false" customWidth="true" hidden="false" outlineLevel="0" max="6919" min="6919" style="44" width="19.45"/>
    <col collapsed="false" customWidth="true" hidden="false" outlineLevel="0" max="6925" min="6920" style="44" width="3.82"/>
    <col collapsed="false" customWidth="true" hidden="false" outlineLevel="0" max="6926" min="6926" style="44" width="14.45"/>
    <col collapsed="false" customWidth="true" hidden="false" outlineLevel="0" max="6927" min="6927" style="44" width="12.18"/>
    <col collapsed="false" customWidth="true" hidden="false" outlineLevel="0" max="6928" min="6928" style="44" width="9.18"/>
    <col collapsed="false" customWidth="true" hidden="false" outlineLevel="0" max="6929" min="6929" style="44" width="35.82"/>
    <col collapsed="false" customWidth="false" hidden="false" outlineLevel="0" max="6931" min="6930" style="44" width="11.45"/>
    <col collapsed="false" customWidth="true" hidden="true" outlineLevel="0" max="6932" min="6932" style="44" width="11.53"/>
    <col collapsed="false" customWidth="true" hidden="false" outlineLevel="0" max="6933" min="6933" style="44" width="41.18"/>
    <col collapsed="false" customWidth="false" hidden="false" outlineLevel="0" max="7171" min="6934" style="44" width="11.45"/>
    <col collapsed="false" customWidth="true" hidden="false" outlineLevel="0" max="7172" min="7172" style="44" width="3.82"/>
    <col collapsed="false" customWidth="true" hidden="false" outlineLevel="0" max="7173" min="7173" style="44" width="7.18"/>
    <col collapsed="false" customWidth="true" hidden="false" outlineLevel="0" max="7174" min="7174" style="44" width="57.54"/>
    <col collapsed="false" customWidth="true" hidden="false" outlineLevel="0" max="7175" min="7175" style="44" width="19.45"/>
    <col collapsed="false" customWidth="true" hidden="false" outlineLevel="0" max="7181" min="7176" style="44" width="3.82"/>
    <col collapsed="false" customWidth="true" hidden="false" outlineLevel="0" max="7182" min="7182" style="44" width="14.45"/>
    <col collapsed="false" customWidth="true" hidden="false" outlineLevel="0" max="7183" min="7183" style="44" width="12.18"/>
    <col collapsed="false" customWidth="true" hidden="false" outlineLevel="0" max="7184" min="7184" style="44" width="9.18"/>
    <col collapsed="false" customWidth="true" hidden="false" outlineLevel="0" max="7185" min="7185" style="44" width="35.82"/>
    <col collapsed="false" customWidth="false" hidden="false" outlineLevel="0" max="7187" min="7186" style="44" width="11.45"/>
    <col collapsed="false" customWidth="true" hidden="true" outlineLevel="0" max="7188" min="7188" style="44" width="11.53"/>
    <col collapsed="false" customWidth="true" hidden="false" outlineLevel="0" max="7189" min="7189" style="44" width="41.18"/>
    <col collapsed="false" customWidth="false" hidden="false" outlineLevel="0" max="7427" min="7190" style="44" width="11.45"/>
    <col collapsed="false" customWidth="true" hidden="false" outlineLevel="0" max="7428" min="7428" style="44" width="3.82"/>
    <col collapsed="false" customWidth="true" hidden="false" outlineLevel="0" max="7429" min="7429" style="44" width="7.18"/>
    <col collapsed="false" customWidth="true" hidden="false" outlineLevel="0" max="7430" min="7430" style="44" width="57.54"/>
    <col collapsed="false" customWidth="true" hidden="false" outlineLevel="0" max="7431" min="7431" style="44" width="19.45"/>
    <col collapsed="false" customWidth="true" hidden="false" outlineLevel="0" max="7437" min="7432" style="44" width="3.82"/>
    <col collapsed="false" customWidth="true" hidden="false" outlineLevel="0" max="7438" min="7438" style="44" width="14.45"/>
    <col collapsed="false" customWidth="true" hidden="false" outlineLevel="0" max="7439" min="7439" style="44" width="12.18"/>
    <col collapsed="false" customWidth="true" hidden="false" outlineLevel="0" max="7440" min="7440" style="44" width="9.18"/>
    <col collapsed="false" customWidth="true" hidden="false" outlineLevel="0" max="7441" min="7441" style="44" width="35.82"/>
    <col collapsed="false" customWidth="false" hidden="false" outlineLevel="0" max="7443" min="7442" style="44" width="11.45"/>
    <col collapsed="false" customWidth="true" hidden="true" outlineLevel="0" max="7444" min="7444" style="44" width="11.53"/>
    <col collapsed="false" customWidth="true" hidden="false" outlineLevel="0" max="7445" min="7445" style="44" width="41.18"/>
    <col collapsed="false" customWidth="false" hidden="false" outlineLevel="0" max="7683" min="7446" style="44" width="11.45"/>
    <col collapsed="false" customWidth="true" hidden="false" outlineLevel="0" max="7684" min="7684" style="44" width="3.82"/>
    <col collapsed="false" customWidth="true" hidden="false" outlineLevel="0" max="7685" min="7685" style="44" width="7.18"/>
    <col collapsed="false" customWidth="true" hidden="false" outlineLevel="0" max="7686" min="7686" style="44" width="57.54"/>
    <col collapsed="false" customWidth="true" hidden="false" outlineLevel="0" max="7687" min="7687" style="44" width="19.45"/>
    <col collapsed="false" customWidth="true" hidden="false" outlineLevel="0" max="7693" min="7688" style="44" width="3.82"/>
    <col collapsed="false" customWidth="true" hidden="false" outlineLevel="0" max="7694" min="7694" style="44" width="14.45"/>
    <col collapsed="false" customWidth="true" hidden="false" outlineLevel="0" max="7695" min="7695" style="44" width="12.18"/>
    <col collapsed="false" customWidth="true" hidden="false" outlineLevel="0" max="7696" min="7696" style="44" width="9.18"/>
    <col collapsed="false" customWidth="true" hidden="false" outlineLevel="0" max="7697" min="7697" style="44" width="35.82"/>
    <col collapsed="false" customWidth="false" hidden="false" outlineLevel="0" max="7699" min="7698" style="44" width="11.45"/>
    <col collapsed="false" customWidth="true" hidden="true" outlineLevel="0" max="7700" min="7700" style="44" width="11.53"/>
    <col collapsed="false" customWidth="true" hidden="false" outlineLevel="0" max="7701" min="7701" style="44" width="41.18"/>
    <col collapsed="false" customWidth="false" hidden="false" outlineLevel="0" max="7939" min="7702" style="44" width="11.45"/>
    <col collapsed="false" customWidth="true" hidden="false" outlineLevel="0" max="7940" min="7940" style="44" width="3.82"/>
    <col collapsed="false" customWidth="true" hidden="false" outlineLevel="0" max="7941" min="7941" style="44" width="7.18"/>
    <col collapsed="false" customWidth="true" hidden="false" outlineLevel="0" max="7942" min="7942" style="44" width="57.54"/>
    <col collapsed="false" customWidth="true" hidden="false" outlineLevel="0" max="7943" min="7943" style="44" width="19.45"/>
    <col collapsed="false" customWidth="true" hidden="false" outlineLevel="0" max="7949" min="7944" style="44" width="3.82"/>
    <col collapsed="false" customWidth="true" hidden="false" outlineLevel="0" max="7950" min="7950" style="44" width="14.45"/>
    <col collapsed="false" customWidth="true" hidden="false" outlineLevel="0" max="7951" min="7951" style="44" width="12.18"/>
    <col collapsed="false" customWidth="true" hidden="false" outlineLevel="0" max="7952" min="7952" style="44" width="9.18"/>
    <col collapsed="false" customWidth="true" hidden="false" outlineLevel="0" max="7953" min="7953" style="44" width="35.82"/>
    <col collapsed="false" customWidth="false" hidden="false" outlineLevel="0" max="7955" min="7954" style="44" width="11.45"/>
    <col collapsed="false" customWidth="true" hidden="true" outlineLevel="0" max="7956" min="7956" style="44" width="11.53"/>
    <col collapsed="false" customWidth="true" hidden="false" outlineLevel="0" max="7957" min="7957" style="44" width="41.18"/>
    <col collapsed="false" customWidth="false" hidden="false" outlineLevel="0" max="8195" min="7958" style="44" width="11.45"/>
    <col collapsed="false" customWidth="true" hidden="false" outlineLevel="0" max="8196" min="8196" style="44" width="3.82"/>
    <col collapsed="false" customWidth="true" hidden="false" outlineLevel="0" max="8197" min="8197" style="44" width="7.18"/>
    <col collapsed="false" customWidth="true" hidden="false" outlineLevel="0" max="8198" min="8198" style="44" width="57.54"/>
    <col collapsed="false" customWidth="true" hidden="false" outlineLevel="0" max="8199" min="8199" style="44" width="19.45"/>
    <col collapsed="false" customWidth="true" hidden="false" outlineLevel="0" max="8205" min="8200" style="44" width="3.82"/>
    <col collapsed="false" customWidth="true" hidden="false" outlineLevel="0" max="8206" min="8206" style="44" width="14.45"/>
    <col collapsed="false" customWidth="true" hidden="false" outlineLevel="0" max="8207" min="8207" style="44" width="12.18"/>
    <col collapsed="false" customWidth="true" hidden="false" outlineLevel="0" max="8208" min="8208" style="44" width="9.18"/>
    <col collapsed="false" customWidth="true" hidden="false" outlineLevel="0" max="8209" min="8209" style="44" width="35.82"/>
    <col collapsed="false" customWidth="false" hidden="false" outlineLevel="0" max="8211" min="8210" style="44" width="11.45"/>
    <col collapsed="false" customWidth="true" hidden="true" outlineLevel="0" max="8212" min="8212" style="44" width="11.53"/>
    <col collapsed="false" customWidth="true" hidden="false" outlineLevel="0" max="8213" min="8213" style="44" width="41.18"/>
    <col collapsed="false" customWidth="false" hidden="false" outlineLevel="0" max="8451" min="8214" style="44" width="11.45"/>
    <col collapsed="false" customWidth="true" hidden="false" outlineLevel="0" max="8452" min="8452" style="44" width="3.82"/>
    <col collapsed="false" customWidth="true" hidden="false" outlineLevel="0" max="8453" min="8453" style="44" width="7.18"/>
    <col collapsed="false" customWidth="true" hidden="false" outlineLevel="0" max="8454" min="8454" style="44" width="57.54"/>
    <col collapsed="false" customWidth="true" hidden="false" outlineLevel="0" max="8455" min="8455" style="44" width="19.45"/>
    <col collapsed="false" customWidth="true" hidden="false" outlineLevel="0" max="8461" min="8456" style="44" width="3.82"/>
    <col collapsed="false" customWidth="true" hidden="false" outlineLevel="0" max="8462" min="8462" style="44" width="14.45"/>
    <col collapsed="false" customWidth="true" hidden="false" outlineLevel="0" max="8463" min="8463" style="44" width="12.18"/>
    <col collapsed="false" customWidth="true" hidden="false" outlineLevel="0" max="8464" min="8464" style="44" width="9.18"/>
    <col collapsed="false" customWidth="true" hidden="false" outlineLevel="0" max="8465" min="8465" style="44" width="35.82"/>
    <col collapsed="false" customWidth="false" hidden="false" outlineLevel="0" max="8467" min="8466" style="44" width="11.45"/>
    <col collapsed="false" customWidth="true" hidden="true" outlineLevel="0" max="8468" min="8468" style="44" width="11.53"/>
    <col collapsed="false" customWidth="true" hidden="false" outlineLevel="0" max="8469" min="8469" style="44" width="41.18"/>
    <col collapsed="false" customWidth="false" hidden="false" outlineLevel="0" max="8707" min="8470" style="44" width="11.45"/>
    <col collapsed="false" customWidth="true" hidden="false" outlineLevel="0" max="8708" min="8708" style="44" width="3.82"/>
    <col collapsed="false" customWidth="true" hidden="false" outlineLevel="0" max="8709" min="8709" style="44" width="7.18"/>
    <col collapsed="false" customWidth="true" hidden="false" outlineLevel="0" max="8710" min="8710" style="44" width="57.54"/>
    <col collapsed="false" customWidth="true" hidden="false" outlineLevel="0" max="8711" min="8711" style="44" width="19.45"/>
    <col collapsed="false" customWidth="true" hidden="false" outlineLevel="0" max="8717" min="8712" style="44" width="3.82"/>
    <col collapsed="false" customWidth="true" hidden="false" outlineLevel="0" max="8718" min="8718" style="44" width="14.45"/>
    <col collapsed="false" customWidth="true" hidden="false" outlineLevel="0" max="8719" min="8719" style="44" width="12.18"/>
    <col collapsed="false" customWidth="true" hidden="false" outlineLevel="0" max="8720" min="8720" style="44" width="9.18"/>
    <col collapsed="false" customWidth="true" hidden="false" outlineLevel="0" max="8721" min="8721" style="44" width="35.82"/>
    <col collapsed="false" customWidth="false" hidden="false" outlineLevel="0" max="8723" min="8722" style="44" width="11.45"/>
    <col collapsed="false" customWidth="true" hidden="true" outlineLevel="0" max="8724" min="8724" style="44" width="11.53"/>
    <col collapsed="false" customWidth="true" hidden="false" outlineLevel="0" max="8725" min="8725" style="44" width="41.18"/>
    <col collapsed="false" customWidth="false" hidden="false" outlineLevel="0" max="8963" min="8726" style="44" width="11.45"/>
    <col collapsed="false" customWidth="true" hidden="false" outlineLevel="0" max="8964" min="8964" style="44" width="3.82"/>
    <col collapsed="false" customWidth="true" hidden="false" outlineLevel="0" max="8965" min="8965" style="44" width="7.18"/>
    <col collapsed="false" customWidth="true" hidden="false" outlineLevel="0" max="8966" min="8966" style="44" width="57.54"/>
    <col collapsed="false" customWidth="true" hidden="false" outlineLevel="0" max="8967" min="8967" style="44" width="19.45"/>
    <col collapsed="false" customWidth="true" hidden="false" outlineLevel="0" max="8973" min="8968" style="44" width="3.82"/>
    <col collapsed="false" customWidth="true" hidden="false" outlineLevel="0" max="8974" min="8974" style="44" width="14.45"/>
    <col collapsed="false" customWidth="true" hidden="false" outlineLevel="0" max="8975" min="8975" style="44" width="12.18"/>
    <col collapsed="false" customWidth="true" hidden="false" outlineLevel="0" max="8976" min="8976" style="44" width="9.18"/>
    <col collapsed="false" customWidth="true" hidden="false" outlineLevel="0" max="8977" min="8977" style="44" width="35.82"/>
    <col collapsed="false" customWidth="false" hidden="false" outlineLevel="0" max="8979" min="8978" style="44" width="11.45"/>
    <col collapsed="false" customWidth="true" hidden="true" outlineLevel="0" max="8980" min="8980" style="44" width="11.53"/>
    <col collapsed="false" customWidth="true" hidden="false" outlineLevel="0" max="8981" min="8981" style="44" width="41.18"/>
    <col collapsed="false" customWidth="false" hidden="false" outlineLevel="0" max="9219" min="8982" style="44" width="11.45"/>
    <col collapsed="false" customWidth="true" hidden="false" outlineLevel="0" max="9220" min="9220" style="44" width="3.82"/>
    <col collapsed="false" customWidth="true" hidden="false" outlineLevel="0" max="9221" min="9221" style="44" width="7.18"/>
    <col collapsed="false" customWidth="true" hidden="false" outlineLevel="0" max="9222" min="9222" style="44" width="57.54"/>
    <col collapsed="false" customWidth="true" hidden="false" outlineLevel="0" max="9223" min="9223" style="44" width="19.45"/>
    <col collapsed="false" customWidth="true" hidden="false" outlineLevel="0" max="9229" min="9224" style="44" width="3.82"/>
    <col collapsed="false" customWidth="true" hidden="false" outlineLevel="0" max="9230" min="9230" style="44" width="14.45"/>
    <col collapsed="false" customWidth="true" hidden="false" outlineLevel="0" max="9231" min="9231" style="44" width="12.18"/>
    <col collapsed="false" customWidth="true" hidden="false" outlineLevel="0" max="9232" min="9232" style="44" width="9.18"/>
    <col collapsed="false" customWidth="true" hidden="false" outlineLevel="0" max="9233" min="9233" style="44" width="35.82"/>
    <col collapsed="false" customWidth="false" hidden="false" outlineLevel="0" max="9235" min="9234" style="44" width="11.45"/>
    <col collapsed="false" customWidth="true" hidden="true" outlineLevel="0" max="9236" min="9236" style="44" width="11.53"/>
    <col collapsed="false" customWidth="true" hidden="false" outlineLevel="0" max="9237" min="9237" style="44" width="41.18"/>
    <col collapsed="false" customWidth="false" hidden="false" outlineLevel="0" max="9475" min="9238" style="44" width="11.45"/>
    <col collapsed="false" customWidth="true" hidden="false" outlineLevel="0" max="9476" min="9476" style="44" width="3.82"/>
    <col collapsed="false" customWidth="true" hidden="false" outlineLevel="0" max="9477" min="9477" style="44" width="7.18"/>
    <col collapsed="false" customWidth="true" hidden="false" outlineLevel="0" max="9478" min="9478" style="44" width="57.54"/>
    <col collapsed="false" customWidth="true" hidden="false" outlineLevel="0" max="9479" min="9479" style="44" width="19.45"/>
    <col collapsed="false" customWidth="true" hidden="false" outlineLevel="0" max="9485" min="9480" style="44" width="3.82"/>
    <col collapsed="false" customWidth="true" hidden="false" outlineLevel="0" max="9486" min="9486" style="44" width="14.45"/>
    <col collapsed="false" customWidth="true" hidden="false" outlineLevel="0" max="9487" min="9487" style="44" width="12.18"/>
    <col collapsed="false" customWidth="true" hidden="false" outlineLevel="0" max="9488" min="9488" style="44" width="9.18"/>
    <col collapsed="false" customWidth="true" hidden="false" outlineLevel="0" max="9489" min="9489" style="44" width="35.82"/>
    <col collapsed="false" customWidth="false" hidden="false" outlineLevel="0" max="9491" min="9490" style="44" width="11.45"/>
    <col collapsed="false" customWidth="true" hidden="true" outlineLevel="0" max="9492" min="9492" style="44" width="11.53"/>
    <col collapsed="false" customWidth="true" hidden="false" outlineLevel="0" max="9493" min="9493" style="44" width="41.18"/>
    <col collapsed="false" customWidth="false" hidden="false" outlineLevel="0" max="9731" min="9494" style="44" width="11.45"/>
    <col collapsed="false" customWidth="true" hidden="false" outlineLevel="0" max="9732" min="9732" style="44" width="3.82"/>
    <col collapsed="false" customWidth="true" hidden="false" outlineLevel="0" max="9733" min="9733" style="44" width="7.18"/>
    <col collapsed="false" customWidth="true" hidden="false" outlineLevel="0" max="9734" min="9734" style="44" width="57.54"/>
    <col collapsed="false" customWidth="true" hidden="false" outlineLevel="0" max="9735" min="9735" style="44" width="19.45"/>
    <col collapsed="false" customWidth="true" hidden="false" outlineLevel="0" max="9741" min="9736" style="44" width="3.82"/>
    <col collapsed="false" customWidth="true" hidden="false" outlineLevel="0" max="9742" min="9742" style="44" width="14.45"/>
    <col collapsed="false" customWidth="true" hidden="false" outlineLevel="0" max="9743" min="9743" style="44" width="12.18"/>
    <col collapsed="false" customWidth="true" hidden="false" outlineLevel="0" max="9744" min="9744" style="44" width="9.18"/>
    <col collapsed="false" customWidth="true" hidden="false" outlineLevel="0" max="9745" min="9745" style="44" width="35.82"/>
    <col collapsed="false" customWidth="false" hidden="false" outlineLevel="0" max="9747" min="9746" style="44" width="11.45"/>
    <col collapsed="false" customWidth="true" hidden="true" outlineLevel="0" max="9748" min="9748" style="44" width="11.53"/>
    <col collapsed="false" customWidth="true" hidden="false" outlineLevel="0" max="9749" min="9749" style="44" width="41.18"/>
    <col collapsed="false" customWidth="false" hidden="false" outlineLevel="0" max="9987" min="9750" style="44" width="11.45"/>
    <col collapsed="false" customWidth="true" hidden="false" outlineLevel="0" max="9988" min="9988" style="44" width="3.82"/>
    <col collapsed="false" customWidth="true" hidden="false" outlineLevel="0" max="9989" min="9989" style="44" width="7.18"/>
    <col collapsed="false" customWidth="true" hidden="false" outlineLevel="0" max="9990" min="9990" style="44" width="57.54"/>
    <col collapsed="false" customWidth="true" hidden="false" outlineLevel="0" max="9991" min="9991" style="44" width="19.45"/>
    <col collapsed="false" customWidth="true" hidden="false" outlineLevel="0" max="9997" min="9992" style="44" width="3.82"/>
    <col collapsed="false" customWidth="true" hidden="false" outlineLevel="0" max="9998" min="9998" style="44" width="14.45"/>
    <col collapsed="false" customWidth="true" hidden="false" outlineLevel="0" max="9999" min="9999" style="44" width="12.18"/>
    <col collapsed="false" customWidth="true" hidden="false" outlineLevel="0" max="10000" min="10000" style="44" width="9.18"/>
    <col collapsed="false" customWidth="true" hidden="false" outlineLevel="0" max="10001" min="10001" style="44" width="35.82"/>
    <col collapsed="false" customWidth="false" hidden="false" outlineLevel="0" max="10003" min="10002" style="44" width="11.45"/>
    <col collapsed="false" customWidth="true" hidden="true" outlineLevel="0" max="10004" min="10004" style="44" width="11.53"/>
    <col collapsed="false" customWidth="true" hidden="false" outlineLevel="0" max="10005" min="10005" style="44" width="41.18"/>
    <col collapsed="false" customWidth="false" hidden="false" outlineLevel="0" max="10243" min="10006" style="44" width="11.45"/>
    <col collapsed="false" customWidth="true" hidden="false" outlineLevel="0" max="10244" min="10244" style="44" width="3.82"/>
    <col collapsed="false" customWidth="true" hidden="false" outlineLevel="0" max="10245" min="10245" style="44" width="7.18"/>
    <col collapsed="false" customWidth="true" hidden="false" outlineLevel="0" max="10246" min="10246" style="44" width="57.54"/>
    <col collapsed="false" customWidth="true" hidden="false" outlineLevel="0" max="10247" min="10247" style="44" width="19.45"/>
    <col collapsed="false" customWidth="true" hidden="false" outlineLevel="0" max="10253" min="10248" style="44" width="3.82"/>
    <col collapsed="false" customWidth="true" hidden="false" outlineLevel="0" max="10254" min="10254" style="44" width="14.45"/>
    <col collapsed="false" customWidth="true" hidden="false" outlineLevel="0" max="10255" min="10255" style="44" width="12.18"/>
    <col collapsed="false" customWidth="true" hidden="false" outlineLevel="0" max="10256" min="10256" style="44" width="9.18"/>
    <col collapsed="false" customWidth="true" hidden="false" outlineLevel="0" max="10257" min="10257" style="44" width="35.82"/>
    <col collapsed="false" customWidth="false" hidden="false" outlineLevel="0" max="10259" min="10258" style="44" width="11.45"/>
    <col collapsed="false" customWidth="true" hidden="true" outlineLevel="0" max="10260" min="10260" style="44" width="11.53"/>
    <col collapsed="false" customWidth="true" hidden="false" outlineLevel="0" max="10261" min="10261" style="44" width="41.18"/>
    <col collapsed="false" customWidth="false" hidden="false" outlineLevel="0" max="10499" min="10262" style="44" width="11.45"/>
    <col collapsed="false" customWidth="true" hidden="false" outlineLevel="0" max="10500" min="10500" style="44" width="3.82"/>
    <col collapsed="false" customWidth="true" hidden="false" outlineLevel="0" max="10501" min="10501" style="44" width="7.18"/>
    <col collapsed="false" customWidth="true" hidden="false" outlineLevel="0" max="10502" min="10502" style="44" width="57.54"/>
    <col collapsed="false" customWidth="true" hidden="false" outlineLevel="0" max="10503" min="10503" style="44" width="19.45"/>
    <col collapsed="false" customWidth="true" hidden="false" outlineLevel="0" max="10509" min="10504" style="44" width="3.82"/>
    <col collapsed="false" customWidth="true" hidden="false" outlineLevel="0" max="10510" min="10510" style="44" width="14.45"/>
    <col collapsed="false" customWidth="true" hidden="false" outlineLevel="0" max="10511" min="10511" style="44" width="12.18"/>
    <col collapsed="false" customWidth="true" hidden="false" outlineLevel="0" max="10512" min="10512" style="44" width="9.18"/>
    <col collapsed="false" customWidth="true" hidden="false" outlineLevel="0" max="10513" min="10513" style="44" width="35.82"/>
    <col collapsed="false" customWidth="false" hidden="false" outlineLevel="0" max="10515" min="10514" style="44" width="11.45"/>
    <col collapsed="false" customWidth="true" hidden="true" outlineLevel="0" max="10516" min="10516" style="44" width="11.53"/>
    <col collapsed="false" customWidth="true" hidden="false" outlineLevel="0" max="10517" min="10517" style="44" width="41.18"/>
    <col collapsed="false" customWidth="false" hidden="false" outlineLevel="0" max="10755" min="10518" style="44" width="11.45"/>
    <col collapsed="false" customWidth="true" hidden="false" outlineLevel="0" max="10756" min="10756" style="44" width="3.82"/>
    <col collapsed="false" customWidth="true" hidden="false" outlineLevel="0" max="10757" min="10757" style="44" width="7.18"/>
    <col collapsed="false" customWidth="true" hidden="false" outlineLevel="0" max="10758" min="10758" style="44" width="57.54"/>
    <col collapsed="false" customWidth="true" hidden="false" outlineLevel="0" max="10759" min="10759" style="44" width="19.45"/>
    <col collapsed="false" customWidth="true" hidden="false" outlineLevel="0" max="10765" min="10760" style="44" width="3.82"/>
    <col collapsed="false" customWidth="true" hidden="false" outlineLevel="0" max="10766" min="10766" style="44" width="14.45"/>
    <col collapsed="false" customWidth="true" hidden="false" outlineLevel="0" max="10767" min="10767" style="44" width="12.18"/>
    <col collapsed="false" customWidth="true" hidden="false" outlineLevel="0" max="10768" min="10768" style="44" width="9.18"/>
    <col collapsed="false" customWidth="true" hidden="false" outlineLevel="0" max="10769" min="10769" style="44" width="35.82"/>
    <col collapsed="false" customWidth="false" hidden="false" outlineLevel="0" max="10771" min="10770" style="44" width="11.45"/>
    <col collapsed="false" customWidth="true" hidden="true" outlineLevel="0" max="10772" min="10772" style="44" width="11.53"/>
    <col collapsed="false" customWidth="true" hidden="false" outlineLevel="0" max="10773" min="10773" style="44" width="41.18"/>
    <col collapsed="false" customWidth="false" hidden="false" outlineLevel="0" max="11011" min="10774" style="44" width="11.45"/>
    <col collapsed="false" customWidth="true" hidden="false" outlineLevel="0" max="11012" min="11012" style="44" width="3.82"/>
    <col collapsed="false" customWidth="true" hidden="false" outlineLevel="0" max="11013" min="11013" style="44" width="7.18"/>
    <col collapsed="false" customWidth="true" hidden="false" outlineLevel="0" max="11014" min="11014" style="44" width="57.54"/>
    <col collapsed="false" customWidth="true" hidden="false" outlineLevel="0" max="11015" min="11015" style="44" width="19.45"/>
    <col collapsed="false" customWidth="true" hidden="false" outlineLevel="0" max="11021" min="11016" style="44" width="3.82"/>
    <col collapsed="false" customWidth="true" hidden="false" outlineLevel="0" max="11022" min="11022" style="44" width="14.45"/>
    <col collapsed="false" customWidth="true" hidden="false" outlineLevel="0" max="11023" min="11023" style="44" width="12.18"/>
    <col collapsed="false" customWidth="true" hidden="false" outlineLevel="0" max="11024" min="11024" style="44" width="9.18"/>
    <col collapsed="false" customWidth="true" hidden="false" outlineLevel="0" max="11025" min="11025" style="44" width="35.82"/>
    <col collapsed="false" customWidth="false" hidden="false" outlineLevel="0" max="11027" min="11026" style="44" width="11.45"/>
    <col collapsed="false" customWidth="true" hidden="true" outlineLevel="0" max="11028" min="11028" style="44" width="11.53"/>
    <col collapsed="false" customWidth="true" hidden="false" outlineLevel="0" max="11029" min="11029" style="44" width="41.18"/>
    <col collapsed="false" customWidth="false" hidden="false" outlineLevel="0" max="11267" min="11030" style="44" width="11.45"/>
    <col collapsed="false" customWidth="true" hidden="false" outlineLevel="0" max="11268" min="11268" style="44" width="3.82"/>
    <col collapsed="false" customWidth="true" hidden="false" outlineLevel="0" max="11269" min="11269" style="44" width="7.18"/>
    <col collapsed="false" customWidth="true" hidden="false" outlineLevel="0" max="11270" min="11270" style="44" width="57.54"/>
    <col collapsed="false" customWidth="true" hidden="false" outlineLevel="0" max="11271" min="11271" style="44" width="19.45"/>
    <col collapsed="false" customWidth="true" hidden="false" outlineLevel="0" max="11277" min="11272" style="44" width="3.82"/>
    <col collapsed="false" customWidth="true" hidden="false" outlineLevel="0" max="11278" min="11278" style="44" width="14.45"/>
    <col collapsed="false" customWidth="true" hidden="false" outlineLevel="0" max="11279" min="11279" style="44" width="12.18"/>
    <col collapsed="false" customWidth="true" hidden="false" outlineLevel="0" max="11280" min="11280" style="44" width="9.18"/>
    <col collapsed="false" customWidth="true" hidden="false" outlineLevel="0" max="11281" min="11281" style="44" width="35.82"/>
    <col collapsed="false" customWidth="false" hidden="false" outlineLevel="0" max="11283" min="11282" style="44" width="11.45"/>
    <col collapsed="false" customWidth="true" hidden="true" outlineLevel="0" max="11284" min="11284" style="44" width="11.53"/>
    <col collapsed="false" customWidth="true" hidden="false" outlineLevel="0" max="11285" min="11285" style="44" width="41.18"/>
    <col collapsed="false" customWidth="false" hidden="false" outlineLevel="0" max="11523" min="11286" style="44" width="11.45"/>
    <col collapsed="false" customWidth="true" hidden="false" outlineLevel="0" max="11524" min="11524" style="44" width="3.82"/>
    <col collapsed="false" customWidth="true" hidden="false" outlineLevel="0" max="11525" min="11525" style="44" width="7.18"/>
    <col collapsed="false" customWidth="true" hidden="false" outlineLevel="0" max="11526" min="11526" style="44" width="57.54"/>
    <col collapsed="false" customWidth="true" hidden="false" outlineLevel="0" max="11527" min="11527" style="44" width="19.45"/>
    <col collapsed="false" customWidth="true" hidden="false" outlineLevel="0" max="11533" min="11528" style="44" width="3.82"/>
    <col collapsed="false" customWidth="true" hidden="false" outlineLevel="0" max="11534" min="11534" style="44" width="14.45"/>
    <col collapsed="false" customWidth="true" hidden="false" outlineLevel="0" max="11535" min="11535" style="44" width="12.18"/>
    <col collapsed="false" customWidth="true" hidden="false" outlineLevel="0" max="11536" min="11536" style="44" width="9.18"/>
    <col collapsed="false" customWidth="true" hidden="false" outlineLevel="0" max="11537" min="11537" style="44" width="35.82"/>
    <col collapsed="false" customWidth="false" hidden="false" outlineLevel="0" max="11539" min="11538" style="44" width="11.45"/>
    <col collapsed="false" customWidth="true" hidden="true" outlineLevel="0" max="11540" min="11540" style="44" width="11.53"/>
    <col collapsed="false" customWidth="true" hidden="false" outlineLevel="0" max="11541" min="11541" style="44" width="41.18"/>
    <col collapsed="false" customWidth="false" hidden="false" outlineLevel="0" max="11779" min="11542" style="44" width="11.45"/>
    <col collapsed="false" customWidth="true" hidden="false" outlineLevel="0" max="11780" min="11780" style="44" width="3.82"/>
    <col collapsed="false" customWidth="true" hidden="false" outlineLevel="0" max="11781" min="11781" style="44" width="7.18"/>
    <col collapsed="false" customWidth="true" hidden="false" outlineLevel="0" max="11782" min="11782" style="44" width="57.54"/>
    <col collapsed="false" customWidth="true" hidden="false" outlineLevel="0" max="11783" min="11783" style="44" width="19.45"/>
    <col collapsed="false" customWidth="true" hidden="false" outlineLevel="0" max="11789" min="11784" style="44" width="3.82"/>
    <col collapsed="false" customWidth="true" hidden="false" outlineLevel="0" max="11790" min="11790" style="44" width="14.45"/>
    <col collapsed="false" customWidth="true" hidden="false" outlineLevel="0" max="11791" min="11791" style="44" width="12.18"/>
    <col collapsed="false" customWidth="true" hidden="false" outlineLevel="0" max="11792" min="11792" style="44" width="9.18"/>
    <col collapsed="false" customWidth="true" hidden="false" outlineLevel="0" max="11793" min="11793" style="44" width="35.82"/>
    <col collapsed="false" customWidth="false" hidden="false" outlineLevel="0" max="11795" min="11794" style="44" width="11.45"/>
    <col collapsed="false" customWidth="true" hidden="true" outlineLevel="0" max="11796" min="11796" style="44" width="11.53"/>
    <col collapsed="false" customWidth="true" hidden="false" outlineLevel="0" max="11797" min="11797" style="44" width="41.18"/>
    <col collapsed="false" customWidth="false" hidden="false" outlineLevel="0" max="12035" min="11798" style="44" width="11.45"/>
    <col collapsed="false" customWidth="true" hidden="false" outlineLevel="0" max="12036" min="12036" style="44" width="3.82"/>
    <col collapsed="false" customWidth="true" hidden="false" outlineLevel="0" max="12037" min="12037" style="44" width="7.18"/>
    <col collapsed="false" customWidth="true" hidden="false" outlineLevel="0" max="12038" min="12038" style="44" width="57.54"/>
    <col collapsed="false" customWidth="true" hidden="false" outlineLevel="0" max="12039" min="12039" style="44" width="19.45"/>
    <col collapsed="false" customWidth="true" hidden="false" outlineLevel="0" max="12045" min="12040" style="44" width="3.82"/>
    <col collapsed="false" customWidth="true" hidden="false" outlineLevel="0" max="12046" min="12046" style="44" width="14.45"/>
    <col collapsed="false" customWidth="true" hidden="false" outlineLevel="0" max="12047" min="12047" style="44" width="12.18"/>
    <col collapsed="false" customWidth="true" hidden="false" outlineLevel="0" max="12048" min="12048" style="44" width="9.18"/>
    <col collapsed="false" customWidth="true" hidden="false" outlineLevel="0" max="12049" min="12049" style="44" width="35.82"/>
    <col collapsed="false" customWidth="false" hidden="false" outlineLevel="0" max="12051" min="12050" style="44" width="11.45"/>
    <col collapsed="false" customWidth="true" hidden="true" outlineLevel="0" max="12052" min="12052" style="44" width="11.53"/>
    <col collapsed="false" customWidth="true" hidden="false" outlineLevel="0" max="12053" min="12053" style="44" width="41.18"/>
    <col collapsed="false" customWidth="false" hidden="false" outlineLevel="0" max="12291" min="12054" style="44" width="11.45"/>
    <col collapsed="false" customWidth="true" hidden="false" outlineLevel="0" max="12292" min="12292" style="44" width="3.82"/>
    <col collapsed="false" customWidth="true" hidden="false" outlineLevel="0" max="12293" min="12293" style="44" width="7.18"/>
    <col collapsed="false" customWidth="true" hidden="false" outlineLevel="0" max="12294" min="12294" style="44" width="57.54"/>
    <col collapsed="false" customWidth="true" hidden="false" outlineLevel="0" max="12295" min="12295" style="44" width="19.45"/>
    <col collapsed="false" customWidth="true" hidden="false" outlineLevel="0" max="12301" min="12296" style="44" width="3.82"/>
    <col collapsed="false" customWidth="true" hidden="false" outlineLevel="0" max="12302" min="12302" style="44" width="14.45"/>
    <col collapsed="false" customWidth="true" hidden="false" outlineLevel="0" max="12303" min="12303" style="44" width="12.18"/>
    <col collapsed="false" customWidth="true" hidden="false" outlineLevel="0" max="12304" min="12304" style="44" width="9.18"/>
    <col collapsed="false" customWidth="true" hidden="false" outlineLevel="0" max="12305" min="12305" style="44" width="35.82"/>
    <col collapsed="false" customWidth="false" hidden="false" outlineLevel="0" max="12307" min="12306" style="44" width="11.45"/>
    <col collapsed="false" customWidth="true" hidden="true" outlineLevel="0" max="12308" min="12308" style="44" width="11.53"/>
    <col collapsed="false" customWidth="true" hidden="false" outlineLevel="0" max="12309" min="12309" style="44" width="41.18"/>
    <col collapsed="false" customWidth="false" hidden="false" outlineLevel="0" max="12547" min="12310" style="44" width="11.45"/>
    <col collapsed="false" customWidth="true" hidden="false" outlineLevel="0" max="12548" min="12548" style="44" width="3.82"/>
    <col collapsed="false" customWidth="true" hidden="false" outlineLevel="0" max="12549" min="12549" style="44" width="7.18"/>
    <col collapsed="false" customWidth="true" hidden="false" outlineLevel="0" max="12550" min="12550" style="44" width="57.54"/>
    <col collapsed="false" customWidth="true" hidden="false" outlineLevel="0" max="12551" min="12551" style="44" width="19.45"/>
    <col collapsed="false" customWidth="true" hidden="false" outlineLevel="0" max="12557" min="12552" style="44" width="3.82"/>
    <col collapsed="false" customWidth="true" hidden="false" outlineLevel="0" max="12558" min="12558" style="44" width="14.45"/>
    <col collapsed="false" customWidth="true" hidden="false" outlineLevel="0" max="12559" min="12559" style="44" width="12.18"/>
    <col collapsed="false" customWidth="true" hidden="false" outlineLevel="0" max="12560" min="12560" style="44" width="9.18"/>
    <col collapsed="false" customWidth="true" hidden="false" outlineLevel="0" max="12561" min="12561" style="44" width="35.82"/>
    <col collapsed="false" customWidth="false" hidden="false" outlineLevel="0" max="12563" min="12562" style="44" width="11.45"/>
    <col collapsed="false" customWidth="true" hidden="true" outlineLevel="0" max="12564" min="12564" style="44" width="11.53"/>
    <col collapsed="false" customWidth="true" hidden="false" outlineLevel="0" max="12565" min="12565" style="44" width="41.18"/>
    <col collapsed="false" customWidth="false" hidden="false" outlineLevel="0" max="12803" min="12566" style="44" width="11.45"/>
    <col collapsed="false" customWidth="true" hidden="false" outlineLevel="0" max="12804" min="12804" style="44" width="3.82"/>
    <col collapsed="false" customWidth="true" hidden="false" outlineLevel="0" max="12805" min="12805" style="44" width="7.18"/>
    <col collapsed="false" customWidth="true" hidden="false" outlineLevel="0" max="12806" min="12806" style="44" width="57.54"/>
    <col collapsed="false" customWidth="true" hidden="false" outlineLevel="0" max="12807" min="12807" style="44" width="19.45"/>
    <col collapsed="false" customWidth="true" hidden="false" outlineLevel="0" max="12813" min="12808" style="44" width="3.82"/>
    <col collapsed="false" customWidth="true" hidden="false" outlineLevel="0" max="12814" min="12814" style="44" width="14.45"/>
    <col collapsed="false" customWidth="true" hidden="false" outlineLevel="0" max="12815" min="12815" style="44" width="12.18"/>
    <col collapsed="false" customWidth="true" hidden="false" outlineLevel="0" max="12816" min="12816" style="44" width="9.18"/>
    <col collapsed="false" customWidth="true" hidden="false" outlineLevel="0" max="12817" min="12817" style="44" width="35.82"/>
    <col collapsed="false" customWidth="false" hidden="false" outlineLevel="0" max="12819" min="12818" style="44" width="11.45"/>
    <col collapsed="false" customWidth="true" hidden="true" outlineLevel="0" max="12820" min="12820" style="44" width="11.53"/>
    <col collapsed="false" customWidth="true" hidden="false" outlineLevel="0" max="12821" min="12821" style="44" width="41.18"/>
    <col collapsed="false" customWidth="false" hidden="false" outlineLevel="0" max="13059" min="12822" style="44" width="11.45"/>
    <col collapsed="false" customWidth="true" hidden="false" outlineLevel="0" max="13060" min="13060" style="44" width="3.82"/>
    <col collapsed="false" customWidth="true" hidden="false" outlineLevel="0" max="13061" min="13061" style="44" width="7.18"/>
    <col collapsed="false" customWidth="true" hidden="false" outlineLevel="0" max="13062" min="13062" style="44" width="57.54"/>
    <col collapsed="false" customWidth="true" hidden="false" outlineLevel="0" max="13063" min="13063" style="44" width="19.45"/>
    <col collapsed="false" customWidth="true" hidden="false" outlineLevel="0" max="13069" min="13064" style="44" width="3.82"/>
    <col collapsed="false" customWidth="true" hidden="false" outlineLevel="0" max="13070" min="13070" style="44" width="14.45"/>
    <col collapsed="false" customWidth="true" hidden="false" outlineLevel="0" max="13071" min="13071" style="44" width="12.18"/>
    <col collapsed="false" customWidth="true" hidden="false" outlineLevel="0" max="13072" min="13072" style="44" width="9.18"/>
    <col collapsed="false" customWidth="true" hidden="false" outlineLevel="0" max="13073" min="13073" style="44" width="35.82"/>
    <col collapsed="false" customWidth="false" hidden="false" outlineLevel="0" max="13075" min="13074" style="44" width="11.45"/>
    <col collapsed="false" customWidth="true" hidden="true" outlineLevel="0" max="13076" min="13076" style="44" width="11.53"/>
    <col collapsed="false" customWidth="true" hidden="false" outlineLevel="0" max="13077" min="13077" style="44" width="41.18"/>
    <col collapsed="false" customWidth="false" hidden="false" outlineLevel="0" max="13315" min="13078" style="44" width="11.45"/>
    <col collapsed="false" customWidth="true" hidden="false" outlineLevel="0" max="13316" min="13316" style="44" width="3.82"/>
    <col collapsed="false" customWidth="true" hidden="false" outlineLevel="0" max="13317" min="13317" style="44" width="7.18"/>
    <col collapsed="false" customWidth="true" hidden="false" outlineLevel="0" max="13318" min="13318" style="44" width="57.54"/>
    <col collapsed="false" customWidth="true" hidden="false" outlineLevel="0" max="13319" min="13319" style="44" width="19.45"/>
    <col collapsed="false" customWidth="true" hidden="false" outlineLevel="0" max="13325" min="13320" style="44" width="3.82"/>
    <col collapsed="false" customWidth="true" hidden="false" outlineLevel="0" max="13326" min="13326" style="44" width="14.45"/>
    <col collapsed="false" customWidth="true" hidden="false" outlineLevel="0" max="13327" min="13327" style="44" width="12.18"/>
    <col collapsed="false" customWidth="true" hidden="false" outlineLevel="0" max="13328" min="13328" style="44" width="9.18"/>
    <col collapsed="false" customWidth="true" hidden="false" outlineLevel="0" max="13329" min="13329" style="44" width="35.82"/>
    <col collapsed="false" customWidth="false" hidden="false" outlineLevel="0" max="13331" min="13330" style="44" width="11.45"/>
    <col collapsed="false" customWidth="true" hidden="true" outlineLevel="0" max="13332" min="13332" style="44" width="11.53"/>
    <col collapsed="false" customWidth="true" hidden="false" outlineLevel="0" max="13333" min="13333" style="44" width="41.18"/>
    <col collapsed="false" customWidth="false" hidden="false" outlineLevel="0" max="13571" min="13334" style="44" width="11.45"/>
    <col collapsed="false" customWidth="true" hidden="false" outlineLevel="0" max="13572" min="13572" style="44" width="3.82"/>
    <col collapsed="false" customWidth="true" hidden="false" outlineLevel="0" max="13573" min="13573" style="44" width="7.18"/>
    <col collapsed="false" customWidth="true" hidden="false" outlineLevel="0" max="13574" min="13574" style="44" width="57.54"/>
    <col collapsed="false" customWidth="true" hidden="false" outlineLevel="0" max="13575" min="13575" style="44" width="19.45"/>
    <col collapsed="false" customWidth="true" hidden="false" outlineLevel="0" max="13581" min="13576" style="44" width="3.82"/>
    <col collapsed="false" customWidth="true" hidden="false" outlineLevel="0" max="13582" min="13582" style="44" width="14.45"/>
    <col collapsed="false" customWidth="true" hidden="false" outlineLevel="0" max="13583" min="13583" style="44" width="12.18"/>
    <col collapsed="false" customWidth="true" hidden="false" outlineLevel="0" max="13584" min="13584" style="44" width="9.18"/>
    <col collapsed="false" customWidth="true" hidden="false" outlineLevel="0" max="13585" min="13585" style="44" width="35.82"/>
    <col collapsed="false" customWidth="false" hidden="false" outlineLevel="0" max="13587" min="13586" style="44" width="11.45"/>
    <col collapsed="false" customWidth="true" hidden="true" outlineLevel="0" max="13588" min="13588" style="44" width="11.53"/>
    <col collapsed="false" customWidth="true" hidden="false" outlineLevel="0" max="13589" min="13589" style="44" width="41.18"/>
    <col collapsed="false" customWidth="false" hidden="false" outlineLevel="0" max="13827" min="13590" style="44" width="11.45"/>
    <col collapsed="false" customWidth="true" hidden="false" outlineLevel="0" max="13828" min="13828" style="44" width="3.82"/>
    <col collapsed="false" customWidth="true" hidden="false" outlineLevel="0" max="13829" min="13829" style="44" width="7.18"/>
    <col collapsed="false" customWidth="true" hidden="false" outlineLevel="0" max="13830" min="13830" style="44" width="57.54"/>
    <col collapsed="false" customWidth="true" hidden="false" outlineLevel="0" max="13831" min="13831" style="44" width="19.45"/>
    <col collapsed="false" customWidth="true" hidden="false" outlineLevel="0" max="13837" min="13832" style="44" width="3.82"/>
    <col collapsed="false" customWidth="true" hidden="false" outlineLevel="0" max="13838" min="13838" style="44" width="14.45"/>
    <col collapsed="false" customWidth="true" hidden="false" outlineLevel="0" max="13839" min="13839" style="44" width="12.18"/>
    <col collapsed="false" customWidth="true" hidden="false" outlineLevel="0" max="13840" min="13840" style="44" width="9.18"/>
    <col collapsed="false" customWidth="true" hidden="false" outlineLevel="0" max="13841" min="13841" style="44" width="35.82"/>
    <col collapsed="false" customWidth="false" hidden="false" outlineLevel="0" max="13843" min="13842" style="44" width="11.45"/>
    <col collapsed="false" customWidth="true" hidden="true" outlineLevel="0" max="13844" min="13844" style="44" width="11.53"/>
    <col collapsed="false" customWidth="true" hidden="false" outlineLevel="0" max="13845" min="13845" style="44" width="41.18"/>
    <col collapsed="false" customWidth="false" hidden="false" outlineLevel="0" max="14083" min="13846" style="44" width="11.45"/>
    <col collapsed="false" customWidth="true" hidden="false" outlineLevel="0" max="14084" min="14084" style="44" width="3.82"/>
    <col collapsed="false" customWidth="true" hidden="false" outlineLevel="0" max="14085" min="14085" style="44" width="7.18"/>
    <col collapsed="false" customWidth="true" hidden="false" outlineLevel="0" max="14086" min="14086" style="44" width="57.54"/>
    <col collapsed="false" customWidth="true" hidden="false" outlineLevel="0" max="14087" min="14087" style="44" width="19.45"/>
    <col collapsed="false" customWidth="true" hidden="false" outlineLevel="0" max="14093" min="14088" style="44" width="3.82"/>
    <col collapsed="false" customWidth="true" hidden="false" outlineLevel="0" max="14094" min="14094" style="44" width="14.45"/>
    <col collapsed="false" customWidth="true" hidden="false" outlineLevel="0" max="14095" min="14095" style="44" width="12.18"/>
    <col collapsed="false" customWidth="true" hidden="false" outlineLevel="0" max="14096" min="14096" style="44" width="9.18"/>
    <col collapsed="false" customWidth="true" hidden="false" outlineLevel="0" max="14097" min="14097" style="44" width="35.82"/>
    <col collapsed="false" customWidth="false" hidden="false" outlineLevel="0" max="14099" min="14098" style="44" width="11.45"/>
    <col collapsed="false" customWidth="true" hidden="true" outlineLevel="0" max="14100" min="14100" style="44" width="11.53"/>
    <col collapsed="false" customWidth="true" hidden="false" outlineLevel="0" max="14101" min="14101" style="44" width="41.18"/>
    <col collapsed="false" customWidth="false" hidden="false" outlineLevel="0" max="14339" min="14102" style="44" width="11.45"/>
    <col collapsed="false" customWidth="true" hidden="false" outlineLevel="0" max="14340" min="14340" style="44" width="3.82"/>
    <col collapsed="false" customWidth="true" hidden="false" outlineLevel="0" max="14341" min="14341" style="44" width="7.18"/>
    <col collapsed="false" customWidth="true" hidden="false" outlineLevel="0" max="14342" min="14342" style="44" width="57.54"/>
    <col collapsed="false" customWidth="true" hidden="false" outlineLevel="0" max="14343" min="14343" style="44" width="19.45"/>
    <col collapsed="false" customWidth="true" hidden="false" outlineLevel="0" max="14349" min="14344" style="44" width="3.82"/>
    <col collapsed="false" customWidth="true" hidden="false" outlineLevel="0" max="14350" min="14350" style="44" width="14.45"/>
    <col collapsed="false" customWidth="true" hidden="false" outlineLevel="0" max="14351" min="14351" style="44" width="12.18"/>
    <col collapsed="false" customWidth="true" hidden="false" outlineLevel="0" max="14352" min="14352" style="44" width="9.18"/>
    <col collapsed="false" customWidth="true" hidden="false" outlineLevel="0" max="14353" min="14353" style="44" width="35.82"/>
    <col collapsed="false" customWidth="false" hidden="false" outlineLevel="0" max="14355" min="14354" style="44" width="11.45"/>
    <col collapsed="false" customWidth="true" hidden="true" outlineLevel="0" max="14356" min="14356" style="44" width="11.53"/>
    <col collapsed="false" customWidth="true" hidden="false" outlineLevel="0" max="14357" min="14357" style="44" width="41.18"/>
    <col collapsed="false" customWidth="false" hidden="false" outlineLevel="0" max="14595" min="14358" style="44" width="11.45"/>
    <col collapsed="false" customWidth="true" hidden="false" outlineLevel="0" max="14596" min="14596" style="44" width="3.82"/>
    <col collapsed="false" customWidth="true" hidden="false" outlineLevel="0" max="14597" min="14597" style="44" width="7.18"/>
    <col collapsed="false" customWidth="true" hidden="false" outlineLevel="0" max="14598" min="14598" style="44" width="57.54"/>
    <col collapsed="false" customWidth="true" hidden="false" outlineLevel="0" max="14599" min="14599" style="44" width="19.45"/>
    <col collapsed="false" customWidth="true" hidden="false" outlineLevel="0" max="14605" min="14600" style="44" width="3.82"/>
    <col collapsed="false" customWidth="true" hidden="false" outlineLevel="0" max="14606" min="14606" style="44" width="14.45"/>
    <col collapsed="false" customWidth="true" hidden="false" outlineLevel="0" max="14607" min="14607" style="44" width="12.18"/>
    <col collapsed="false" customWidth="true" hidden="false" outlineLevel="0" max="14608" min="14608" style="44" width="9.18"/>
    <col collapsed="false" customWidth="true" hidden="false" outlineLevel="0" max="14609" min="14609" style="44" width="35.82"/>
    <col collapsed="false" customWidth="false" hidden="false" outlineLevel="0" max="14611" min="14610" style="44" width="11.45"/>
    <col collapsed="false" customWidth="true" hidden="true" outlineLevel="0" max="14612" min="14612" style="44" width="11.53"/>
    <col collapsed="false" customWidth="true" hidden="false" outlineLevel="0" max="14613" min="14613" style="44" width="41.18"/>
    <col collapsed="false" customWidth="false" hidden="false" outlineLevel="0" max="14851" min="14614" style="44" width="11.45"/>
    <col collapsed="false" customWidth="true" hidden="false" outlineLevel="0" max="14852" min="14852" style="44" width="3.82"/>
    <col collapsed="false" customWidth="true" hidden="false" outlineLevel="0" max="14853" min="14853" style="44" width="7.18"/>
    <col collapsed="false" customWidth="true" hidden="false" outlineLevel="0" max="14854" min="14854" style="44" width="57.54"/>
    <col collapsed="false" customWidth="true" hidden="false" outlineLevel="0" max="14855" min="14855" style="44" width="19.45"/>
    <col collapsed="false" customWidth="true" hidden="false" outlineLevel="0" max="14861" min="14856" style="44" width="3.82"/>
    <col collapsed="false" customWidth="true" hidden="false" outlineLevel="0" max="14862" min="14862" style="44" width="14.45"/>
    <col collapsed="false" customWidth="true" hidden="false" outlineLevel="0" max="14863" min="14863" style="44" width="12.18"/>
    <col collapsed="false" customWidth="true" hidden="false" outlineLevel="0" max="14864" min="14864" style="44" width="9.18"/>
    <col collapsed="false" customWidth="true" hidden="false" outlineLevel="0" max="14865" min="14865" style="44" width="35.82"/>
    <col collapsed="false" customWidth="false" hidden="false" outlineLevel="0" max="14867" min="14866" style="44" width="11.45"/>
    <col collapsed="false" customWidth="true" hidden="true" outlineLevel="0" max="14868" min="14868" style="44" width="11.53"/>
    <col collapsed="false" customWidth="true" hidden="false" outlineLevel="0" max="14869" min="14869" style="44" width="41.18"/>
    <col collapsed="false" customWidth="false" hidden="false" outlineLevel="0" max="15107" min="14870" style="44" width="11.45"/>
    <col collapsed="false" customWidth="true" hidden="false" outlineLevel="0" max="15108" min="15108" style="44" width="3.82"/>
    <col collapsed="false" customWidth="true" hidden="false" outlineLevel="0" max="15109" min="15109" style="44" width="7.18"/>
    <col collapsed="false" customWidth="true" hidden="false" outlineLevel="0" max="15110" min="15110" style="44" width="57.54"/>
    <col collapsed="false" customWidth="true" hidden="false" outlineLevel="0" max="15111" min="15111" style="44" width="19.45"/>
    <col collapsed="false" customWidth="true" hidden="false" outlineLevel="0" max="15117" min="15112" style="44" width="3.82"/>
    <col collapsed="false" customWidth="true" hidden="false" outlineLevel="0" max="15118" min="15118" style="44" width="14.45"/>
    <col collapsed="false" customWidth="true" hidden="false" outlineLevel="0" max="15119" min="15119" style="44" width="12.18"/>
    <col collapsed="false" customWidth="true" hidden="false" outlineLevel="0" max="15120" min="15120" style="44" width="9.18"/>
    <col collapsed="false" customWidth="true" hidden="false" outlineLevel="0" max="15121" min="15121" style="44" width="35.82"/>
    <col collapsed="false" customWidth="false" hidden="false" outlineLevel="0" max="15123" min="15122" style="44" width="11.45"/>
    <col collapsed="false" customWidth="true" hidden="true" outlineLevel="0" max="15124" min="15124" style="44" width="11.53"/>
    <col collapsed="false" customWidth="true" hidden="false" outlineLevel="0" max="15125" min="15125" style="44" width="41.18"/>
    <col collapsed="false" customWidth="false" hidden="false" outlineLevel="0" max="15363" min="15126" style="44" width="11.45"/>
    <col collapsed="false" customWidth="true" hidden="false" outlineLevel="0" max="15364" min="15364" style="44" width="3.82"/>
    <col collapsed="false" customWidth="true" hidden="false" outlineLevel="0" max="15365" min="15365" style="44" width="7.18"/>
    <col collapsed="false" customWidth="true" hidden="false" outlineLevel="0" max="15366" min="15366" style="44" width="57.54"/>
    <col collapsed="false" customWidth="true" hidden="false" outlineLevel="0" max="15367" min="15367" style="44" width="19.45"/>
    <col collapsed="false" customWidth="true" hidden="false" outlineLevel="0" max="15373" min="15368" style="44" width="3.82"/>
    <col collapsed="false" customWidth="true" hidden="false" outlineLevel="0" max="15374" min="15374" style="44" width="14.45"/>
    <col collapsed="false" customWidth="true" hidden="false" outlineLevel="0" max="15375" min="15375" style="44" width="12.18"/>
    <col collapsed="false" customWidth="true" hidden="false" outlineLevel="0" max="15376" min="15376" style="44" width="9.18"/>
    <col collapsed="false" customWidth="true" hidden="false" outlineLevel="0" max="15377" min="15377" style="44" width="35.82"/>
    <col collapsed="false" customWidth="false" hidden="false" outlineLevel="0" max="15379" min="15378" style="44" width="11.45"/>
    <col collapsed="false" customWidth="true" hidden="true" outlineLevel="0" max="15380" min="15380" style="44" width="11.53"/>
    <col collapsed="false" customWidth="true" hidden="false" outlineLevel="0" max="15381" min="15381" style="44" width="41.18"/>
    <col collapsed="false" customWidth="false" hidden="false" outlineLevel="0" max="15619" min="15382" style="44" width="11.45"/>
    <col collapsed="false" customWidth="true" hidden="false" outlineLevel="0" max="15620" min="15620" style="44" width="3.82"/>
    <col collapsed="false" customWidth="true" hidden="false" outlineLevel="0" max="15621" min="15621" style="44" width="7.18"/>
    <col collapsed="false" customWidth="true" hidden="false" outlineLevel="0" max="15622" min="15622" style="44" width="57.54"/>
    <col collapsed="false" customWidth="true" hidden="false" outlineLevel="0" max="15623" min="15623" style="44" width="19.45"/>
    <col collapsed="false" customWidth="true" hidden="false" outlineLevel="0" max="15629" min="15624" style="44" width="3.82"/>
    <col collapsed="false" customWidth="true" hidden="false" outlineLevel="0" max="15630" min="15630" style="44" width="14.45"/>
    <col collapsed="false" customWidth="true" hidden="false" outlineLevel="0" max="15631" min="15631" style="44" width="12.18"/>
    <col collapsed="false" customWidth="true" hidden="false" outlineLevel="0" max="15632" min="15632" style="44" width="9.18"/>
    <col collapsed="false" customWidth="true" hidden="false" outlineLevel="0" max="15633" min="15633" style="44" width="35.82"/>
    <col collapsed="false" customWidth="false" hidden="false" outlineLevel="0" max="15635" min="15634" style="44" width="11.45"/>
    <col collapsed="false" customWidth="true" hidden="true" outlineLevel="0" max="15636" min="15636" style="44" width="11.53"/>
    <col collapsed="false" customWidth="true" hidden="false" outlineLevel="0" max="15637" min="15637" style="44" width="41.18"/>
    <col collapsed="false" customWidth="false" hidden="false" outlineLevel="0" max="15875" min="15638" style="44" width="11.45"/>
    <col collapsed="false" customWidth="true" hidden="false" outlineLevel="0" max="15876" min="15876" style="44" width="3.82"/>
    <col collapsed="false" customWidth="true" hidden="false" outlineLevel="0" max="15877" min="15877" style="44" width="7.18"/>
    <col collapsed="false" customWidth="true" hidden="false" outlineLevel="0" max="15878" min="15878" style="44" width="57.54"/>
    <col collapsed="false" customWidth="true" hidden="false" outlineLevel="0" max="15879" min="15879" style="44" width="19.45"/>
    <col collapsed="false" customWidth="true" hidden="false" outlineLevel="0" max="15885" min="15880" style="44" width="3.82"/>
    <col collapsed="false" customWidth="true" hidden="false" outlineLevel="0" max="15886" min="15886" style="44" width="14.45"/>
    <col collapsed="false" customWidth="true" hidden="false" outlineLevel="0" max="15887" min="15887" style="44" width="12.18"/>
    <col collapsed="false" customWidth="true" hidden="false" outlineLevel="0" max="15888" min="15888" style="44" width="9.18"/>
    <col collapsed="false" customWidth="true" hidden="false" outlineLevel="0" max="15889" min="15889" style="44" width="35.82"/>
    <col collapsed="false" customWidth="false" hidden="false" outlineLevel="0" max="15891" min="15890" style="44" width="11.45"/>
    <col collapsed="false" customWidth="true" hidden="true" outlineLevel="0" max="15892" min="15892" style="44" width="11.53"/>
    <col collapsed="false" customWidth="true" hidden="false" outlineLevel="0" max="15893" min="15893" style="44" width="41.18"/>
    <col collapsed="false" customWidth="false" hidden="false" outlineLevel="0" max="16131" min="15894" style="44" width="11.45"/>
    <col collapsed="false" customWidth="true" hidden="false" outlineLevel="0" max="16132" min="16132" style="44" width="3.82"/>
    <col collapsed="false" customWidth="true" hidden="false" outlineLevel="0" max="16133" min="16133" style="44" width="7.18"/>
    <col collapsed="false" customWidth="true" hidden="false" outlineLevel="0" max="16134" min="16134" style="44" width="57.54"/>
    <col collapsed="false" customWidth="true" hidden="false" outlineLevel="0" max="16135" min="16135" style="44" width="19.45"/>
    <col collapsed="false" customWidth="true" hidden="false" outlineLevel="0" max="16141" min="16136" style="44" width="3.82"/>
    <col collapsed="false" customWidth="true" hidden="false" outlineLevel="0" max="16142" min="16142" style="44" width="14.45"/>
    <col collapsed="false" customWidth="true" hidden="false" outlineLevel="0" max="16143" min="16143" style="44" width="12.18"/>
    <col collapsed="false" customWidth="true" hidden="false" outlineLevel="0" max="16144" min="16144" style="44" width="9.18"/>
    <col collapsed="false" customWidth="true" hidden="false" outlineLevel="0" max="16145" min="16145" style="44" width="35.82"/>
    <col collapsed="false" customWidth="false" hidden="false" outlineLevel="0" max="16147" min="16146" style="44" width="11.45"/>
    <col collapsed="false" customWidth="true" hidden="true" outlineLevel="0" max="16148" min="16148" style="44" width="11.53"/>
    <col collapsed="false" customWidth="true" hidden="false" outlineLevel="0" max="16149" min="16149" style="44" width="41.18"/>
    <col collapsed="false" customWidth="false" hidden="false" outlineLevel="0" max="16384" min="16150" style="44" width="11.45"/>
  </cols>
  <sheetData>
    <row r="1" customFormat="false" ht="2.15" hidden="false" customHeight="true" outlineLevel="0" collapsed="false">
      <c r="T1" s="44" t="s">
        <v>77</v>
      </c>
      <c r="U1" s="44" t="s">
        <v>78</v>
      </c>
      <c r="V1" s="44" t="s">
        <v>79</v>
      </c>
    </row>
    <row r="2" customFormat="false" ht="20.15" hidden="false" customHeight="true" outlineLevel="0" collapsed="false">
      <c r="A2" s="46"/>
      <c r="B2" s="47"/>
      <c r="C2" s="47"/>
      <c r="D2" s="48"/>
      <c r="E2" s="48"/>
      <c r="F2" s="48"/>
      <c r="G2" s="47"/>
      <c r="H2" s="47"/>
      <c r="I2" s="47"/>
      <c r="J2" s="47"/>
      <c r="K2" s="47"/>
      <c r="L2" s="49"/>
      <c r="N2" s="50" t="s">
        <v>80</v>
      </c>
      <c r="O2" s="50"/>
      <c r="P2" s="51" t="s">
        <v>81</v>
      </c>
      <c r="Q2" s="51"/>
      <c r="R2" s="51"/>
      <c r="T2" s="52" t="s">
        <v>82</v>
      </c>
      <c r="U2" s="52" t="n">
        <f aca="false">COUNTIF($Q$12:$Q$135,T2)</f>
        <v>0</v>
      </c>
      <c r="V2" s="53" t="e">
        <f aca="false">+G144</f>
        <v>#DIV/0!</v>
      </c>
      <c r="W2" s="53" t="e">
        <f aca="false">+M144</f>
        <v>#DIV/0!</v>
      </c>
    </row>
    <row r="3" customFormat="false" ht="20.15" hidden="false" customHeight="true" outlineLevel="0" collapsed="false">
      <c r="A3" s="54"/>
      <c r="B3" s="55" t="s">
        <v>83</v>
      </c>
      <c r="C3" s="55"/>
      <c r="D3" s="55"/>
      <c r="E3" s="55"/>
      <c r="F3" s="55"/>
      <c r="G3" s="55"/>
      <c r="H3" s="56" t="n">
        <v>65</v>
      </c>
      <c r="I3" s="56"/>
      <c r="J3" s="56"/>
      <c r="K3" s="57"/>
      <c r="L3" s="58"/>
      <c r="N3" s="59" t="s">
        <v>84</v>
      </c>
      <c r="O3" s="59"/>
      <c r="P3" s="60" t="n">
        <v>45622</v>
      </c>
      <c r="Q3" s="60"/>
      <c r="R3" s="60"/>
      <c r="T3" s="52" t="s">
        <v>85</v>
      </c>
      <c r="U3" s="52" t="n">
        <f aca="false">COUNTIF($Q$12:$Q$139,T3)</f>
        <v>0</v>
      </c>
      <c r="V3" s="53" t="e">
        <f aca="false">+G145</f>
        <v>#DIV/0!</v>
      </c>
      <c r="W3" s="53" t="e">
        <f aca="false">+M145</f>
        <v>#DIV/0!</v>
      </c>
    </row>
    <row r="4" customFormat="false" ht="20.15" hidden="false" customHeight="true" outlineLevel="0" collapsed="false">
      <c r="A4" s="54"/>
      <c r="B4" s="55"/>
      <c r="C4" s="55"/>
      <c r="D4" s="55"/>
      <c r="E4" s="55"/>
      <c r="F4" s="55"/>
      <c r="G4" s="55"/>
      <c r="H4" s="56"/>
      <c r="I4" s="56"/>
      <c r="J4" s="56"/>
      <c r="K4" s="57"/>
      <c r="L4" s="58"/>
      <c r="N4" s="59" t="s">
        <v>86</v>
      </c>
      <c r="O4" s="59"/>
      <c r="P4" s="61" t="s">
        <v>87</v>
      </c>
      <c r="Q4" s="61"/>
      <c r="R4" s="61"/>
      <c r="T4" s="52" t="s">
        <v>88</v>
      </c>
      <c r="U4" s="52" t="n">
        <f aca="false">COUNTIF($Q$12:$Q$139,T4)</f>
        <v>0</v>
      </c>
      <c r="V4" s="53" t="e">
        <f aca="false">+G146</f>
        <v>#DIV/0!</v>
      </c>
      <c r="W4" s="53" t="e">
        <f aca="false">+M146</f>
        <v>#DIV/0!</v>
      </c>
    </row>
    <row r="5" customFormat="false" ht="20" hidden="false" customHeight="false" outlineLevel="0" collapsed="false">
      <c r="A5" s="62"/>
      <c r="B5" s="63"/>
      <c r="C5" s="63"/>
      <c r="D5" s="64"/>
      <c r="E5" s="64"/>
      <c r="F5" s="64"/>
      <c r="G5" s="63"/>
      <c r="H5" s="63"/>
      <c r="I5" s="63"/>
      <c r="J5" s="63"/>
      <c r="K5" s="63"/>
      <c r="L5" s="65"/>
      <c r="N5" s="66" t="s">
        <v>89</v>
      </c>
      <c r="O5" s="66"/>
      <c r="P5" s="67"/>
      <c r="Q5" s="67"/>
      <c r="R5" s="67"/>
      <c r="T5" s="52" t="s">
        <v>90</v>
      </c>
      <c r="U5" s="52" t="n">
        <f aca="false">COUNTIF($Q$12:$Q$139,T5)</f>
        <v>0</v>
      </c>
      <c r="V5" s="53" t="e">
        <f aca="false">+G147</f>
        <v>#DIV/0!</v>
      </c>
      <c r="W5" s="53" t="e">
        <f aca="false">+M147</f>
        <v>#DIV/0!</v>
      </c>
    </row>
    <row r="6" customFormat="false" ht="20" hidden="false" customHeight="false" outlineLevel="0" collapsed="false">
      <c r="T6" s="52" t="s">
        <v>91</v>
      </c>
      <c r="U6" s="52" t="n">
        <f aca="false">COUNTIF($Q$12:$Q$139,T6)</f>
        <v>0</v>
      </c>
      <c r="V6" s="53" t="e">
        <f aca="false">+G148</f>
        <v>#DIV/0!</v>
      </c>
      <c r="W6" s="53" t="e">
        <f aca="false">+M148</f>
        <v>#DIV/0!</v>
      </c>
    </row>
    <row r="7" customFormat="false" ht="20" hidden="false" customHeight="false" outlineLevel="0" collapsed="false">
      <c r="A7" s="45"/>
      <c r="B7" s="45"/>
      <c r="C7" s="45"/>
      <c r="G7" s="45"/>
      <c r="H7" s="45"/>
      <c r="I7" s="45"/>
      <c r="J7" s="45"/>
      <c r="K7" s="45"/>
      <c r="L7" s="45"/>
      <c r="M7" s="45"/>
      <c r="T7" s="52" t="s">
        <v>92</v>
      </c>
      <c r="U7" s="52" t="n">
        <f aca="false">COUNTIF($Q$12:$Q$139,T7)</f>
        <v>0</v>
      </c>
      <c r="V7" s="53" t="e">
        <f aca="false">+G149</f>
        <v>#DIV/0!</v>
      </c>
      <c r="W7" s="53" t="e">
        <f aca="false">+M149</f>
        <v>#DIV/0!</v>
      </c>
    </row>
    <row r="8" customFormat="false" ht="20" hidden="false" customHeight="false" outlineLevel="0" collapsed="false">
      <c r="B8" s="68" t="n">
        <f aca="false">+G8</f>
        <v>46083</v>
      </c>
      <c r="C8" s="69"/>
      <c r="D8" s="70"/>
      <c r="E8" s="70" t="s">
        <v>93</v>
      </c>
      <c r="F8" s="70"/>
      <c r="G8" s="71" t="n">
        <v>46083</v>
      </c>
      <c r="H8" s="71"/>
      <c r="I8" s="71"/>
      <c r="J8" s="72" t="s">
        <v>94</v>
      </c>
      <c r="K8" s="72"/>
      <c r="L8" s="72"/>
      <c r="M8" s="72"/>
      <c r="N8" s="71" t="n">
        <f aca="false">+G8+6</f>
        <v>46089</v>
      </c>
      <c r="O8" s="71"/>
      <c r="P8" s="71"/>
      <c r="Q8" s="73"/>
      <c r="R8" s="73"/>
      <c r="T8" s="52" t="s">
        <v>95</v>
      </c>
      <c r="U8" s="52" t="n">
        <f aca="false">COUNTIF($Q$12:$Q$139,T8)</f>
        <v>0</v>
      </c>
      <c r="V8" s="53" t="e">
        <f aca="false">+G150</f>
        <v>#DIV/0!</v>
      </c>
      <c r="W8" s="53" t="e">
        <f aca="false">+M150</f>
        <v>#DIV/0!</v>
      </c>
    </row>
    <row r="9" customFormat="false" ht="20" hidden="false" customHeight="false" outlineLevel="0" collapsed="false">
      <c r="B9" s="68"/>
      <c r="C9" s="69"/>
      <c r="D9" s="45" t="s">
        <v>96</v>
      </c>
      <c r="G9" s="74" t="s">
        <v>97</v>
      </c>
      <c r="H9" s="74"/>
      <c r="I9" s="74"/>
      <c r="J9" s="74"/>
      <c r="K9" s="74"/>
      <c r="L9" s="74"/>
      <c r="M9" s="74"/>
      <c r="T9" s="52" t="s">
        <v>98</v>
      </c>
      <c r="U9" s="52" t="n">
        <f aca="false">COUNTIF($Q$12:$Q$139,T9)</f>
        <v>0</v>
      </c>
      <c r="V9" s="53" t="e">
        <f aca="false">+G151</f>
        <v>#DIV/0!</v>
      </c>
      <c r="W9" s="53" t="e">
        <f aca="false">+M151</f>
        <v>#DIV/0!</v>
      </c>
    </row>
    <row r="10" s="83" customFormat="true" ht="20.5" hidden="false" customHeight="true" outlineLevel="0" collapsed="false">
      <c r="A10" s="75" t="s">
        <v>99</v>
      </c>
      <c r="B10" s="76" t="s">
        <v>100</v>
      </c>
      <c r="C10" s="77" t="s">
        <v>101</v>
      </c>
      <c r="D10" s="77" t="s">
        <v>102</v>
      </c>
      <c r="E10" s="77" t="s">
        <v>76</v>
      </c>
      <c r="F10" s="78" t="s">
        <v>103</v>
      </c>
      <c r="G10" s="79" t="s">
        <v>104</v>
      </c>
      <c r="H10" s="79" t="s">
        <v>105</v>
      </c>
      <c r="I10" s="79" t="s">
        <v>106</v>
      </c>
      <c r="J10" s="79" t="s">
        <v>107</v>
      </c>
      <c r="K10" s="79" t="s">
        <v>108</v>
      </c>
      <c r="L10" s="79" t="s">
        <v>109</v>
      </c>
      <c r="M10" s="80" t="s">
        <v>110</v>
      </c>
      <c r="N10" s="81" t="s">
        <v>111</v>
      </c>
      <c r="O10" s="81"/>
      <c r="P10" s="77" t="s">
        <v>112</v>
      </c>
      <c r="Q10" s="77" t="s">
        <v>113</v>
      </c>
      <c r="R10" s="82" t="s">
        <v>114</v>
      </c>
      <c r="T10" s="52" t="s">
        <v>115</v>
      </c>
      <c r="U10" s="52" t="n">
        <f aca="false">COUNTIF($Q$12:$Q$139,T10)</f>
        <v>0</v>
      </c>
      <c r="V10" s="53" t="e">
        <f aca="false">+G152</f>
        <v>#DIV/0!</v>
      </c>
      <c r="W10" s="53" t="e">
        <f aca="false">+M152</f>
        <v>#DIV/0!</v>
      </c>
    </row>
    <row r="11" s="83" customFormat="true" ht="20" hidden="false" customHeight="false" outlineLevel="0" collapsed="false">
      <c r="A11" s="75"/>
      <c r="B11" s="84"/>
      <c r="C11" s="77"/>
      <c r="D11" s="77"/>
      <c r="E11" s="77"/>
      <c r="F11" s="78"/>
      <c r="G11" s="85" t="n">
        <v>2</v>
      </c>
      <c r="H11" s="85" t="n">
        <f aca="false">+G11+1</f>
        <v>3</v>
      </c>
      <c r="I11" s="85" t="n">
        <f aca="false">+H11+1</f>
        <v>4</v>
      </c>
      <c r="J11" s="85" t="n">
        <f aca="false">+I11+1</f>
        <v>5</v>
      </c>
      <c r="K11" s="85" t="n">
        <f aca="false">+J11+1</f>
        <v>6</v>
      </c>
      <c r="L11" s="85" t="n">
        <f aca="false">+K11+1</f>
        <v>7</v>
      </c>
      <c r="M11" s="86" t="n">
        <f aca="false">+L11+1</f>
        <v>8</v>
      </c>
      <c r="N11" s="87" t="s">
        <v>116</v>
      </c>
      <c r="O11" s="87" t="s">
        <v>117</v>
      </c>
      <c r="P11" s="77"/>
      <c r="Q11" s="77"/>
      <c r="R11" s="82"/>
    </row>
    <row r="12" customFormat="false" ht="23.1" hidden="false" customHeight="true" outlineLevel="0" collapsed="false">
      <c r="A12" s="88" t="n">
        <v>1</v>
      </c>
      <c r="B12" s="89" t="s">
        <v>118</v>
      </c>
      <c r="C12" s="90" t="n">
        <v>3</v>
      </c>
      <c r="D12" s="91" t="s">
        <v>119</v>
      </c>
      <c r="E12" s="91" t="s">
        <v>120</v>
      </c>
      <c r="F12" s="91" t="s">
        <v>50</v>
      </c>
      <c r="G12" s="92"/>
      <c r="H12" s="93"/>
      <c r="I12" s="93"/>
      <c r="J12" s="93"/>
      <c r="K12" s="93"/>
      <c r="L12" s="93"/>
      <c r="M12" s="94"/>
      <c r="N12" s="95" t="n">
        <v>1</v>
      </c>
      <c r="O12" s="95"/>
      <c r="P12" s="96"/>
      <c r="Q12" s="97"/>
      <c r="R12" s="98"/>
    </row>
    <row r="13" customFormat="false" ht="23.1" hidden="false" customHeight="false" outlineLevel="0" collapsed="false">
      <c r="A13" s="88" t="n">
        <f aca="false">+A12+1</f>
        <v>2</v>
      </c>
      <c r="B13" s="89"/>
      <c r="C13" s="90" t="n">
        <v>4</v>
      </c>
      <c r="D13" s="91" t="s">
        <v>119</v>
      </c>
      <c r="E13" s="91" t="s">
        <v>120</v>
      </c>
      <c r="F13" s="91" t="s">
        <v>50</v>
      </c>
      <c r="G13" s="93"/>
      <c r="H13" s="92"/>
      <c r="I13" s="93"/>
      <c r="J13" s="93"/>
      <c r="K13" s="93"/>
      <c r="L13" s="93"/>
      <c r="M13" s="94"/>
      <c r="N13" s="95" t="n">
        <v>1</v>
      </c>
      <c r="O13" s="95"/>
      <c r="P13" s="96"/>
      <c r="Q13" s="97"/>
      <c r="R13" s="98"/>
    </row>
    <row r="14" customFormat="false" ht="23.1" hidden="false" customHeight="false" outlineLevel="0" collapsed="false">
      <c r="A14" s="88" t="n">
        <f aca="false">+A13+1</f>
        <v>3</v>
      </c>
      <c r="B14" s="89"/>
      <c r="C14" s="90" t="n">
        <v>1</v>
      </c>
      <c r="D14" s="91" t="s">
        <v>119</v>
      </c>
      <c r="E14" s="91" t="s">
        <v>120</v>
      </c>
      <c r="F14" s="91" t="s">
        <v>50</v>
      </c>
      <c r="G14" s="93"/>
      <c r="H14" s="93"/>
      <c r="I14" s="92"/>
      <c r="J14" s="93"/>
      <c r="K14" s="93"/>
      <c r="L14" s="93"/>
      <c r="M14" s="94"/>
      <c r="N14" s="95" t="n">
        <v>1</v>
      </c>
      <c r="O14" s="95"/>
      <c r="P14" s="96"/>
      <c r="Q14" s="97"/>
      <c r="R14" s="98"/>
    </row>
    <row r="15" customFormat="false" ht="23.1" hidden="false" customHeight="false" outlineLevel="0" collapsed="false">
      <c r="A15" s="88" t="n">
        <f aca="false">+A14+1</f>
        <v>4</v>
      </c>
      <c r="B15" s="89"/>
      <c r="C15" s="90" t="n">
        <v>2</v>
      </c>
      <c r="D15" s="91" t="s">
        <v>119</v>
      </c>
      <c r="E15" s="91" t="s">
        <v>120</v>
      </c>
      <c r="F15" s="91" t="s">
        <v>50</v>
      </c>
      <c r="G15" s="93"/>
      <c r="H15" s="93"/>
      <c r="I15" s="93"/>
      <c r="J15" s="92"/>
      <c r="K15" s="93"/>
      <c r="L15" s="93"/>
      <c r="M15" s="94"/>
      <c r="N15" s="95" t="n">
        <v>1</v>
      </c>
      <c r="O15" s="95"/>
      <c r="P15" s="96"/>
      <c r="Q15" s="97"/>
      <c r="R15" s="98"/>
    </row>
    <row r="16" customFormat="false" ht="23.1" hidden="false" customHeight="false" outlineLevel="0" collapsed="false">
      <c r="A16" s="88" t="n">
        <f aca="false">+A15+1</f>
        <v>5</v>
      </c>
      <c r="B16" s="89"/>
      <c r="C16" s="90" t="n">
        <v>5</v>
      </c>
      <c r="D16" s="91" t="s">
        <v>119</v>
      </c>
      <c r="E16" s="91" t="s">
        <v>120</v>
      </c>
      <c r="F16" s="91" t="s">
        <v>50</v>
      </c>
      <c r="G16" s="93"/>
      <c r="H16" s="93"/>
      <c r="I16" s="93"/>
      <c r="J16" s="93"/>
      <c r="K16" s="92"/>
      <c r="L16" s="93"/>
      <c r="M16" s="94"/>
      <c r="N16" s="95" t="n">
        <v>1</v>
      </c>
      <c r="O16" s="95"/>
      <c r="P16" s="96"/>
      <c r="Q16" s="97"/>
      <c r="R16" s="98"/>
    </row>
    <row r="17" customFormat="false" ht="23.1" hidden="false" customHeight="false" outlineLevel="0" collapsed="false">
      <c r="A17" s="88" t="n">
        <f aca="false">+A16+1</f>
        <v>6</v>
      </c>
      <c r="B17" s="89"/>
      <c r="C17" s="90" t="n">
        <v>3</v>
      </c>
      <c r="D17" s="91" t="s">
        <v>121</v>
      </c>
      <c r="E17" s="91" t="s">
        <v>120</v>
      </c>
      <c r="F17" s="91" t="s">
        <v>50</v>
      </c>
      <c r="G17" s="92"/>
      <c r="H17" s="93"/>
      <c r="I17" s="93"/>
      <c r="J17" s="93"/>
      <c r="K17" s="93"/>
      <c r="L17" s="93"/>
      <c r="M17" s="94"/>
      <c r="N17" s="95" t="n">
        <v>1</v>
      </c>
      <c r="O17" s="95"/>
      <c r="P17" s="96"/>
      <c r="Q17" s="97"/>
      <c r="R17" s="98"/>
    </row>
    <row r="18" customFormat="false" ht="23.1" hidden="false" customHeight="false" outlineLevel="0" collapsed="false">
      <c r="A18" s="88" t="n">
        <f aca="false">+A17+1</f>
        <v>7</v>
      </c>
      <c r="B18" s="89"/>
      <c r="C18" s="90" t="n">
        <v>4</v>
      </c>
      <c r="D18" s="91" t="s">
        <v>121</v>
      </c>
      <c r="E18" s="91" t="s">
        <v>120</v>
      </c>
      <c r="F18" s="91" t="s">
        <v>50</v>
      </c>
      <c r="G18" s="93"/>
      <c r="H18" s="92"/>
      <c r="I18" s="93"/>
      <c r="J18" s="93"/>
      <c r="K18" s="93"/>
      <c r="L18" s="93"/>
      <c r="M18" s="94"/>
      <c r="N18" s="95" t="n">
        <v>1</v>
      </c>
      <c r="O18" s="95"/>
      <c r="P18" s="96"/>
      <c r="Q18" s="97"/>
      <c r="R18" s="98"/>
    </row>
    <row r="19" customFormat="false" ht="23.1" hidden="false" customHeight="false" outlineLevel="0" collapsed="false">
      <c r="A19" s="88" t="n">
        <f aca="false">+A18+1</f>
        <v>8</v>
      </c>
      <c r="B19" s="89"/>
      <c r="C19" s="90" t="n">
        <v>5</v>
      </c>
      <c r="D19" s="91" t="s">
        <v>121</v>
      </c>
      <c r="E19" s="91" t="s">
        <v>120</v>
      </c>
      <c r="F19" s="91" t="s">
        <v>50</v>
      </c>
      <c r="G19" s="93"/>
      <c r="H19" s="93"/>
      <c r="I19" s="92"/>
      <c r="J19" s="93"/>
      <c r="K19" s="93"/>
      <c r="L19" s="93"/>
      <c r="M19" s="94"/>
      <c r="N19" s="95" t="n">
        <v>1</v>
      </c>
      <c r="O19" s="95"/>
      <c r="P19" s="96"/>
      <c r="Q19" s="97"/>
      <c r="R19" s="98"/>
    </row>
    <row r="20" customFormat="false" ht="23.1" hidden="false" customHeight="false" outlineLevel="0" collapsed="false">
      <c r="A20" s="88" t="n">
        <f aca="false">+A19+1</f>
        <v>9</v>
      </c>
      <c r="B20" s="89"/>
      <c r="C20" s="90" t="n">
        <v>6</v>
      </c>
      <c r="D20" s="91" t="s">
        <v>121</v>
      </c>
      <c r="E20" s="91" t="s">
        <v>120</v>
      </c>
      <c r="F20" s="91" t="s">
        <v>50</v>
      </c>
      <c r="G20" s="93"/>
      <c r="H20" s="93"/>
      <c r="I20" s="93"/>
      <c r="J20" s="92"/>
      <c r="K20" s="93"/>
      <c r="L20" s="93"/>
      <c r="M20" s="94"/>
      <c r="N20" s="95" t="n">
        <v>0.6</v>
      </c>
      <c r="O20" s="95"/>
      <c r="P20" s="96"/>
      <c r="Q20" s="97"/>
      <c r="R20" s="98"/>
    </row>
    <row r="21" customFormat="false" ht="23.1" hidden="false" customHeight="false" outlineLevel="0" collapsed="false">
      <c r="A21" s="88" t="n">
        <f aca="false">+A20+1</f>
        <v>10</v>
      </c>
      <c r="B21" s="89"/>
      <c r="C21" s="90" t="n">
        <v>6</v>
      </c>
      <c r="D21" s="91" t="s">
        <v>121</v>
      </c>
      <c r="E21" s="91" t="s">
        <v>120</v>
      </c>
      <c r="F21" s="91" t="s">
        <v>50</v>
      </c>
      <c r="G21" s="93"/>
      <c r="H21" s="93"/>
      <c r="I21" s="93"/>
      <c r="J21" s="93"/>
      <c r="K21" s="92"/>
      <c r="L21" s="93"/>
      <c r="M21" s="94"/>
      <c r="N21" s="95" t="n">
        <v>1</v>
      </c>
      <c r="O21" s="95"/>
      <c r="P21" s="96"/>
      <c r="Q21" s="97"/>
      <c r="R21" s="98"/>
    </row>
    <row r="22" customFormat="false" ht="23.1" hidden="false" customHeight="false" outlineLevel="0" collapsed="false">
      <c r="A22" s="88" t="n">
        <f aca="false">+A21+1</f>
        <v>11</v>
      </c>
      <c r="B22" s="89"/>
      <c r="C22" s="90" t="n">
        <v>7</v>
      </c>
      <c r="D22" s="91" t="s">
        <v>121</v>
      </c>
      <c r="E22" s="91" t="s">
        <v>120</v>
      </c>
      <c r="F22" s="91" t="s">
        <v>50</v>
      </c>
      <c r="G22" s="93"/>
      <c r="H22" s="93"/>
      <c r="I22" s="93"/>
      <c r="J22" s="93"/>
      <c r="K22" s="92"/>
      <c r="L22" s="93"/>
      <c r="M22" s="94"/>
      <c r="N22" s="95" t="n">
        <v>1</v>
      </c>
      <c r="O22" s="95"/>
      <c r="P22" s="96"/>
      <c r="Q22" s="97"/>
      <c r="R22" s="98"/>
    </row>
    <row r="23" customFormat="false" ht="23.1" hidden="false" customHeight="false" outlineLevel="0" collapsed="false">
      <c r="A23" s="88" t="n">
        <f aca="false">+A22+1</f>
        <v>12</v>
      </c>
      <c r="B23" s="89"/>
      <c r="C23" s="90" t="n">
        <v>1</v>
      </c>
      <c r="D23" s="91" t="s">
        <v>122</v>
      </c>
      <c r="E23" s="91" t="s">
        <v>120</v>
      </c>
      <c r="F23" s="91" t="s">
        <v>50</v>
      </c>
      <c r="G23" s="92"/>
      <c r="H23" s="93"/>
      <c r="I23" s="93"/>
      <c r="J23" s="93"/>
      <c r="K23" s="93"/>
      <c r="L23" s="93"/>
      <c r="M23" s="94"/>
      <c r="N23" s="95" t="n">
        <v>1</v>
      </c>
      <c r="O23" s="95"/>
      <c r="P23" s="96"/>
      <c r="Q23" s="97"/>
      <c r="R23" s="98"/>
    </row>
    <row r="24" customFormat="false" ht="23.1" hidden="false" customHeight="false" outlineLevel="0" collapsed="false">
      <c r="A24" s="88" t="n">
        <f aca="false">+A23+1</f>
        <v>13</v>
      </c>
      <c r="B24" s="89"/>
      <c r="C24" s="90" t="n">
        <v>2</v>
      </c>
      <c r="D24" s="91" t="s">
        <v>122</v>
      </c>
      <c r="E24" s="91" t="s">
        <v>120</v>
      </c>
      <c r="F24" s="91" t="s">
        <v>50</v>
      </c>
      <c r="G24" s="92"/>
      <c r="H24" s="93"/>
      <c r="I24" s="93"/>
      <c r="J24" s="93"/>
      <c r="K24" s="93"/>
      <c r="L24" s="93"/>
      <c r="M24" s="94"/>
      <c r="N24" s="95" t="n">
        <v>1</v>
      </c>
      <c r="O24" s="95"/>
      <c r="P24" s="96"/>
      <c r="Q24" s="97"/>
      <c r="R24" s="98"/>
    </row>
    <row r="25" customFormat="false" ht="23.1" hidden="false" customHeight="false" outlineLevel="0" collapsed="false">
      <c r="A25" s="88" t="n">
        <f aca="false">+A24+1</f>
        <v>14</v>
      </c>
      <c r="B25" s="89"/>
      <c r="C25" s="90" t="n">
        <v>3</v>
      </c>
      <c r="D25" s="91" t="s">
        <v>122</v>
      </c>
      <c r="E25" s="91" t="s">
        <v>120</v>
      </c>
      <c r="F25" s="91" t="s">
        <v>50</v>
      </c>
      <c r="G25" s="93"/>
      <c r="H25" s="92"/>
      <c r="I25" s="93"/>
      <c r="J25" s="93"/>
      <c r="K25" s="93"/>
      <c r="L25" s="93"/>
      <c r="M25" s="94"/>
      <c r="N25" s="95" t="n">
        <v>1</v>
      </c>
      <c r="O25" s="95"/>
      <c r="P25" s="96"/>
      <c r="Q25" s="97"/>
      <c r="R25" s="98"/>
    </row>
    <row r="26" customFormat="false" ht="23.1" hidden="false" customHeight="false" outlineLevel="0" collapsed="false">
      <c r="A26" s="88" t="n">
        <f aca="false">+A25+1</f>
        <v>15</v>
      </c>
      <c r="B26" s="89"/>
      <c r="C26" s="90" t="n">
        <v>4</v>
      </c>
      <c r="D26" s="91" t="s">
        <v>122</v>
      </c>
      <c r="E26" s="91" t="s">
        <v>120</v>
      </c>
      <c r="F26" s="91" t="s">
        <v>50</v>
      </c>
      <c r="G26" s="93"/>
      <c r="H26" s="93"/>
      <c r="I26" s="92"/>
      <c r="J26" s="93"/>
      <c r="K26" s="93"/>
      <c r="L26" s="93"/>
      <c r="M26" s="94"/>
      <c r="N26" s="95" t="n">
        <v>1</v>
      </c>
      <c r="O26" s="95"/>
      <c r="P26" s="96"/>
      <c r="Q26" s="97"/>
      <c r="R26" s="98"/>
    </row>
    <row r="27" customFormat="false" ht="23.1" hidden="false" customHeight="false" outlineLevel="0" collapsed="false">
      <c r="A27" s="88" t="n">
        <f aca="false">+A26+1</f>
        <v>16</v>
      </c>
      <c r="B27" s="89"/>
      <c r="C27" s="90" t="n">
        <v>5</v>
      </c>
      <c r="D27" s="91" t="s">
        <v>122</v>
      </c>
      <c r="E27" s="91" t="s">
        <v>120</v>
      </c>
      <c r="F27" s="91" t="s">
        <v>50</v>
      </c>
      <c r="G27" s="93"/>
      <c r="H27" s="93"/>
      <c r="I27" s="93"/>
      <c r="J27" s="92"/>
      <c r="K27" s="93"/>
      <c r="L27" s="93"/>
      <c r="M27" s="94"/>
      <c r="N27" s="95" t="n">
        <v>1</v>
      </c>
      <c r="O27" s="95"/>
      <c r="P27" s="96"/>
      <c r="Q27" s="97"/>
      <c r="R27" s="98"/>
    </row>
    <row r="28" customFormat="false" ht="23.1" hidden="false" customHeight="false" outlineLevel="0" collapsed="false">
      <c r="A28" s="88" t="n">
        <f aca="false">+A27+1</f>
        <v>17</v>
      </c>
      <c r="B28" s="89"/>
      <c r="C28" s="90" t="n">
        <v>6</v>
      </c>
      <c r="D28" s="91" t="s">
        <v>122</v>
      </c>
      <c r="E28" s="91" t="s">
        <v>120</v>
      </c>
      <c r="F28" s="91" t="s">
        <v>50</v>
      </c>
      <c r="G28" s="93"/>
      <c r="H28" s="93"/>
      <c r="I28" s="93"/>
      <c r="J28" s="93"/>
      <c r="K28" s="92"/>
      <c r="L28" s="93"/>
      <c r="M28" s="94"/>
      <c r="N28" s="95" t="n">
        <v>1</v>
      </c>
      <c r="O28" s="95"/>
      <c r="P28" s="96"/>
      <c r="Q28" s="97"/>
      <c r="R28" s="98"/>
    </row>
    <row r="29" customFormat="false" ht="23.1" hidden="false" customHeight="false" outlineLevel="0" collapsed="false">
      <c r="A29" s="88" t="n">
        <f aca="false">+A28+1</f>
        <v>18</v>
      </c>
      <c r="B29" s="89"/>
      <c r="C29" s="90" t="n">
        <v>7</v>
      </c>
      <c r="D29" s="91" t="s">
        <v>122</v>
      </c>
      <c r="E29" s="91" t="s">
        <v>120</v>
      </c>
      <c r="F29" s="91" t="s">
        <v>50</v>
      </c>
      <c r="G29" s="93"/>
      <c r="H29" s="93"/>
      <c r="I29" s="93"/>
      <c r="J29" s="93"/>
      <c r="K29" s="92"/>
      <c r="L29" s="93"/>
      <c r="M29" s="94"/>
      <c r="N29" s="95" t="n">
        <v>1</v>
      </c>
      <c r="O29" s="95"/>
      <c r="P29" s="96"/>
      <c r="Q29" s="97"/>
      <c r="R29" s="98"/>
    </row>
    <row r="30" customFormat="false" ht="23.1" hidden="false" customHeight="false" outlineLevel="0" collapsed="false">
      <c r="A30" s="88" t="n">
        <f aca="false">+A29+1</f>
        <v>19</v>
      </c>
      <c r="B30" s="89"/>
      <c r="C30" s="90" t="n">
        <v>1</v>
      </c>
      <c r="D30" s="91" t="s">
        <v>123</v>
      </c>
      <c r="E30" s="91" t="s">
        <v>120</v>
      </c>
      <c r="F30" s="91" t="s">
        <v>50</v>
      </c>
      <c r="G30" s="92"/>
      <c r="H30" s="93"/>
      <c r="I30" s="93"/>
      <c r="J30" s="93"/>
      <c r="K30" s="93"/>
      <c r="L30" s="93"/>
      <c r="M30" s="94"/>
      <c r="N30" s="95" t="n">
        <v>1</v>
      </c>
      <c r="O30" s="95"/>
      <c r="P30" s="96"/>
      <c r="Q30" s="97"/>
      <c r="R30" s="98"/>
    </row>
    <row r="31" customFormat="false" ht="23.1" hidden="false" customHeight="false" outlineLevel="0" collapsed="false">
      <c r="A31" s="88" t="n">
        <f aca="false">+A30+1</f>
        <v>20</v>
      </c>
      <c r="B31" s="89"/>
      <c r="C31" s="90" t="s">
        <v>124</v>
      </c>
      <c r="D31" s="91" t="s">
        <v>123</v>
      </c>
      <c r="E31" s="91" t="s">
        <v>120</v>
      </c>
      <c r="F31" s="91" t="s">
        <v>50</v>
      </c>
      <c r="G31" s="92"/>
      <c r="H31" s="93"/>
      <c r="I31" s="93"/>
      <c r="J31" s="93"/>
      <c r="K31" s="93"/>
      <c r="L31" s="93"/>
      <c r="M31" s="94"/>
      <c r="N31" s="95" t="n">
        <v>1</v>
      </c>
      <c r="O31" s="95"/>
      <c r="P31" s="96"/>
      <c r="Q31" s="97"/>
      <c r="R31" s="98"/>
    </row>
    <row r="32" customFormat="false" ht="23.1" hidden="false" customHeight="false" outlineLevel="0" collapsed="false">
      <c r="A32" s="88" t="n">
        <f aca="false">+A31+1</f>
        <v>21</v>
      </c>
      <c r="B32" s="89"/>
      <c r="C32" s="90" t="n">
        <v>3</v>
      </c>
      <c r="D32" s="91" t="s">
        <v>123</v>
      </c>
      <c r="E32" s="91" t="s">
        <v>120</v>
      </c>
      <c r="F32" s="91" t="s">
        <v>50</v>
      </c>
      <c r="G32" s="92"/>
      <c r="H32" s="93"/>
      <c r="I32" s="93"/>
      <c r="J32" s="93"/>
      <c r="K32" s="93"/>
      <c r="L32" s="93"/>
      <c r="M32" s="94"/>
      <c r="N32" s="95" t="n">
        <v>1</v>
      </c>
      <c r="O32" s="95"/>
      <c r="P32" s="96"/>
      <c r="Q32" s="97"/>
      <c r="R32" s="98"/>
    </row>
    <row r="33" customFormat="false" ht="23.1" hidden="false" customHeight="false" outlineLevel="0" collapsed="false">
      <c r="A33" s="88" t="n">
        <f aca="false">+A32+1</f>
        <v>22</v>
      </c>
      <c r="B33" s="89"/>
      <c r="C33" s="90" t="n">
        <v>4</v>
      </c>
      <c r="D33" s="91" t="s">
        <v>123</v>
      </c>
      <c r="E33" s="91" t="s">
        <v>120</v>
      </c>
      <c r="F33" s="91" t="s">
        <v>50</v>
      </c>
      <c r="G33" s="92"/>
      <c r="H33" s="93"/>
      <c r="I33" s="93"/>
      <c r="J33" s="93"/>
      <c r="K33" s="93"/>
      <c r="L33" s="93"/>
      <c r="M33" s="94"/>
      <c r="N33" s="95" t="n">
        <v>1</v>
      </c>
      <c r="O33" s="95"/>
      <c r="P33" s="96"/>
      <c r="Q33" s="97"/>
      <c r="R33" s="98"/>
    </row>
    <row r="34" customFormat="false" ht="23.1" hidden="false" customHeight="false" outlineLevel="0" collapsed="false">
      <c r="A34" s="88" t="n">
        <f aca="false">+A33+1</f>
        <v>23</v>
      </c>
      <c r="B34" s="89"/>
      <c r="C34" s="99" t="n">
        <v>6</v>
      </c>
      <c r="D34" s="91" t="s">
        <v>123</v>
      </c>
      <c r="E34" s="91" t="s">
        <v>120</v>
      </c>
      <c r="F34" s="91" t="s">
        <v>50</v>
      </c>
      <c r="G34" s="92"/>
      <c r="H34" s="93"/>
      <c r="I34" s="93"/>
      <c r="J34" s="93"/>
      <c r="K34" s="93"/>
      <c r="L34" s="93"/>
      <c r="M34" s="94"/>
      <c r="N34" s="95" t="n">
        <v>1</v>
      </c>
      <c r="O34" s="95"/>
      <c r="P34" s="96"/>
      <c r="Q34" s="97"/>
      <c r="R34" s="98"/>
    </row>
    <row r="35" customFormat="false" ht="23.1" hidden="false" customHeight="false" outlineLevel="0" collapsed="false">
      <c r="A35" s="88" t="n">
        <f aca="false">+A34+1</f>
        <v>24</v>
      </c>
      <c r="B35" s="89"/>
      <c r="C35" s="99" t="n">
        <v>5</v>
      </c>
      <c r="D35" s="91" t="s">
        <v>123</v>
      </c>
      <c r="E35" s="91" t="s">
        <v>120</v>
      </c>
      <c r="F35" s="91" t="s">
        <v>50</v>
      </c>
      <c r="G35" s="93"/>
      <c r="H35" s="92"/>
      <c r="I35" s="93"/>
      <c r="J35" s="93"/>
      <c r="K35" s="93"/>
      <c r="L35" s="93"/>
      <c r="M35" s="94"/>
      <c r="N35" s="95" t="n">
        <v>1</v>
      </c>
      <c r="O35" s="95"/>
      <c r="P35" s="96"/>
      <c r="Q35" s="97"/>
      <c r="R35" s="98"/>
    </row>
    <row r="36" customFormat="false" ht="23.1" hidden="false" customHeight="false" outlineLevel="0" collapsed="false">
      <c r="A36" s="88" t="n">
        <f aca="false">+A35+1</f>
        <v>25</v>
      </c>
      <c r="B36" s="89"/>
      <c r="C36" s="90" t="n">
        <v>7</v>
      </c>
      <c r="D36" s="91" t="s">
        <v>123</v>
      </c>
      <c r="E36" s="91" t="s">
        <v>120</v>
      </c>
      <c r="F36" s="91" t="s">
        <v>50</v>
      </c>
      <c r="G36" s="93"/>
      <c r="H36" s="92"/>
      <c r="I36" s="93"/>
      <c r="J36" s="93"/>
      <c r="K36" s="93"/>
      <c r="L36" s="93"/>
      <c r="M36" s="94"/>
      <c r="N36" s="95" t="n">
        <v>1</v>
      </c>
      <c r="O36" s="95"/>
      <c r="P36" s="96"/>
      <c r="Q36" s="97"/>
      <c r="R36" s="98"/>
    </row>
    <row r="37" customFormat="false" ht="23.1" hidden="false" customHeight="false" outlineLevel="0" collapsed="false">
      <c r="A37" s="88" t="n">
        <f aca="false">+A36+1</f>
        <v>26</v>
      </c>
      <c r="B37" s="89"/>
      <c r="C37" s="90" t="n">
        <v>7</v>
      </c>
      <c r="D37" s="91" t="s">
        <v>125</v>
      </c>
      <c r="E37" s="91" t="s">
        <v>120</v>
      </c>
      <c r="F37" s="91" t="s">
        <v>50</v>
      </c>
      <c r="G37" s="92"/>
      <c r="H37" s="93"/>
      <c r="I37" s="93"/>
      <c r="J37" s="93"/>
      <c r="K37" s="93"/>
      <c r="L37" s="93"/>
      <c r="M37" s="94"/>
      <c r="N37" s="95" t="n">
        <v>0.33</v>
      </c>
      <c r="O37" s="95"/>
      <c r="P37" s="96"/>
      <c r="Q37" s="97"/>
      <c r="R37" s="98"/>
    </row>
    <row r="38" customFormat="false" ht="23.1" hidden="false" customHeight="false" outlineLevel="0" collapsed="false">
      <c r="A38" s="88" t="n">
        <f aca="false">+A37+1</f>
        <v>27</v>
      </c>
      <c r="B38" s="89"/>
      <c r="C38" s="90" t="n">
        <v>7</v>
      </c>
      <c r="D38" s="91" t="s">
        <v>125</v>
      </c>
      <c r="E38" s="91" t="s">
        <v>120</v>
      </c>
      <c r="F38" s="91" t="s">
        <v>50</v>
      </c>
      <c r="G38" s="93"/>
      <c r="H38" s="92"/>
      <c r="I38" s="93"/>
      <c r="J38" s="93"/>
      <c r="K38" s="93"/>
      <c r="L38" s="93"/>
      <c r="M38" s="94"/>
      <c r="N38" s="95" t="n">
        <v>0.66</v>
      </c>
      <c r="O38" s="95"/>
      <c r="P38" s="96"/>
      <c r="Q38" s="97"/>
      <c r="R38" s="98"/>
    </row>
    <row r="39" customFormat="false" ht="23.1" hidden="false" customHeight="false" outlineLevel="0" collapsed="false">
      <c r="A39" s="88" t="n">
        <f aca="false">+A38+1</f>
        <v>28</v>
      </c>
      <c r="B39" s="89"/>
      <c r="C39" s="90" t="n">
        <v>7</v>
      </c>
      <c r="D39" s="91" t="s">
        <v>125</v>
      </c>
      <c r="E39" s="91" t="s">
        <v>120</v>
      </c>
      <c r="F39" s="91" t="s">
        <v>50</v>
      </c>
      <c r="G39" s="93"/>
      <c r="H39" s="93"/>
      <c r="I39" s="92"/>
      <c r="J39" s="93"/>
      <c r="K39" s="93"/>
      <c r="L39" s="93"/>
      <c r="M39" s="94"/>
      <c r="N39" s="95" t="n">
        <v>0.77</v>
      </c>
      <c r="O39" s="95"/>
      <c r="P39" s="96"/>
      <c r="Q39" s="97"/>
      <c r="R39" s="98"/>
    </row>
    <row r="40" customFormat="false" ht="23.1" hidden="false" customHeight="false" outlineLevel="0" collapsed="false">
      <c r="A40" s="88" t="n">
        <f aca="false">+A39+1</f>
        <v>29</v>
      </c>
      <c r="B40" s="89"/>
      <c r="C40" s="90" t="n">
        <v>5</v>
      </c>
      <c r="D40" s="100" t="s">
        <v>126</v>
      </c>
      <c r="E40" s="100" t="s">
        <v>127</v>
      </c>
      <c r="F40" s="100" t="s">
        <v>50</v>
      </c>
      <c r="G40" s="92"/>
      <c r="H40" s="93"/>
      <c r="I40" s="93"/>
      <c r="J40" s="93"/>
      <c r="K40" s="93"/>
      <c r="L40" s="93"/>
      <c r="M40" s="94"/>
      <c r="N40" s="95" t="n">
        <v>0.33</v>
      </c>
      <c r="O40" s="95"/>
      <c r="P40" s="96"/>
      <c r="Q40" s="97"/>
      <c r="R40" s="98"/>
    </row>
    <row r="41" customFormat="false" ht="23.1" hidden="false" customHeight="false" outlineLevel="0" collapsed="false">
      <c r="A41" s="88" t="n">
        <f aca="false">+A40+1</f>
        <v>30</v>
      </c>
      <c r="B41" s="89"/>
      <c r="C41" s="90" t="n">
        <v>5</v>
      </c>
      <c r="D41" s="100" t="s">
        <v>126</v>
      </c>
      <c r="E41" s="100" t="s">
        <v>127</v>
      </c>
      <c r="F41" s="100" t="s">
        <v>50</v>
      </c>
      <c r="G41" s="93"/>
      <c r="H41" s="92"/>
      <c r="I41" s="93"/>
      <c r="J41" s="93"/>
      <c r="K41" s="93"/>
      <c r="L41" s="93"/>
      <c r="M41" s="94"/>
      <c r="N41" s="95" t="n">
        <v>0.66</v>
      </c>
      <c r="O41" s="95"/>
      <c r="P41" s="96"/>
      <c r="Q41" s="97"/>
      <c r="R41" s="98"/>
    </row>
    <row r="42" customFormat="false" ht="23.1" hidden="false" customHeight="false" outlineLevel="0" collapsed="false">
      <c r="A42" s="88" t="n">
        <f aca="false">+A41+1</f>
        <v>31</v>
      </c>
      <c r="B42" s="89"/>
      <c r="C42" s="90" t="n">
        <v>5</v>
      </c>
      <c r="D42" s="100" t="s">
        <v>126</v>
      </c>
      <c r="E42" s="100" t="s">
        <v>127</v>
      </c>
      <c r="F42" s="100" t="s">
        <v>50</v>
      </c>
      <c r="G42" s="93"/>
      <c r="H42" s="93"/>
      <c r="I42" s="92"/>
      <c r="J42" s="93"/>
      <c r="K42" s="93"/>
      <c r="L42" s="93"/>
      <c r="M42" s="94"/>
      <c r="N42" s="95" t="n">
        <v>1</v>
      </c>
      <c r="O42" s="95"/>
      <c r="P42" s="96"/>
      <c r="Q42" s="97"/>
      <c r="R42" s="98"/>
    </row>
    <row r="43" customFormat="false" ht="23.1" hidden="false" customHeight="false" outlineLevel="0" collapsed="false">
      <c r="A43" s="88" t="n">
        <f aca="false">+A42+1</f>
        <v>32</v>
      </c>
      <c r="B43" s="89"/>
      <c r="C43" s="90" t="n">
        <v>6</v>
      </c>
      <c r="D43" s="100" t="s">
        <v>126</v>
      </c>
      <c r="E43" s="100" t="s">
        <v>127</v>
      </c>
      <c r="F43" s="100" t="s">
        <v>50</v>
      </c>
      <c r="G43" s="93"/>
      <c r="H43" s="93"/>
      <c r="I43" s="93"/>
      <c r="J43" s="92"/>
      <c r="K43" s="93"/>
      <c r="L43" s="93"/>
      <c r="M43" s="94"/>
      <c r="N43" s="95" t="n">
        <v>0.6</v>
      </c>
      <c r="O43" s="95"/>
      <c r="P43" s="96"/>
      <c r="Q43" s="97"/>
      <c r="R43" s="98"/>
    </row>
    <row r="44" customFormat="false" ht="23.1" hidden="false" customHeight="false" outlineLevel="0" collapsed="false">
      <c r="A44" s="88" t="n">
        <f aca="false">+A43+1</f>
        <v>33</v>
      </c>
      <c r="B44" s="89"/>
      <c r="C44" s="90" t="n">
        <v>6</v>
      </c>
      <c r="D44" s="100" t="s">
        <v>126</v>
      </c>
      <c r="E44" s="100" t="s">
        <v>127</v>
      </c>
      <c r="F44" s="100" t="s">
        <v>50</v>
      </c>
      <c r="G44" s="93"/>
      <c r="H44" s="93"/>
      <c r="I44" s="93"/>
      <c r="J44" s="93"/>
      <c r="K44" s="92"/>
      <c r="L44" s="93"/>
      <c r="M44" s="94"/>
      <c r="N44" s="95" t="n">
        <v>1</v>
      </c>
      <c r="O44" s="95"/>
      <c r="P44" s="96"/>
      <c r="Q44" s="97"/>
      <c r="R44" s="98"/>
    </row>
    <row r="45" customFormat="false" ht="23.1" hidden="false" customHeight="false" outlineLevel="0" collapsed="false">
      <c r="A45" s="88" t="n">
        <f aca="false">+A44+1</f>
        <v>34</v>
      </c>
      <c r="B45" s="89"/>
      <c r="C45" s="90" t="n">
        <v>6</v>
      </c>
      <c r="D45" s="101" t="s">
        <v>128</v>
      </c>
      <c r="E45" s="101" t="s">
        <v>129</v>
      </c>
      <c r="F45" s="101" t="s">
        <v>50</v>
      </c>
      <c r="G45" s="92"/>
      <c r="H45" s="93"/>
      <c r="I45" s="93"/>
      <c r="J45" s="93"/>
      <c r="K45" s="93"/>
      <c r="L45" s="93"/>
      <c r="M45" s="94"/>
      <c r="N45" s="95" t="n">
        <v>0.25</v>
      </c>
      <c r="O45" s="95"/>
      <c r="P45" s="96"/>
      <c r="Q45" s="97"/>
      <c r="R45" s="98"/>
    </row>
    <row r="46" customFormat="false" ht="23.1" hidden="false" customHeight="false" outlineLevel="0" collapsed="false">
      <c r="A46" s="88" t="n">
        <f aca="false">+A45+1</f>
        <v>35</v>
      </c>
      <c r="B46" s="89"/>
      <c r="C46" s="90" t="n">
        <v>6</v>
      </c>
      <c r="D46" s="101" t="s">
        <v>128</v>
      </c>
      <c r="E46" s="101" t="s">
        <v>129</v>
      </c>
      <c r="F46" s="101" t="s">
        <v>50</v>
      </c>
      <c r="G46" s="93"/>
      <c r="H46" s="92"/>
      <c r="I46" s="93"/>
      <c r="J46" s="93"/>
      <c r="K46" s="93"/>
      <c r="L46" s="93"/>
      <c r="M46" s="94"/>
      <c r="N46" s="95" t="n">
        <v>0.5</v>
      </c>
      <c r="O46" s="95"/>
      <c r="P46" s="96"/>
      <c r="Q46" s="97"/>
      <c r="R46" s="98"/>
    </row>
    <row r="47" customFormat="false" ht="23.1" hidden="false" customHeight="false" outlineLevel="0" collapsed="false">
      <c r="A47" s="88" t="n">
        <f aca="false">+A46+1</f>
        <v>36</v>
      </c>
      <c r="B47" s="89"/>
      <c r="C47" s="90" t="n">
        <v>6</v>
      </c>
      <c r="D47" s="101" t="s">
        <v>128</v>
      </c>
      <c r="E47" s="101" t="s">
        <v>129</v>
      </c>
      <c r="F47" s="101" t="s">
        <v>50</v>
      </c>
      <c r="G47" s="93"/>
      <c r="H47" s="93"/>
      <c r="I47" s="92"/>
      <c r="J47" s="93"/>
      <c r="K47" s="93"/>
      <c r="L47" s="93"/>
      <c r="M47" s="94"/>
      <c r="N47" s="95" t="n">
        <v>0.75</v>
      </c>
      <c r="O47" s="95"/>
      <c r="P47" s="96"/>
      <c r="Q47" s="97"/>
      <c r="R47" s="98"/>
    </row>
    <row r="48" customFormat="false" ht="23.1" hidden="false" customHeight="false" outlineLevel="0" collapsed="false">
      <c r="A48" s="88" t="n">
        <f aca="false">+A47+1</f>
        <v>37</v>
      </c>
      <c r="B48" s="89"/>
      <c r="C48" s="90" t="n">
        <v>6</v>
      </c>
      <c r="D48" s="101" t="s">
        <v>128</v>
      </c>
      <c r="E48" s="101" t="s">
        <v>129</v>
      </c>
      <c r="F48" s="101" t="s">
        <v>50</v>
      </c>
      <c r="G48" s="93"/>
      <c r="H48" s="93"/>
      <c r="I48" s="93"/>
      <c r="J48" s="93"/>
      <c r="K48" s="92"/>
      <c r="L48" s="93"/>
      <c r="M48" s="94"/>
      <c r="N48" s="95" t="n">
        <v>1</v>
      </c>
      <c r="O48" s="95"/>
      <c r="P48" s="96"/>
      <c r="Q48" s="97"/>
      <c r="R48" s="98"/>
    </row>
    <row r="49" customFormat="false" ht="23.1" hidden="false" customHeight="false" outlineLevel="0" collapsed="false">
      <c r="A49" s="88" t="n">
        <f aca="false">+A48+1</f>
        <v>38</v>
      </c>
      <c r="B49" s="89"/>
      <c r="C49" s="90" t="n">
        <v>5</v>
      </c>
      <c r="D49" s="101" t="s">
        <v>128</v>
      </c>
      <c r="E49" s="101" t="s">
        <v>129</v>
      </c>
      <c r="F49" s="101" t="s">
        <v>50</v>
      </c>
      <c r="G49" s="93"/>
      <c r="H49" s="93"/>
      <c r="I49" s="93"/>
      <c r="J49" s="92"/>
      <c r="K49" s="93"/>
      <c r="L49" s="93"/>
      <c r="M49" s="94"/>
      <c r="N49" s="95" t="n">
        <v>1</v>
      </c>
      <c r="O49" s="95"/>
      <c r="P49" s="96"/>
      <c r="Q49" s="97"/>
      <c r="R49" s="98"/>
    </row>
    <row r="50" customFormat="false" ht="23.1" hidden="false" customHeight="false" outlineLevel="0" collapsed="false">
      <c r="A50" s="88" t="n">
        <f aca="false">+A49+1</f>
        <v>39</v>
      </c>
      <c r="B50" s="89"/>
      <c r="C50" s="90" t="n">
        <v>4</v>
      </c>
      <c r="D50" s="101" t="s">
        <v>130</v>
      </c>
      <c r="E50" s="101" t="s">
        <v>129</v>
      </c>
      <c r="F50" s="101" t="s">
        <v>50</v>
      </c>
      <c r="G50" s="93"/>
      <c r="H50" s="92"/>
      <c r="I50" s="93"/>
      <c r="J50" s="93"/>
      <c r="K50" s="93"/>
      <c r="L50" s="93"/>
      <c r="M50" s="94"/>
      <c r="N50" s="95" t="n">
        <v>1</v>
      </c>
      <c r="O50" s="95"/>
      <c r="P50" s="96"/>
      <c r="Q50" s="97"/>
      <c r="R50" s="98"/>
    </row>
    <row r="51" customFormat="false" ht="23.1" hidden="false" customHeight="false" outlineLevel="0" collapsed="false">
      <c r="A51" s="88" t="n">
        <f aca="false">+A50+1</f>
        <v>40</v>
      </c>
      <c r="B51" s="89"/>
      <c r="C51" s="90" t="n">
        <v>5</v>
      </c>
      <c r="D51" s="101" t="s">
        <v>130</v>
      </c>
      <c r="E51" s="101" t="s">
        <v>129</v>
      </c>
      <c r="F51" s="101" t="s">
        <v>50</v>
      </c>
      <c r="G51" s="92"/>
      <c r="H51" s="93"/>
      <c r="I51" s="93"/>
      <c r="J51" s="93"/>
      <c r="K51" s="93"/>
      <c r="L51" s="93"/>
      <c r="M51" s="94"/>
      <c r="N51" s="95" t="n">
        <v>0.2</v>
      </c>
      <c r="O51" s="95"/>
      <c r="P51" s="96"/>
      <c r="Q51" s="97"/>
      <c r="R51" s="98"/>
    </row>
    <row r="52" customFormat="false" ht="23.1" hidden="false" customHeight="false" outlineLevel="0" collapsed="false">
      <c r="A52" s="88" t="n">
        <f aca="false">+A51+1</f>
        <v>41</v>
      </c>
      <c r="B52" s="89"/>
      <c r="C52" s="90" t="n">
        <v>5</v>
      </c>
      <c r="D52" s="101" t="s">
        <v>130</v>
      </c>
      <c r="E52" s="101" t="s">
        <v>129</v>
      </c>
      <c r="F52" s="101" t="s">
        <v>50</v>
      </c>
      <c r="G52" s="93"/>
      <c r="H52" s="92"/>
      <c r="I52" s="93"/>
      <c r="J52" s="93"/>
      <c r="K52" s="93"/>
      <c r="L52" s="93"/>
      <c r="M52" s="94"/>
      <c r="N52" s="95" t="n">
        <v>0.4</v>
      </c>
      <c r="O52" s="95"/>
      <c r="P52" s="96"/>
      <c r="Q52" s="97"/>
      <c r="R52" s="98"/>
    </row>
    <row r="53" customFormat="false" ht="23.1" hidden="false" customHeight="false" outlineLevel="0" collapsed="false">
      <c r="A53" s="88" t="n">
        <f aca="false">+A52+1</f>
        <v>42</v>
      </c>
      <c r="B53" s="89"/>
      <c r="C53" s="90" t="n">
        <v>5</v>
      </c>
      <c r="D53" s="101" t="s">
        <v>130</v>
      </c>
      <c r="E53" s="101" t="s">
        <v>129</v>
      </c>
      <c r="F53" s="101" t="s">
        <v>50</v>
      </c>
      <c r="G53" s="93"/>
      <c r="H53" s="93"/>
      <c r="I53" s="92"/>
      <c r="J53" s="93"/>
      <c r="K53" s="93"/>
      <c r="L53" s="93"/>
      <c r="M53" s="94"/>
      <c r="N53" s="95" t="n">
        <v>0.6</v>
      </c>
      <c r="O53" s="95"/>
      <c r="P53" s="96"/>
      <c r="Q53" s="97"/>
      <c r="R53" s="98"/>
    </row>
    <row r="54" customFormat="false" ht="23.1" hidden="false" customHeight="false" outlineLevel="0" collapsed="false">
      <c r="A54" s="88" t="n">
        <f aca="false">+A53+1</f>
        <v>43</v>
      </c>
      <c r="B54" s="89"/>
      <c r="C54" s="90" t="n">
        <v>5</v>
      </c>
      <c r="D54" s="101" t="s">
        <v>130</v>
      </c>
      <c r="E54" s="101" t="s">
        <v>129</v>
      </c>
      <c r="F54" s="101" t="s">
        <v>50</v>
      </c>
      <c r="G54" s="93"/>
      <c r="H54" s="93"/>
      <c r="I54" s="93"/>
      <c r="J54" s="92"/>
      <c r="K54" s="93"/>
      <c r="L54" s="93"/>
      <c r="M54" s="94"/>
      <c r="N54" s="95" t="n">
        <v>0.8</v>
      </c>
      <c r="O54" s="95"/>
      <c r="P54" s="96"/>
      <c r="Q54" s="97"/>
      <c r="R54" s="98"/>
    </row>
    <row r="55" customFormat="false" ht="23.1" hidden="false" customHeight="false" outlineLevel="0" collapsed="false">
      <c r="A55" s="88" t="n">
        <f aca="false">+A54+1</f>
        <v>44</v>
      </c>
      <c r="B55" s="89"/>
      <c r="C55" s="90" t="n">
        <v>5</v>
      </c>
      <c r="D55" s="101" t="s">
        <v>130</v>
      </c>
      <c r="E55" s="101" t="s">
        <v>129</v>
      </c>
      <c r="F55" s="101" t="s">
        <v>50</v>
      </c>
      <c r="G55" s="93"/>
      <c r="H55" s="93"/>
      <c r="I55" s="93"/>
      <c r="J55" s="93"/>
      <c r="K55" s="92"/>
      <c r="L55" s="93"/>
      <c r="M55" s="94"/>
      <c r="N55" s="95" t="n">
        <v>1</v>
      </c>
      <c r="O55" s="95"/>
      <c r="P55" s="96"/>
      <c r="Q55" s="97"/>
      <c r="R55" s="98"/>
    </row>
    <row r="56" customFormat="false" ht="23.1" hidden="false" customHeight="false" outlineLevel="0" collapsed="false">
      <c r="A56" s="88" t="n">
        <f aca="false">+A55+1</f>
        <v>45</v>
      </c>
      <c r="B56" s="89"/>
      <c r="C56" s="90" t="n">
        <v>4</v>
      </c>
      <c r="D56" s="101" t="s">
        <v>131</v>
      </c>
      <c r="E56" s="101" t="s">
        <v>129</v>
      </c>
      <c r="F56" s="101" t="s">
        <v>50</v>
      </c>
      <c r="G56" s="93"/>
      <c r="H56" s="93"/>
      <c r="I56" s="93"/>
      <c r="J56" s="92"/>
      <c r="K56" s="93"/>
      <c r="L56" s="93"/>
      <c r="M56" s="94"/>
      <c r="N56" s="95" t="n">
        <v>1</v>
      </c>
      <c r="O56" s="95"/>
      <c r="P56" s="96"/>
      <c r="Q56" s="97"/>
      <c r="R56" s="98"/>
    </row>
    <row r="57" customFormat="false" ht="23.1" hidden="false" customHeight="false" outlineLevel="0" collapsed="false">
      <c r="A57" s="88" t="n">
        <f aca="false">+A56+1</f>
        <v>46</v>
      </c>
      <c r="B57" s="89"/>
      <c r="C57" s="102" t="n">
        <v>5</v>
      </c>
      <c r="D57" s="103" t="s">
        <v>131</v>
      </c>
      <c r="E57" s="103" t="s">
        <v>129</v>
      </c>
      <c r="F57" s="103" t="s">
        <v>50</v>
      </c>
      <c r="G57" s="104"/>
      <c r="H57" s="104"/>
      <c r="I57" s="104"/>
      <c r="J57" s="104"/>
      <c r="K57" s="105"/>
      <c r="L57" s="104"/>
      <c r="M57" s="106"/>
      <c r="N57" s="107" t="n">
        <v>1</v>
      </c>
      <c r="O57" s="107"/>
      <c r="P57" s="108"/>
      <c r="Q57" s="109"/>
      <c r="R57" s="110"/>
    </row>
    <row r="58" customFormat="false" ht="23.1" hidden="false" customHeight="true" outlineLevel="0" collapsed="false">
      <c r="A58" s="88" t="n">
        <f aca="false">+A57+1</f>
        <v>47</v>
      </c>
      <c r="B58" s="111" t="s">
        <v>132</v>
      </c>
      <c r="C58" s="112" t="n">
        <v>3</v>
      </c>
      <c r="D58" s="113" t="s">
        <v>133</v>
      </c>
      <c r="E58" s="113" t="s">
        <v>120</v>
      </c>
      <c r="F58" s="113" t="s">
        <v>50</v>
      </c>
      <c r="G58" s="114"/>
      <c r="H58" s="114"/>
      <c r="I58" s="115"/>
      <c r="J58" s="114"/>
      <c r="K58" s="114"/>
      <c r="L58" s="114"/>
      <c r="M58" s="116"/>
      <c r="N58" s="117" t="n">
        <v>1</v>
      </c>
      <c r="O58" s="117"/>
      <c r="P58" s="118"/>
      <c r="Q58" s="119"/>
      <c r="R58" s="120"/>
    </row>
    <row r="59" customFormat="false" ht="23.1" hidden="false" customHeight="false" outlineLevel="0" collapsed="false">
      <c r="A59" s="88" t="n">
        <f aca="false">+A58+1</f>
        <v>48</v>
      </c>
      <c r="B59" s="111"/>
      <c r="C59" s="90" t="n">
        <v>6</v>
      </c>
      <c r="D59" s="91" t="s">
        <v>133</v>
      </c>
      <c r="E59" s="91" t="s">
        <v>120</v>
      </c>
      <c r="F59" s="91" t="s">
        <v>50</v>
      </c>
      <c r="G59" s="93"/>
      <c r="H59" s="93"/>
      <c r="I59" s="92"/>
      <c r="J59" s="93"/>
      <c r="K59" s="93"/>
      <c r="L59" s="93"/>
      <c r="M59" s="94"/>
      <c r="N59" s="95" t="n">
        <v>1</v>
      </c>
      <c r="O59" s="95"/>
      <c r="P59" s="96"/>
      <c r="Q59" s="97"/>
      <c r="R59" s="98"/>
    </row>
    <row r="60" customFormat="false" ht="23.1" hidden="false" customHeight="false" outlineLevel="0" collapsed="false">
      <c r="A60" s="88" t="n">
        <f aca="false">+A59+1</f>
        <v>49</v>
      </c>
      <c r="B60" s="111"/>
      <c r="C60" s="90" t="n">
        <v>5</v>
      </c>
      <c r="D60" s="91" t="s">
        <v>133</v>
      </c>
      <c r="E60" s="91" t="s">
        <v>120</v>
      </c>
      <c r="F60" s="91" t="s">
        <v>50</v>
      </c>
      <c r="G60" s="93"/>
      <c r="H60" s="93"/>
      <c r="I60" s="92"/>
      <c r="J60" s="93"/>
      <c r="K60" s="93"/>
      <c r="L60" s="93"/>
      <c r="M60" s="94"/>
      <c r="N60" s="95" t="n">
        <v>1</v>
      </c>
      <c r="O60" s="95"/>
      <c r="P60" s="96"/>
      <c r="Q60" s="97"/>
      <c r="R60" s="98"/>
    </row>
    <row r="61" customFormat="false" ht="23.1" hidden="false" customHeight="false" outlineLevel="0" collapsed="false">
      <c r="A61" s="88" t="n">
        <f aca="false">+A60+1</f>
        <v>50</v>
      </c>
      <c r="B61" s="111"/>
      <c r="C61" s="90" t="s">
        <v>134</v>
      </c>
      <c r="D61" s="91" t="s">
        <v>133</v>
      </c>
      <c r="E61" s="91" t="s">
        <v>120</v>
      </c>
      <c r="F61" s="91" t="s">
        <v>50</v>
      </c>
      <c r="G61" s="92"/>
      <c r="H61" s="93"/>
      <c r="I61" s="93"/>
      <c r="J61" s="93"/>
      <c r="K61" s="93"/>
      <c r="L61" s="93"/>
      <c r="M61" s="94"/>
      <c r="N61" s="95" t="n">
        <v>1</v>
      </c>
      <c r="O61" s="95"/>
      <c r="P61" s="96"/>
      <c r="Q61" s="97"/>
      <c r="R61" s="98"/>
    </row>
    <row r="62" customFormat="false" ht="23.1" hidden="false" customHeight="false" outlineLevel="0" collapsed="false">
      <c r="A62" s="88" t="n">
        <f aca="false">+A61+1</f>
        <v>51</v>
      </c>
      <c r="B62" s="111"/>
      <c r="C62" s="90" t="s">
        <v>135</v>
      </c>
      <c r="D62" s="91" t="s">
        <v>133</v>
      </c>
      <c r="E62" s="91" t="s">
        <v>120</v>
      </c>
      <c r="F62" s="91" t="s">
        <v>50</v>
      </c>
      <c r="G62" s="93"/>
      <c r="H62" s="92"/>
      <c r="I62" s="93"/>
      <c r="J62" s="93"/>
      <c r="K62" s="93"/>
      <c r="L62" s="93"/>
      <c r="M62" s="94"/>
      <c r="N62" s="95" t="n">
        <v>1</v>
      </c>
      <c r="O62" s="95"/>
      <c r="P62" s="96"/>
      <c r="Q62" s="97"/>
      <c r="R62" s="98"/>
    </row>
    <row r="63" customFormat="false" ht="23.1" hidden="false" customHeight="false" outlineLevel="0" collapsed="false">
      <c r="A63" s="88" t="n">
        <f aca="false">+A62+1</f>
        <v>52</v>
      </c>
      <c r="B63" s="111"/>
      <c r="C63" s="90" t="n">
        <v>7</v>
      </c>
      <c r="D63" s="91" t="s">
        <v>136</v>
      </c>
      <c r="E63" s="91" t="s">
        <v>120</v>
      </c>
      <c r="F63" s="91" t="s">
        <v>50</v>
      </c>
      <c r="G63" s="92"/>
      <c r="H63" s="93"/>
      <c r="I63" s="93"/>
      <c r="J63" s="93"/>
      <c r="K63" s="93"/>
      <c r="L63" s="93"/>
      <c r="M63" s="94"/>
      <c r="N63" s="95" t="n">
        <v>0.25</v>
      </c>
      <c r="O63" s="95"/>
      <c r="P63" s="96"/>
      <c r="Q63" s="97"/>
      <c r="R63" s="98"/>
    </row>
    <row r="64" customFormat="false" ht="23.1" hidden="false" customHeight="false" outlineLevel="0" collapsed="false">
      <c r="A64" s="88" t="n">
        <f aca="false">+A63+1</f>
        <v>53</v>
      </c>
      <c r="B64" s="111"/>
      <c r="C64" s="90" t="n">
        <v>7</v>
      </c>
      <c r="D64" s="91" t="s">
        <v>136</v>
      </c>
      <c r="E64" s="91" t="s">
        <v>120</v>
      </c>
      <c r="F64" s="91" t="s">
        <v>50</v>
      </c>
      <c r="G64" s="93"/>
      <c r="H64" s="92"/>
      <c r="I64" s="93"/>
      <c r="J64" s="93"/>
      <c r="K64" s="93"/>
      <c r="L64" s="93"/>
      <c r="M64" s="94"/>
      <c r="N64" s="95" t="n">
        <v>0.5</v>
      </c>
      <c r="O64" s="95"/>
      <c r="P64" s="96"/>
      <c r="Q64" s="97"/>
      <c r="R64" s="98"/>
    </row>
    <row r="65" customFormat="false" ht="23.1" hidden="false" customHeight="false" outlineLevel="0" collapsed="false">
      <c r="A65" s="88" t="n">
        <f aca="false">+A64+1</f>
        <v>54</v>
      </c>
      <c r="B65" s="111"/>
      <c r="C65" s="90" t="n">
        <v>7</v>
      </c>
      <c r="D65" s="91" t="s">
        <v>136</v>
      </c>
      <c r="E65" s="91" t="s">
        <v>120</v>
      </c>
      <c r="F65" s="91" t="s">
        <v>50</v>
      </c>
      <c r="G65" s="93"/>
      <c r="H65" s="93"/>
      <c r="I65" s="92"/>
      <c r="J65" s="93"/>
      <c r="K65" s="93"/>
      <c r="L65" s="93"/>
      <c r="M65" s="94"/>
      <c r="N65" s="95" t="n">
        <v>0.75</v>
      </c>
      <c r="O65" s="95"/>
      <c r="P65" s="96"/>
      <c r="Q65" s="97"/>
      <c r="R65" s="98"/>
    </row>
    <row r="66" customFormat="false" ht="23.1" hidden="false" customHeight="false" outlineLevel="0" collapsed="false">
      <c r="A66" s="88" t="n">
        <f aca="false">+A65+1</f>
        <v>55</v>
      </c>
      <c r="B66" s="111"/>
      <c r="C66" s="121" t="n">
        <v>7</v>
      </c>
      <c r="D66" s="122" t="s">
        <v>136</v>
      </c>
      <c r="E66" s="122" t="s">
        <v>120</v>
      </c>
      <c r="F66" s="122" t="s">
        <v>50</v>
      </c>
      <c r="G66" s="123"/>
      <c r="H66" s="123"/>
      <c r="I66" s="123"/>
      <c r="J66" s="124"/>
      <c r="K66" s="123"/>
      <c r="L66" s="123"/>
      <c r="M66" s="125"/>
      <c r="N66" s="126" t="n">
        <v>1</v>
      </c>
      <c r="O66" s="126"/>
      <c r="P66" s="127"/>
      <c r="Q66" s="128"/>
      <c r="R66" s="129"/>
    </row>
    <row r="67" customFormat="false" ht="43.5" hidden="false" customHeight="true" outlineLevel="0" collapsed="false">
      <c r="A67" s="88" t="n">
        <f aca="false">+A66+1</f>
        <v>56</v>
      </c>
      <c r="B67" s="130" t="s">
        <v>137</v>
      </c>
      <c r="C67" s="131" t="s">
        <v>138</v>
      </c>
      <c r="D67" s="132" t="s">
        <v>139</v>
      </c>
      <c r="E67" s="132" t="s">
        <v>120</v>
      </c>
      <c r="F67" s="132" t="s">
        <v>50</v>
      </c>
      <c r="G67" s="92"/>
      <c r="H67" s="133"/>
      <c r="I67" s="133"/>
      <c r="J67" s="133"/>
      <c r="K67" s="133"/>
      <c r="L67" s="133"/>
      <c r="M67" s="134"/>
      <c r="N67" s="135" t="n">
        <v>0.5</v>
      </c>
      <c r="O67" s="135"/>
      <c r="P67" s="136"/>
      <c r="Q67" s="137"/>
      <c r="R67" s="138"/>
    </row>
    <row r="68" customFormat="false" ht="43.5" hidden="false" customHeight="true" outlineLevel="0" collapsed="false">
      <c r="A68" s="88" t="n">
        <f aca="false">+A67+1</f>
        <v>57</v>
      </c>
      <c r="B68" s="130"/>
      <c r="C68" s="99" t="s">
        <v>138</v>
      </c>
      <c r="D68" s="91" t="s">
        <v>139</v>
      </c>
      <c r="E68" s="91" t="s">
        <v>120</v>
      </c>
      <c r="F68" s="91" t="s">
        <v>50</v>
      </c>
      <c r="G68" s="93"/>
      <c r="H68" s="92"/>
      <c r="I68" s="93"/>
      <c r="J68" s="93"/>
      <c r="K68" s="93"/>
      <c r="L68" s="93"/>
      <c r="M68" s="94"/>
      <c r="N68" s="95" t="n">
        <v>1</v>
      </c>
      <c r="O68" s="95"/>
      <c r="P68" s="96"/>
      <c r="Q68" s="139"/>
      <c r="R68" s="98"/>
    </row>
    <row r="69" customFormat="false" ht="23.1" hidden="false" customHeight="false" outlineLevel="0" collapsed="false">
      <c r="A69" s="88" t="n">
        <f aca="false">+A68+1</f>
        <v>58</v>
      </c>
      <c r="B69" s="130"/>
      <c r="C69" s="99" t="s">
        <v>140</v>
      </c>
      <c r="D69" s="91" t="s">
        <v>141</v>
      </c>
      <c r="E69" s="91" t="s">
        <v>120</v>
      </c>
      <c r="F69" s="91" t="s">
        <v>50</v>
      </c>
      <c r="G69" s="92"/>
      <c r="H69" s="93"/>
      <c r="I69" s="93"/>
      <c r="J69" s="93"/>
      <c r="K69" s="93"/>
      <c r="L69" s="93"/>
      <c r="M69" s="94"/>
      <c r="N69" s="95" t="n">
        <v>0.5</v>
      </c>
      <c r="O69" s="95"/>
      <c r="P69" s="96"/>
      <c r="Q69" s="139"/>
      <c r="R69" s="98"/>
    </row>
    <row r="70" customFormat="false" ht="23.1" hidden="false" customHeight="false" outlineLevel="0" collapsed="false">
      <c r="A70" s="88" t="n">
        <f aca="false">+A69+1</f>
        <v>59</v>
      </c>
      <c r="B70" s="130"/>
      <c r="C70" s="99" t="s">
        <v>140</v>
      </c>
      <c r="D70" s="91" t="s">
        <v>141</v>
      </c>
      <c r="E70" s="91" t="s">
        <v>120</v>
      </c>
      <c r="F70" s="91" t="s">
        <v>50</v>
      </c>
      <c r="G70" s="93"/>
      <c r="H70" s="92"/>
      <c r="I70" s="93"/>
      <c r="J70" s="93"/>
      <c r="K70" s="93"/>
      <c r="L70" s="93"/>
      <c r="M70" s="94"/>
      <c r="N70" s="95" t="n">
        <v>1</v>
      </c>
      <c r="O70" s="95"/>
      <c r="P70" s="96"/>
      <c r="Q70" s="139"/>
      <c r="R70" s="98"/>
    </row>
    <row r="71" customFormat="false" ht="23.1" hidden="false" customHeight="false" outlineLevel="0" collapsed="false">
      <c r="A71" s="88" t="n">
        <f aca="false">+A70+1</f>
        <v>60</v>
      </c>
      <c r="B71" s="130"/>
      <c r="C71" s="99" t="s">
        <v>142</v>
      </c>
      <c r="D71" s="91" t="s">
        <v>143</v>
      </c>
      <c r="E71" s="91" t="s">
        <v>120</v>
      </c>
      <c r="F71" s="91" t="s">
        <v>50</v>
      </c>
      <c r="G71" s="92"/>
      <c r="H71" s="93"/>
      <c r="I71" s="93"/>
      <c r="J71" s="93"/>
      <c r="K71" s="93"/>
      <c r="L71" s="93"/>
      <c r="M71" s="94"/>
      <c r="N71" s="95" t="n">
        <v>0.9</v>
      </c>
      <c r="O71" s="95"/>
      <c r="P71" s="96"/>
      <c r="Q71" s="139"/>
      <c r="R71" s="98"/>
    </row>
    <row r="72" customFormat="false" ht="23.1" hidden="false" customHeight="false" outlineLevel="0" collapsed="false">
      <c r="A72" s="88" t="n">
        <f aca="false">+A71+1</f>
        <v>61</v>
      </c>
      <c r="B72" s="130"/>
      <c r="C72" s="99" t="s">
        <v>142</v>
      </c>
      <c r="D72" s="91" t="s">
        <v>143</v>
      </c>
      <c r="E72" s="91" t="s">
        <v>120</v>
      </c>
      <c r="F72" s="91" t="s">
        <v>50</v>
      </c>
      <c r="G72" s="93"/>
      <c r="H72" s="92"/>
      <c r="I72" s="93"/>
      <c r="J72" s="93"/>
      <c r="K72" s="93"/>
      <c r="L72" s="93"/>
      <c r="M72" s="94"/>
      <c r="N72" s="95" t="n">
        <v>1</v>
      </c>
      <c r="O72" s="95"/>
      <c r="P72" s="96"/>
      <c r="Q72" s="139"/>
      <c r="R72" s="98"/>
    </row>
    <row r="73" customFormat="false" ht="23.1" hidden="false" customHeight="true" outlineLevel="0" collapsed="false">
      <c r="A73" s="88" t="n">
        <f aca="false">+A72+1</f>
        <v>62</v>
      </c>
      <c r="B73" s="140" t="s">
        <v>144</v>
      </c>
      <c r="C73" s="141" t="n">
        <v>7</v>
      </c>
      <c r="D73" s="142" t="s">
        <v>145</v>
      </c>
      <c r="E73" s="142" t="s">
        <v>146</v>
      </c>
      <c r="F73" s="142" t="s">
        <v>50</v>
      </c>
      <c r="G73" s="92"/>
      <c r="H73" s="114"/>
      <c r="I73" s="114"/>
      <c r="J73" s="114"/>
      <c r="K73" s="114"/>
      <c r="L73" s="114"/>
      <c r="M73" s="116"/>
      <c r="N73" s="117" t="n">
        <v>1</v>
      </c>
      <c r="O73" s="117"/>
      <c r="P73" s="118"/>
      <c r="Q73" s="119"/>
      <c r="R73" s="120"/>
    </row>
    <row r="74" customFormat="false" ht="23.1" hidden="false" customHeight="false" outlineLevel="0" collapsed="false">
      <c r="A74" s="88" t="n">
        <f aca="false">+A73+1</f>
        <v>63</v>
      </c>
      <c r="B74" s="140"/>
      <c r="C74" s="99" t="n">
        <v>7</v>
      </c>
      <c r="D74" s="143" t="s">
        <v>147</v>
      </c>
      <c r="E74" s="143" t="s">
        <v>146</v>
      </c>
      <c r="F74" s="143" t="s">
        <v>50</v>
      </c>
      <c r="G74" s="93"/>
      <c r="H74" s="92"/>
      <c r="I74" s="93"/>
      <c r="J74" s="93"/>
      <c r="K74" s="93"/>
      <c r="L74" s="93"/>
      <c r="M74" s="94"/>
      <c r="N74" s="95" t="n">
        <v>0.5</v>
      </c>
      <c r="O74" s="95"/>
      <c r="P74" s="96"/>
      <c r="Q74" s="97"/>
      <c r="R74" s="98"/>
    </row>
    <row r="75" customFormat="false" ht="23.1" hidden="false" customHeight="false" outlineLevel="0" collapsed="false">
      <c r="A75" s="88" t="n">
        <f aca="false">+A74+1</f>
        <v>64</v>
      </c>
      <c r="B75" s="140"/>
      <c r="C75" s="99" t="n">
        <v>7</v>
      </c>
      <c r="D75" s="143" t="s">
        <v>147</v>
      </c>
      <c r="E75" s="143" t="s">
        <v>146</v>
      </c>
      <c r="F75" s="143" t="s">
        <v>50</v>
      </c>
      <c r="G75" s="93"/>
      <c r="H75" s="93"/>
      <c r="I75" s="92"/>
      <c r="J75" s="93"/>
      <c r="K75" s="93"/>
      <c r="L75" s="93"/>
      <c r="M75" s="94"/>
      <c r="N75" s="95" t="n">
        <v>1</v>
      </c>
      <c r="O75" s="95"/>
      <c r="P75" s="96"/>
      <c r="Q75" s="97"/>
      <c r="R75" s="98"/>
    </row>
    <row r="76" customFormat="false" ht="23.1" hidden="false" customHeight="false" outlineLevel="0" collapsed="false">
      <c r="A76" s="88" t="n">
        <f aca="false">+A75+1</f>
        <v>65</v>
      </c>
      <c r="B76" s="140"/>
      <c r="C76" s="99" t="n">
        <v>6</v>
      </c>
      <c r="D76" s="143" t="s">
        <v>148</v>
      </c>
      <c r="E76" s="143" t="s">
        <v>146</v>
      </c>
      <c r="F76" s="143" t="s">
        <v>50</v>
      </c>
      <c r="G76" s="93"/>
      <c r="H76" s="93"/>
      <c r="I76" s="93"/>
      <c r="J76" s="92"/>
      <c r="K76" s="93"/>
      <c r="L76" s="93"/>
      <c r="M76" s="94"/>
      <c r="N76" s="95" t="n">
        <v>1</v>
      </c>
      <c r="O76" s="95"/>
      <c r="P76" s="96"/>
      <c r="Q76" s="97"/>
      <c r="R76" s="98"/>
    </row>
    <row r="77" customFormat="false" ht="23.1" hidden="false" customHeight="false" outlineLevel="0" collapsed="false">
      <c r="A77" s="88" t="n">
        <f aca="false">+A76+1</f>
        <v>66</v>
      </c>
      <c r="B77" s="140"/>
      <c r="C77" s="99" t="n">
        <v>1</v>
      </c>
      <c r="D77" s="143" t="s">
        <v>149</v>
      </c>
      <c r="E77" s="143" t="s">
        <v>146</v>
      </c>
      <c r="F77" s="143" t="s">
        <v>50</v>
      </c>
      <c r="G77" s="92"/>
      <c r="H77" s="93"/>
      <c r="I77" s="93"/>
      <c r="J77" s="93"/>
      <c r="K77" s="93"/>
      <c r="L77" s="93"/>
      <c r="M77" s="94"/>
      <c r="N77" s="95" t="n">
        <v>1</v>
      </c>
      <c r="O77" s="95"/>
      <c r="P77" s="96"/>
      <c r="Q77" s="97"/>
      <c r="R77" s="98"/>
    </row>
    <row r="78" customFormat="false" ht="23.1" hidden="false" customHeight="false" outlineLevel="0" collapsed="false">
      <c r="A78" s="88" t="n">
        <f aca="false">+A77+1</f>
        <v>67</v>
      </c>
      <c r="B78" s="140"/>
      <c r="C78" s="99" t="n">
        <v>2</v>
      </c>
      <c r="D78" s="143" t="s">
        <v>149</v>
      </c>
      <c r="E78" s="143" t="s">
        <v>146</v>
      </c>
      <c r="F78" s="143" t="s">
        <v>50</v>
      </c>
      <c r="G78" s="93"/>
      <c r="H78" s="92"/>
      <c r="I78" s="93"/>
      <c r="J78" s="93"/>
      <c r="K78" s="93"/>
      <c r="L78" s="93"/>
      <c r="M78" s="94"/>
      <c r="N78" s="95" t="n">
        <v>1</v>
      </c>
      <c r="O78" s="95"/>
      <c r="P78" s="96"/>
      <c r="Q78" s="97"/>
      <c r="R78" s="98"/>
    </row>
    <row r="79" customFormat="false" ht="23.1" hidden="false" customHeight="false" outlineLevel="0" collapsed="false">
      <c r="A79" s="88" t="n">
        <f aca="false">+A78+1</f>
        <v>68</v>
      </c>
      <c r="B79" s="140"/>
      <c r="C79" s="99" t="n">
        <v>3</v>
      </c>
      <c r="D79" s="143" t="s">
        <v>149</v>
      </c>
      <c r="E79" s="143" t="s">
        <v>146</v>
      </c>
      <c r="F79" s="143" t="s">
        <v>50</v>
      </c>
      <c r="G79" s="93"/>
      <c r="H79" s="93"/>
      <c r="I79" s="92"/>
      <c r="J79" s="93"/>
      <c r="K79" s="93"/>
      <c r="L79" s="93"/>
      <c r="M79" s="94"/>
      <c r="N79" s="95" t="n">
        <v>1</v>
      </c>
      <c r="O79" s="95"/>
      <c r="P79" s="96"/>
      <c r="Q79" s="97"/>
      <c r="R79" s="98"/>
    </row>
    <row r="80" customFormat="false" ht="23.1" hidden="false" customHeight="false" outlineLevel="0" collapsed="false">
      <c r="A80" s="88" t="n">
        <f aca="false">+A79+1</f>
        <v>69</v>
      </c>
      <c r="B80" s="140"/>
      <c r="C80" s="99" t="n">
        <v>4</v>
      </c>
      <c r="D80" s="143" t="s">
        <v>149</v>
      </c>
      <c r="E80" s="143" t="s">
        <v>146</v>
      </c>
      <c r="F80" s="143" t="s">
        <v>50</v>
      </c>
      <c r="G80" s="93"/>
      <c r="H80" s="93"/>
      <c r="I80" s="93"/>
      <c r="J80" s="92"/>
      <c r="K80" s="93"/>
      <c r="L80" s="93"/>
      <c r="M80" s="94"/>
      <c r="N80" s="95" t="n">
        <v>1</v>
      </c>
      <c r="O80" s="95"/>
      <c r="P80" s="96"/>
      <c r="Q80" s="97"/>
      <c r="R80" s="98"/>
    </row>
    <row r="81" customFormat="false" ht="23.1" hidden="false" customHeight="false" outlineLevel="0" collapsed="false">
      <c r="A81" s="88" t="n">
        <f aca="false">+A80+1</f>
        <v>70</v>
      </c>
      <c r="B81" s="140"/>
      <c r="C81" s="99" t="n">
        <v>5</v>
      </c>
      <c r="D81" s="143" t="s">
        <v>149</v>
      </c>
      <c r="E81" s="143" t="s">
        <v>146</v>
      </c>
      <c r="F81" s="143" t="s">
        <v>50</v>
      </c>
      <c r="G81" s="93"/>
      <c r="H81" s="93"/>
      <c r="I81" s="93"/>
      <c r="J81" s="93"/>
      <c r="K81" s="92"/>
      <c r="L81" s="93"/>
      <c r="M81" s="94"/>
      <c r="N81" s="95" t="n">
        <v>1</v>
      </c>
      <c r="O81" s="95"/>
      <c r="P81" s="96"/>
      <c r="Q81" s="97"/>
      <c r="R81" s="98"/>
    </row>
    <row r="82" customFormat="false" ht="23.1" hidden="false" customHeight="false" outlineLevel="0" collapsed="false">
      <c r="A82" s="88" t="n">
        <f aca="false">+A81+1</f>
        <v>71</v>
      </c>
      <c r="B82" s="140"/>
      <c r="C82" s="90" t="n">
        <v>7</v>
      </c>
      <c r="D82" s="144" t="s">
        <v>150</v>
      </c>
      <c r="E82" s="144" t="s">
        <v>151</v>
      </c>
      <c r="F82" s="144" t="s">
        <v>50</v>
      </c>
      <c r="G82" s="93"/>
      <c r="H82" s="93"/>
      <c r="I82" s="93"/>
      <c r="J82" s="92"/>
      <c r="K82" s="93"/>
      <c r="L82" s="93"/>
      <c r="M82" s="94"/>
      <c r="N82" s="95" t="n">
        <v>1</v>
      </c>
      <c r="O82" s="95"/>
      <c r="P82" s="96"/>
      <c r="Q82" s="97"/>
      <c r="R82" s="98"/>
    </row>
    <row r="83" customFormat="false" ht="23.1" hidden="false" customHeight="false" outlineLevel="0" collapsed="false">
      <c r="A83" s="88" t="n">
        <f aca="false">+A82+1</f>
        <v>72</v>
      </c>
      <c r="B83" s="140"/>
      <c r="C83" s="90" t="n">
        <v>3</v>
      </c>
      <c r="D83" s="144" t="s">
        <v>152</v>
      </c>
      <c r="E83" s="144" t="s">
        <v>151</v>
      </c>
      <c r="F83" s="144" t="s">
        <v>50</v>
      </c>
      <c r="G83" s="93"/>
      <c r="H83" s="92"/>
      <c r="I83" s="93"/>
      <c r="J83" s="93"/>
      <c r="K83" s="93"/>
      <c r="L83" s="93"/>
      <c r="M83" s="94"/>
      <c r="N83" s="95" t="n">
        <v>1</v>
      </c>
      <c r="O83" s="95"/>
      <c r="P83" s="96"/>
      <c r="Q83" s="97"/>
      <c r="R83" s="98"/>
    </row>
    <row r="84" customFormat="false" ht="23.1" hidden="false" customHeight="false" outlineLevel="0" collapsed="false">
      <c r="A84" s="88" t="n">
        <f aca="false">+A83+1</f>
        <v>73</v>
      </c>
      <c r="B84" s="140"/>
      <c r="C84" s="90" t="n">
        <v>4</v>
      </c>
      <c r="D84" s="144" t="s">
        <v>152</v>
      </c>
      <c r="E84" s="144" t="s">
        <v>151</v>
      </c>
      <c r="F84" s="144" t="s">
        <v>50</v>
      </c>
      <c r="G84" s="93"/>
      <c r="H84" s="92"/>
      <c r="I84" s="93"/>
      <c r="J84" s="93"/>
      <c r="K84" s="93"/>
      <c r="L84" s="93"/>
      <c r="M84" s="94"/>
      <c r="N84" s="95" t="n">
        <v>0.5</v>
      </c>
      <c r="O84" s="95"/>
      <c r="P84" s="96"/>
      <c r="Q84" s="97"/>
      <c r="R84" s="98"/>
    </row>
    <row r="85" customFormat="false" ht="23.1" hidden="false" customHeight="false" outlineLevel="0" collapsed="false">
      <c r="A85" s="88" t="n">
        <f aca="false">+A84+1</f>
        <v>74</v>
      </c>
      <c r="B85" s="140"/>
      <c r="C85" s="90" t="n">
        <v>4</v>
      </c>
      <c r="D85" s="144" t="s">
        <v>152</v>
      </c>
      <c r="E85" s="144" t="s">
        <v>151</v>
      </c>
      <c r="F85" s="144" t="s">
        <v>50</v>
      </c>
      <c r="G85" s="93"/>
      <c r="H85" s="93"/>
      <c r="I85" s="92"/>
      <c r="J85" s="93"/>
      <c r="K85" s="93"/>
      <c r="L85" s="93"/>
      <c r="M85" s="94"/>
      <c r="N85" s="95" t="n">
        <v>1</v>
      </c>
      <c r="O85" s="95"/>
      <c r="P85" s="96"/>
      <c r="Q85" s="97"/>
      <c r="R85" s="98"/>
    </row>
    <row r="86" customFormat="false" ht="23.1" hidden="false" customHeight="false" outlineLevel="0" collapsed="false">
      <c r="A86" s="88" t="n">
        <f aca="false">+A85+1</f>
        <v>75</v>
      </c>
      <c r="B86" s="140"/>
      <c r="C86" s="90" t="n">
        <v>5</v>
      </c>
      <c r="D86" s="144" t="s">
        <v>152</v>
      </c>
      <c r="E86" s="144" t="s">
        <v>151</v>
      </c>
      <c r="F86" s="144" t="s">
        <v>50</v>
      </c>
      <c r="G86" s="93"/>
      <c r="H86" s="93"/>
      <c r="I86" s="93"/>
      <c r="J86" s="92"/>
      <c r="K86" s="93"/>
      <c r="L86" s="93"/>
      <c r="M86" s="94"/>
      <c r="N86" s="95" t="n">
        <v>1</v>
      </c>
      <c r="O86" s="95"/>
      <c r="P86" s="96"/>
      <c r="Q86" s="97"/>
      <c r="R86" s="98"/>
    </row>
    <row r="87" customFormat="false" ht="23.1" hidden="false" customHeight="false" outlineLevel="0" collapsed="false">
      <c r="A87" s="88" t="n">
        <f aca="false">+A86+1</f>
        <v>76</v>
      </c>
      <c r="B87" s="140"/>
      <c r="C87" s="90" t="n">
        <v>6</v>
      </c>
      <c r="D87" s="144" t="s">
        <v>152</v>
      </c>
      <c r="E87" s="144" t="s">
        <v>151</v>
      </c>
      <c r="F87" s="144" t="s">
        <v>50</v>
      </c>
      <c r="G87" s="93"/>
      <c r="H87" s="93"/>
      <c r="I87" s="93"/>
      <c r="J87" s="92"/>
      <c r="K87" s="93"/>
      <c r="L87" s="93"/>
      <c r="M87" s="94"/>
      <c r="N87" s="95" t="n">
        <v>0.5</v>
      </c>
      <c r="O87" s="95"/>
      <c r="P87" s="96"/>
      <c r="Q87" s="97"/>
      <c r="R87" s="98"/>
    </row>
    <row r="88" customFormat="false" ht="23.1" hidden="false" customHeight="false" outlineLevel="0" collapsed="false">
      <c r="A88" s="88" t="n">
        <f aca="false">+A87+1</f>
        <v>77</v>
      </c>
      <c r="B88" s="140"/>
      <c r="C88" s="90" t="n">
        <v>6</v>
      </c>
      <c r="D88" s="144" t="s">
        <v>152</v>
      </c>
      <c r="E88" s="144" t="s">
        <v>151</v>
      </c>
      <c r="F88" s="144" t="s">
        <v>50</v>
      </c>
      <c r="G88" s="93"/>
      <c r="H88" s="93"/>
      <c r="I88" s="93"/>
      <c r="J88" s="93"/>
      <c r="K88" s="92"/>
      <c r="L88" s="93"/>
      <c r="M88" s="94"/>
      <c r="N88" s="95" t="n">
        <v>1</v>
      </c>
      <c r="O88" s="95"/>
      <c r="P88" s="96"/>
      <c r="Q88" s="97"/>
      <c r="R88" s="98"/>
    </row>
    <row r="89" customFormat="false" ht="23.1" hidden="false" customHeight="false" outlineLevel="0" collapsed="false">
      <c r="A89" s="88" t="n">
        <f aca="false">+A88+1</f>
        <v>78</v>
      </c>
      <c r="B89" s="140"/>
      <c r="C89" s="90" t="n">
        <v>7</v>
      </c>
      <c r="D89" s="144" t="s">
        <v>153</v>
      </c>
      <c r="E89" s="144" t="s">
        <v>151</v>
      </c>
      <c r="F89" s="144" t="s">
        <v>50</v>
      </c>
      <c r="G89" s="93"/>
      <c r="H89" s="92"/>
      <c r="I89" s="93"/>
      <c r="J89" s="93"/>
      <c r="K89" s="93"/>
      <c r="L89" s="93"/>
      <c r="M89" s="94"/>
      <c r="N89" s="95" t="n">
        <v>0.5</v>
      </c>
      <c r="O89" s="95"/>
      <c r="P89" s="96"/>
      <c r="Q89" s="97"/>
      <c r="R89" s="98"/>
    </row>
    <row r="90" customFormat="false" ht="23.1" hidden="false" customHeight="false" outlineLevel="0" collapsed="false">
      <c r="A90" s="88" t="n">
        <f aca="false">+A89+1</f>
        <v>79</v>
      </c>
      <c r="B90" s="140"/>
      <c r="C90" s="90" t="n">
        <v>7</v>
      </c>
      <c r="D90" s="144" t="s">
        <v>153</v>
      </c>
      <c r="E90" s="144" t="s">
        <v>151</v>
      </c>
      <c r="F90" s="144" t="s">
        <v>50</v>
      </c>
      <c r="G90" s="93"/>
      <c r="H90" s="93"/>
      <c r="I90" s="92"/>
      <c r="J90" s="93"/>
      <c r="K90" s="93"/>
      <c r="L90" s="93"/>
      <c r="M90" s="94"/>
      <c r="N90" s="95" t="n">
        <v>1</v>
      </c>
      <c r="O90" s="95"/>
      <c r="P90" s="96"/>
      <c r="Q90" s="97"/>
      <c r="R90" s="98"/>
    </row>
    <row r="91" customFormat="false" ht="23.1" hidden="false" customHeight="false" outlineLevel="0" collapsed="false">
      <c r="A91" s="88" t="n">
        <f aca="false">+A90+1</f>
        <v>80</v>
      </c>
      <c r="B91" s="140"/>
      <c r="C91" s="90" t="n">
        <v>7</v>
      </c>
      <c r="D91" s="144" t="s">
        <v>154</v>
      </c>
      <c r="E91" s="144" t="s">
        <v>151</v>
      </c>
      <c r="F91" s="144" t="s">
        <v>50</v>
      </c>
      <c r="G91" s="92"/>
      <c r="H91" s="93"/>
      <c r="I91" s="93"/>
      <c r="J91" s="93"/>
      <c r="K91" s="93"/>
      <c r="L91" s="93"/>
      <c r="M91" s="94"/>
      <c r="N91" s="95" t="n">
        <v>0.33</v>
      </c>
      <c r="O91" s="95"/>
      <c r="P91" s="96"/>
      <c r="Q91" s="97"/>
      <c r="R91" s="98"/>
    </row>
    <row r="92" customFormat="false" ht="23.1" hidden="false" customHeight="false" outlineLevel="0" collapsed="false">
      <c r="A92" s="88" t="n">
        <f aca="false">+A91+1</f>
        <v>81</v>
      </c>
      <c r="B92" s="140"/>
      <c r="C92" s="90" t="n">
        <v>7</v>
      </c>
      <c r="D92" s="144" t="s">
        <v>154</v>
      </c>
      <c r="E92" s="144" t="s">
        <v>151</v>
      </c>
      <c r="F92" s="144" t="s">
        <v>50</v>
      </c>
      <c r="G92" s="93"/>
      <c r="H92" s="92"/>
      <c r="I92" s="93"/>
      <c r="J92" s="93"/>
      <c r="K92" s="93"/>
      <c r="L92" s="93"/>
      <c r="M92" s="94"/>
      <c r="N92" s="95" t="n">
        <v>0.66</v>
      </c>
      <c r="O92" s="95"/>
      <c r="P92" s="96"/>
      <c r="Q92" s="97"/>
      <c r="R92" s="98"/>
    </row>
    <row r="93" customFormat="false" ht="23.1" hidden="false" customHeight="false" outlineLevel="0" collapsed="false">
      <c r="A93" s="88" t="n">
        <f aca="false">+A92+1</f>
        <v>82</v>
      </c>
      <c r="B93" s="140"/>
      <c r="C93" s="90" t="n">
        <v>7</v>
      </c>
      <c r="D93" s="144" t="s">
        <v>154</v>
      </c>
      <c r="E93" s="144" t="s">
        <v>151</v>
      </c>
      <c r="F93" s="144" t="s">
        <v>50</v>
      </c>
      <c r="G93" s="93"/>
      <c r="H93" s="93"/>
      <c r="I93" s="92"/>
      <c r="J93" s="93"/>
      <c r="K93" s="93"/>
      <c r="L93" s="93"/>
      <c r="M93" s="94"/>
      <c r="N93" s="95" t="n">
        <v>1</v>
      </c>
      <c r="O93" s="95"/>
      <c r="P93" s="96"/>
      <c r="Q93" s="97"/>
      <c r="R93" s="98"/>
    </row>
    <row r="94" customFormat="false" ht="23.1" hidden="false" customHeight="false" outlineLevel="0" collapsed="false">
      <c r="A94" s="88" t="n">
        <f aca="false">+A93+1</f>
        <v>83</v>
      </c>
      <c r="B94" s="140"/>
      <c r="C94" s="90" t="n">
        <v>7</v>
      </c>
      <c r="D94" s="144" t="s">
        <v>155</v>
      </c>
      <c r="E94" s="144" t="s">
        <v>151</v>
      </c>
      <c r="F94" s="144" t="s">
        <v>50</v>
      </c>
      <c r="G94" s="92"/>
      <c r="H94" s="93"/>
      <c r="I94" s="93"/>
      <c r="J94" s="93"/>
      <c r="K94" s="93"/>
      <c r="L94" s="93"/>
      <c r="M94" s="94"/>
      <c r="N94" s="95" t="n">
        <v>0.33</v>
      </c>
      <c r="O94" s="95"/>
      <c r="P94" s="96"/>
      <c r="Q94" s="97"/>
      <c r="R94" s="98"/>
    </row>
    <row r="95" customFormat="false" ht="23.1" hidden="false" customHeight="false" outlineLevel="0" collapsed="false">
      <c r="A95" s="88" t="n">
        <f aca="false">+A94+1</f>
        <v>84</v>
      </c>
      <c r="B95" s="140"/>
      <c r="C95" s="90" t="n">
        <v>7</v>
      </c>
      <c r="D95" s="144" t="s">
        <v>155</v>
      </c>
      <c r="E95" s="144" t="s">
        <v>151</v>
      </c>
      <c r="F95" s="144" t="s">
        <v>50</v>
      </c>
      <c r="G95" s="93"/>
      <c r="H95" s="92"/>
      <c r="I95" s="93"/>
      <c r="J95" s="93"/>
      <c r="K95" s="93"/>
      <c r="L95" s="93"/>
      <c r="M95" s="94"/>
      <c r="N95" s="95" t="n">
        <v>0.66</v>
      </c>
      <c r="O95" s="95"/>
      <c r="P95" s="96"/>
      <c r="Q95" s="97"/>
      <c r="R95" s="98"/>
    </row>
    <row r="96" customFormat="false" ht="23.1" hidden="false" customHeight="false" outlineLevel="0" collapsed="false">
      <c r="A96" s="88" t="n">
        <f aca="false">+A95+1</f>
        <v>85</v>
      </c>
      <c r="B96" s="140"/>
      <c r="C96" s="90" t="n">
        <v>7</v>
      </c>
      <c r="D96" s="144" t="s">
        <v>155</v>
      </c>
      <c r="E96" s="144" t="s">
        <v>151</v>
      </c>
      <c r="F96" s="144" t="s">
        <v>50</v>
      </c>
      <c r="G96" s="93"/>
      <c r="H96" s="93"/>
      <c r="I96" s="92"/>
      <c r="J96" s="93"/>
      <c r="K96" s="93"/>
      <c r="L96" s="93"/>
      <c r="M96" s="94"/>
      <c r="N96" s="95" t="n">
        <v>1</v>
      </c>
      <c r="O96" s="95"/>
      <c r="P96" s="96"/>
      <c r="Q96" s="97"/>
      <c r="R96" s="98"/>
    </row>
    <row r="97" customFormat="false" ht="23.1" hidden="false" customHeight="false" outlineLevel="0" collapsed="false">
      <c r="A97" s="88" t="n">
        <f aca="false">+A96+1</f>
        <v>86</v>
      </c>
      <c r="B97" s="140"/>
      <c r="C97" s="90" t="n">
        <v>3</v>
      </c>
      <c r="D97" s="144" t="s">
        <v>156</v>
      </c>
      <c r="E97" s="144" t="s">
        <v>151</v>
      </c>
      <c r="F97" s="144" t="s">
        <v>50</v>
      </c>
      <c r="G97" s="92"/>
      <c r="H97" s="93"/>
      <c r="I97" s="93"/>
      <c r="J97" s="93"/>
      <c r="K97" s="93"/>
      <c r="L97" s="93"/>
      <c r="M97" s="94"/>
      <c r="N97" s="95" t="n">
        <v>1</v>
      </c>
      <c r="O97" s="95"/>
      <c r="P97" s="96"/>
      <c r="Q97" s="97"/>
      <c r="R97" s="98"/>
    </row>
    <row r="98" customFormat="false" ht="23.1" hidden="false" customHeight="false" outlineLevel="0" collapsed="false">
      <c r="A98" s="88" t="n">
        <f aca="false">+A97+1</f>
        <v>87</v>
      </c>
      <c r="B98" s="140"/>
      <c r="C98" s="90" t="n">
        <v>4</v>
      </c>
      <c r="D98" s="144" t="s">
        <v>156</v>
      </c>
      <c r="E98" s="144" t="s">
        <v>151</v>
      </c>
      <c r="F98" s="144" t="s">
        <v>50</v>
      </c>
      <c r="G98" s="93"/>
      <c r="H98" s="92"/>
      <c r="I98" s="93"/>
      <c r="J98" s="93"/>
      <c r="K98" s="93"/>
      <c r="L98" s="93"/>
      <c r="M98" s="94"/>
      <c r="N98" s="95" t="n">
        <v>1</v>
      </c>
      <c r="O98" s="95"/>
      <c r="P98" s="96"/>
      <c r="Q98" s="97"/>
      <c r="R98" s="98"/>
    </row>
    <row r="99" customFormat="false" ht="23.1" hidden="false" customHeight="false" outlineLevel="0" collapsed="false">
      <c r="A99" s="88" t="n">
        <f aca="false">+A98+1</f>
        <v>88</v>
      </c>
      <c r="B99" s="140"/>
      <c r="C99" s="90" t="n">
        <v>5</v>
      </c>
      <c r="D99" s="144" t="s">
        <v>156</v>
      </c>
      <c r="E99" s="144" t="s">
        <v>151</v>
      </c>
      <c r="F99" s="144" t="s">
        <v>50</v>
      </c>
      <c r="G99" s="93"/>
      <c r="H99" s="93"/>
      <c r="I99" s="92"/>
      <c r="J99" s="93"/>
      <c r="K99" s="93"/>
      <c r="L99" s="93"/>
      <c r="M99" s="94"/>
      <c r="N99" s="95" t="n">
        <v>1</v>
      </c>
      <c r="O99" s="95"/>
      <c r="P99" s="96"/>
      <c r="Q99" s="97"/>
      <c r="R99" s="98"/>
    </row>
    <row r="100" customFormat="false" ht="23.1" hidden="false" customHeight="false" outlineLevel="0" collapsed="false">
      <c r="A100" s="88" t="n">
        <f aca="false">+A99+1</f>
        <v>89</v>
      </c>
      <c r="B100" s="140"/>
      <c r="C100" s="90" t="s">
        <v>124</v>
      </c>
      <c r="D100" s="144" t="s">
        <v>156</v>
      </c>
      <c r="E100" s="144" t="s">
        <v>151</v>
      </c>
      <c r="F100" s="144" t="s">
        <v>50</v>
      </c>
      <c r="G100" s="93"/>
      <c r="H100" s="93"/>
      <c r="I100" s="93"/>
      <c r="J100" s="92"/>
      <c r="K100" s="93"/>
      <c r="L100" s="93"/>
      <c r="M100" s="94"/>
      <c r="N100" s="95" t="n">
        <v>0.5</v>
      </c>
      <c r="O100" s="95"/>
      <c r="P100" s="96"/>
      <c r="Q100" s="97"/>
      <c r="R100" s="98"/>
    </row>
    <row r="101" customFormat="false" ht="23.1" hidden="false" customHeight="false" outlineLevel="0" collapsed="false">
      <c r="A101" s="88" t="n">
        <f aca="false">+A100+1</f>
        <v>90</v>
      </c>
      <c r="B101" s="140"/>
      <c r="C101" s="90" t="s">
        <v>124</v>
      </c>
      <c r="D101" s="144" t="s">
        <v>156</v>
      </c>
      <c r="E101" s="144" t="s">
        <v>151</v>
      </c>
      <c r="F101" s="144" t="s">
        <v>50</v>
      </c>
      <c r="G101" s="93"/>
      <c r="H101" s="93"/>
      <c r="I101" s="93"/>
      <c r="J101" s="93"/>
      <c r="K101" s="92"/>
      <c r="L101" s="93"/>
      <c r="M101" s="94"/>
      <c r="N101" s="95" t="n">
        <v>1</v>
      </c>
      <c r="O101" s="95"/>
      <c r="P101" s="96"/>
      <c r="Q101" s="97"/>
      <c r="R101" s="98"/>
    </row>
    <row r="102" customFormat="false" ht="23.1" hidden="false" customHeight="false" outlineLevel="0" collapsed="false">
      <c r="A102" s="88" t="n">
        <f aca="false">+A101+1</f>
        <v>91</v>
      </c>
      <c r="B102" s="140"/>
      <c r="C102" s="90" t="n">
        <v>3</v>
      </c>
      <c r="D102" s="144" t="s">
        <v>157</v>
      </c>
      <c r="E102" s="144" t="s">
        <v>151</v>
      </c>
      <c r="F102" s="144" t="s">
        <v>50</v>
      </c>
      <c r="G102" s="92"/>
      <c r="H102" s="93"/>
      <c r="I102" s="93"/>
      <c r="J102" s="93"/>
      <c r="K102" s="93"/>
      <c r="L102" s="93"/>
      <c r="M102" s="94"/>
      <c r="N102" s="95" t="n">
        <v>1</v>
      </c>
      <c r="O102" s="95"/>
      <c r="P102" s="96"/>
      <c r="Q102" s="97"/>
      <c r="R102" s="98"/>
    </row>
    <row r="103" customFormat="false" ht="23.1" hidden="false" customHeight="false" outlineLevel="0" collapsed="false">
      <c r="A103" s="88" t="n">
        <f aca="false">+A102+1</f>
        <v>92</v>
      </c>
      <c r="B103" s="140"/>
      <c r="C103" s="90" t="n">
        <v>4</v>
      </c>
      <c r="D103" s="144" t="s">
        <v>157</v>
      </c>
      <c r="E103" s="144" t="s">
        <v>151</v>
      </c>
      <c r="F103" s="144" t="s">
        <v>50</v>
      </c>
      <c r="G103" s="93"/>
      <c r="H103" s="92"/>
      <c r="I103" s="93"/>
      <c r="J103" s="93"/>
      <c r="K103" s="93"/>
      <c r="L103" s="93"/>
      <c r="M103" s="94"/>
      <c r="N103" s="95" t="n">
        <v>1</v>
      </c>
      <c r="O103" s="95"/>
      <c r="P103" s="96"/>
      <c r="Q103" s="97"/>
      <c r="R103" s="98"/>
    </row>
    <row r="104" customFormat="false" ht="23.1" hidden="false" customHeight="false" outlineLevel="0" collapsed="false">
      <c r="A104" s="88" t="n">
        <f aca="false">+A103+1</f>
        <v>93</v>
      </c>
      <c r="B104" s="140"/>
      <c r="C104" s="90" t="n">
        <v>5</v>
      </c>
      <c r="D104" s="144" t="s">
        <v>157</v>
      </c>
      <c r="E104" s="144" t="s">
        <v>151</v>
      </c>
      <c r="F104" s="144" t="s">
        <v>50</v>
      </c>
      <c r="G104" s="93"/>
      <c r="H104" s="93"/>
      <c r="I104" s="92"/>
      <c r="J104" s="93"/>
      <c r="K104" s="93"/>
      <c r="L104" s="93"/>
      <c r="M104" s="94"/>
      <c r="N104" s="95" t="n">
        <v>1</v>
      </c>
      <c r="O104" s="95"/>
      <c r="P104" s="96"/>
      <c r="Q104" s="97"/>
      <c r="R104" s="98"/>
    </row>
    <row r="105" customFormat="false" ht="23.1" hidden="false" customHeight="false" outlineLevel="0" collapsed="false">
      <c r="A105" s="88" t="n">
        <f aca="false">+A104+1</f>
        <v>94</v>
      </c>
      <c r="B105" s="140"/>
      <c r="C105" s="99" t="n">
        <v>7</v>
      </c>
      <c r="D105" s="145" t="s">
        <v>158</v>
      </c>
      <c r="E105" s="145" t="s">
        <v>159</v>
      </c>
      <c r="F105" s="145" t="s">
        <v>50</v>
      </c>
      <c r="G105" s="93"/>
      <c r="H105" s="93"/>
      <c r="I105" s="93"/>
      <c r="J105" s="92"/>
      <c r="K105" s="93"/>
      <c r="L105" s="93"/>
      <c r="M105" s="94"/>
      <c r="N105" s="95" t="n">
        <v>0.9</v>
      </c>
      <c r="O105" s="95"/>
      <c r="P105" s="96"/>
      <c r="Q105" s="97"/>
      <c r="R105" s="98"/>
    </row>
    <row r="106" customFormat="false" ht="23.1" hidden="false" customHeight="false" outlineLevel="0" collapsed="false">
      <c r="A106" s="88" t="n">
        <f aca="false">+A105+1</f>
        <v>95</v>
      </c>
      <c r="B106" s="140"/>
      <c r="C106" s="99" t="n">
        <v>7</v>
      </c>
      <c r="D106" s="145" t="s">
        <v>158</v>
      </c>
      <c r="E106" s="145" t="s">
        <v>159</v>
      </c>
      <c r="F106" s="145" t="s">
        <v>50</v>
      </c>
      <c r="G106" s="93"/>
      <c r="H106" s="93"/>
      <c r="I106" s="93"/>
      <c r="J106" s="93"/>
      <c r="K106" s="92"/>
      <c r="L106" s="93"/>
      <c r="M106" s="94"/>
      <c r="N106" s="95" t="n">
        <v>1</v>
      </c>
      <c r="O106" s="95"/>
      <c r="P106" s="96"/>
      <c r="Q106" s="97"/>
      <c r="R106" s="98"/>
    </row>
    <row r="107" customFormat="false" ht="23.1" hidden="false" customHeight="false" outlineLevel="0" collapsed="false">
      <c r="A107" s="88" t="n">
        <f aca="false">+A106+1</f>
        <v>96</v>
      </c>
      <c r="B107" s="140"/>
      <c r="C107" s="99" t="n">
        <v>7</v>
      </c>
      <c r="D107" s="145" t="s">
        <v>160</v>
      </c>
      <c r="E107" s="145" t="s">
        <v>159</v>
      </c>
      <c r="F107" s="145" t="s">
        <v>50</v>
      </c>
      <c r="G107" s="92"/>
      <c r="H107" s="93"/>
      <c r="I107" s="93"/>
      <c r="J107" s="93"/>
      <c r="K107" s="93"/>
      <c r="L107" s="93"/>
      <c r="M107" s="94"/>
      <c r="N107" s="95" t="n">
        <v>1</v>
      </c>
      <c r="O107" s="95"/>
      <c r="P107" s="96"/>
      <c r="Q107" s="97"/>
      <c r="R107" s="98"/>
    </row>
    <row r="108" customFormat="false" ht="23.1" hidden="false" customHeight="false" outlineLevel="0" collapsed="false">
      <c r="A108" s="88" t="n">
        <f aca="false">+A107+1</f>
        <v>97</v>
      </c>
      <c r="B108" s="140"/>
      <c r="C108" s="99" t="n">
        <v>6</v>
      </c>
      <c r="D108" s="145" t="s">
        <v>161</v>
      </c>
      <c r="E108" s="145" t="s">
        <v>159</v>
      </c>
      <c r="F108" s="145" t="s">
        <v>50</v>
      </c>
      <c r="G108" s="92"/>
      <c r="H108" s="93"/>
      <c r="I108" s="93"/>
      <c r="J108" s="93"/>
      <c r="K108" s="93"/>
      <c r="L108" s="93"/>
      <c r="M108" s="94"/>
      <c r="N108" s="95" t="n">
        <v>1</v>
      </c>
      <c r="O108" s="95"/>
      <c r="P108" s="96"/>
      <c r="Q108" s="97"/>
      <c r="R108" s="98"/>
    </row>
    <row r="109" customFormat="false" ht="23.1" hidden="false" customHeight="false" outlineLevel="0" collapsed="false">
      <c r="A109" s="88" t="n">
        <f aca="false">+A108+1</f>
        <v>98</v>
      </c>
      <c r="B109" s="140"/>
      <c r="C109" s="99" t="n">
        <v>3</v>
      </c>
      <c r="D109" s="145" t="s">
        <v>161</v>
      </c>
      <c r="E109" s="145" t="s">
        <v>159</v>
      </c>
      <c r="F109" s="145" t="s">
        <v>50</v>
      </c>
      <c r="G109" s="92"/>
      <c r="H109" s="93"/>
      <c r="I109" s="93"/>
      <c r="J109" s="93"/>
      <c r="K109" s="93"/>
      <c r="L109" s="93"/>
      <c r="M109" s="94"/>
      <c r="N109" s="95" t="n">
        <v>1</v>
      </c>
      <c r="O109" s="95"/>
      <c r="P109" s="96"/>
      <c r="Q109" s="97"/>
      <c r="R109" s="98"/>
    </row>
    <row r="110" customFormat="false" ht="23.1" hidden="false" customHeight="false" outlineLevel="0" collapsed="false">
      <c r="A110" s="88" t="n">
        <f aca="false">+A109+1</f>
        <v>99</v>
      </c>
      <c r="B110" s="140"/>
      <c r="C110" s="99" t="n">
        <v>4</v>
      </c>
      <c r="D110" s="145" t="s">
        <v>161</v>
      </c>
      <c r="E110" s="145" t="s">
        <v>159</v>
      </c>
      <c r="F110" s="145" t="s">
        <v>50</v>
      </c>
      <c r="G110" s="93"/>
      <c r="H110" s="92"/>
      <c r="I110" s="93"/>
      <c r="J110" s="93"/>
      <c r="K110" s="93"/>
      <c r="L110" s="93"/>
      <c r="M110" s="94"/>
      <c r="N110" s="95" t="n">
        <v>0.33</v>
      </c>
      <c r="O110" s="95"/>
      <c r="P110" s="96"/>
      <c r="Q110" s="97"/>
      <c r="R110" s="98"/>
    </row>
    <row r="111" customFormat="false" ht="23.1" hidden="false" customHeight="false" outlineLevel="0" collapsed="false">
      <c r="A111" s="88" t="n">
        <f aca="false">+A110+1</f>
        <v>100</v>
      </c>
      <c r="B111" s="140"/>
      <c r="C111" s="99" t="n">
        <v>4</v>
      </c>
      <c r="D111" s="145" t="s">
        <v>161</v>
      </c>
      <c r="E111" s="145" t="s">
        <v>159</v>
      </c>
      <c r="F111" s="145" t="s">
        <v>50</v>
      </c>
      <c r="G111" s="93"/>
      <c r="H111" s="93"/>
      <c r="I111" s="93"/>
      <c r="J111" s="92"/>
      <c r="K111" s="93"/>
      <c r="L111" s="93"/>
      <c r="M111" s="94"/>
      <c r="N111" s="95" t="n">
        <v>0.66</v>
      </c>
      <c r="O111" s="95"/>
      <c r="P111" s="96"/>
      <c r="Q111" s="97"/>
      <c r="R111" s="98"/>
    </row>
    <row r="112" customFormat="false" ht="23.1" hidden="false" customHeight="false" outlineLevel="0" collapsed="false">
      <c r="A112" s="88" t="n">
        <f aca="false">+A111+1</f>
        <v>101</v>
      </c>
      <c r="B112" s="140"/>
      <c r="C112" s="99" t="n">
        <v>4</v>
      </c>
      <c r="D112" s="145" t="s">
        <v>161</v>
      </c>
      <c r="E112" s="145" t="s">
        <v>159</v>
      </c>
      <c r="F112" s="145" t="s">
        <v>50</v>
      </c>
      <c r="G112" s="93"/>
      <c r="H112" s="93"/>
      <c r="I112" s="93"/>
      <c r="J112" s="93"/>
      <c r="K112" s="92"/>
      <c r="L112" s="93"/>
      <c r="M112" s="94"/>
      <c r="N112" s="95" t="n">
        <v>1</v>
      </c>
      <c r="O112" s="95"/>
      <c r="P112" s="96"/>
      <c r="Q112" s="97"/>
      <c r="R112" s="98"/>
    </row>
    <row r="113" customFormat="false" ht="23.1" hidden="false" customHeight="false" outlineLevel="0" collapsed="false">
      <c r="A113" s="88" t="n">
        <f aca="false">+A112+1</f>
        <v>102</v>
      </c>
      <c r="B113" s="140"/>
      <c r="C113" s="99" t="n">
        <v>5</v>
      </c>
      <c r="D113" s="145" t="s">
        <v>161</v>
      </c>
      <c r="E113" s="145" t="s">
        <v>159</v>
      </c>
      <c r="F113" s="145" t="s">
        <v>50</v>
      </c>
      <c r="G113" s="93"/>
      <c r="H113" s="93"/>
      <c r="I113" s="92"/>
      <c r="J113" s="93"/>
      <c r="K113" s="93"/>
      <c r="L113" s="93"/>
      <c r="M113" s="94"/>
      <c r="N113" s="95" t="n">
        <v>1</v>
      </c>
      <c r="O113" s="95"/>
      <c r="P113" s="96"/>
      <c r="Q113" s="97"/>
      <c r="R113" s="98"/>
    </row>
    <row r="114" customFormat="false" ht="23.1" hidden="false" customHeight="false" outlineLevel="0" collapsed="false">
      <c r="A114" s="88" t="n">
        <f aca="false">+A113+1</f>
        <v>103</v>
      </c>
      <c r="B114" s="140"/>
      <c r="C114" s="99" t="n">
        <v>3</v>
      </c>
      <c r="D114" s="145" t="s">
        <v>162</v>
      </c>
      <c r="E114" s="145" t="s">
        <v>159</v>
      </c>
      <c r="F114" s="145" t="s">
        <v>50</v>
      </c>
      <c r="G114" s="92"/>
      <c r="H114" s="93"/>
      <c r="I114" s="93"/>
      <c r="J114" s="93"/>
      <c r="K114" s="93"/>
      <c r="L114" s="93"/>
      <c r="M114" s="94"/>
      <c r="N114" s="95" t="n">
        <v>1</v>
      </c>
      <c r="O114" s="95"/>
      <c r="P114" s="96"/>
      <c r="Q114" s="97"/>
      <c r="R114" s="98"/>
    </row>
    <row r="115" customFormat="false" ht="23.1" hidden="false" customHeight="false" outlineLevel="0" collapsed="false">
      <c r="A115" s="88" t="n">
        <f aca="false">+A114+1</f>
        <v>104</v>
      </c>
      <c r="B115" s="140"/>
      <c r="C115" s="99" t="n">
        <v>4</v>
      </c>
      <c r="D115" s="145" t="s">
        <v>162</v>
      </c>
      <c r="E115" s="145" t="s">
        <v>159</v>
      </c>
      <c r="F115" s="145" t="s">
        <v>50</v>
      </c>
      <c r="G115" s="93"/>
      <c r="H115" s="92"/>
      <c r="I115" s="93"/>
      <c r="J115" s="93"/>
      <c r="K115" s="93"/>
      <c r="L115" s="93"/>
      <c r="M115" s="94"/>
      <c r="N115" s="95" t="n">
        <v>0.5</v>
      </c>
      <c r="O115" s="95"/>
      <c r="P115" s="96"/>
      <c r="Q115" s="97"/>
      <c r="R115" s="98"/>
    </row>
    <row r="116" customFormat="false" ht="23.1" hidden="false" customHeight="false" outlineLevel="0" collapsed="false">
      <c r="A116" s="88" t="n">
        <f aca="false">+A115+1</f>
        <v>105</v>
      </c>
      <c r="B116" s="140"/>
      <c r="C116" s="99" t="n">
        <v>4</v>
      </c>
      <c r="D116" s="145" t="s">
        <v>162</v>
      </c>
      <c r="E116" s="145" t="s">
        <v>159</v>
      </c>
      <c r="F116" s="145" t="s">
        <v>50</v>
      </c>
      <c r="G116" s="93"/>
      <c r="H116" s="93"/>
      <c r="I116" s="92"/>
      <c r="J116" s="93"/>
      <c r="K116" s="93"/>
      <c r="L116" s="93"/>
      <c r="M116" s="94"/>
      <c r="N116" s="95" t="n">
        <v>1</v>
      </c>
      <c r="O116" s="95"/>
      <c r="P116" s="96"/>
      <c r="Q116" s="97"/>
      <c r="R116" s="98"/>
    </row>
    <row r="117" customFormat="false" ht="23.1" hidden="false" customHeight="false" outlineLevel="0" collapsed="false">
      <c r="A117" s="88" t="n">
        <f aca="false">+A116+1</f>
        <v>106</v>
      </c>
      <c r="B117" s="140"/>
      <c r="C117" s="99" t="n">
        <v>5</v>
      </c>
      <c r="D117" s="145" t="s">
        <v>162</v>
      </c>
      <c r="E117" s="145" t="s">
        <v>159</v>
      </c>
      <c r="F117" s="145" t="s">
        <v>50</v>
      </c>
      <c r="G117" s="93"/>
      <c r="H117" s="93"/>
      <c r="I117" s="93"/>
      <c r="J117" s="92"/>
      <c r="K117" s="93"/>
      <c r="L117" s="93"/>
      <c r="M117" s="94"/>
      <c r="N117" s="95" t="n">
        <v>1</v>
      </c>
      <c r="O117" s="95"/>
      <c r="P117" s="96"/>
      <c r="Q117" s="97"/>
      <c r="R117" s="98"/>
    </row>
    <row r="118" customFormat="false" ht="23.1" hidden="false" customHeight="false" outlineLevel="0" collapsed="false">
      <c r="A118" s="88" t="n">
        <f aca="false">+A117+1</f>
        <v>107</v>
      </c>
      <c r="B118" s="140"/>
      <c r="C118" s="99" t="n">
        <v>6</v>
      </c>
      <c r="D118" s="145" t="s">
        <v>162</v>
      </c>
      <c r="E118" s="145" t="s">
        <v>159</v>
      </c>
      <c r="F118" s="145" t="s">
        <v>50</v>
      </c>
      <c r="G118" s="93"/>
      <c r="H118" s="93"/>
      <c r="I118" s="93"/>
      <c r="J118" s="92"/>
      <c r="K118" s="93"/>
      <c r="L118" s="93"/>
      <c r="M118" s="94"/>
      <c r="N118" s="95" t="n">
        <v>0.5</v>
      </c>
      <c r="O118" s="95"/>
      <c r="P118" s="96"/>
      <c r="Q118" s="97"/>
      <c r="R118" s="98"/>
    </row>
    <row r="119" customFormat="false" ht="23.1" hidden="false" customHeight="false" outlineLevel="0" collapsed="false">
      <c r="A119" s="88" t="n">
        <f aca="false">+A118+1</f>
        <v>108</v>
      </c>
      <c r="B119" s="140"/>
      <c r="C119" s="99" t="n">
        <v>6</v>
      </c>
      <c r="D119" s="145" t="s">
        <v>162</v>
      </c>
      <c r="E119" s="145" t="s">
        <v>159</v>
      </c>
      <c r="F119" s="145" t="s">
        <v>50</v>
      </c>
      <c r="G119" s="93"/>
      <c r="H119" s="93"/>
      <c r="I119" s="93"/>
      <c r="J119" s="93"/>
      <c r="K119" s="92"/>
      <c r="L119" s="93"/>
      <c r="M119" s="94"/>
      <c r="N119" s="95" t="n">
        <v>1</v>
      </c>
      <c r="O119" s="95"/>
      <c r="P119" s="96"/>
      <c r="Q119" s="97"/>
      <c r="R119" s="98"/>
    </row>
    <row r="120" customFormat="false" ht="23.1" hidden="false" customHeight="false" outlineLevel="0" collapsed="false">
      <c r="A120" s="88" t="n">
        <f aca="false">+A119+1</f>
        <v>109</v>
      </c>
      <c r="B120" s="140"/>
      <c r="C120" s="99" t="n">
        <v>7</v>
      </c>
      <c r="D120" s="145" t="s">
        <v>163</v>
      </c>
      <c r="E120" s="145" t="s">
        <v>159</v>
      </c>
      <c r="F120" s="145" t="s">
        <v>50</v>
      </c>
      <c r="G120" s="93"/>
      <c r="H120" s="93"/>
      <c r="I120" s="92"/>
      <c r="J120" s="93"/>
      <c r="K120" s="93"/>
      <c r="L120" s="93"/>
      <c r="M120" s="94"/>
      <c r="N120" s="95" t="n">
        <v>1</v>
      </c>
      <c r="O120" s="95"/>
      <c r="P120" s="96"/>
      <c r="Q120" s="97"/>
      <c r="R120" s="98"/>
    </row>
    <row r="121" customFormat="false" ht="23.1" hidden="false" customHeight="false" outlineLevel="0" collapsed="false">
      <c r="A121" s="88" t="n">
        <f aca="false">+A120+1</f>
        <v>110</v>
      </c>
      <c r="B121" s="140"/>
      <c r="C121" s="99" t="n">
        <v>7</v>
      </c>
      <c r="D121" s="145" t="s">
        <v>164</v>
      </c>
      <c r="E121" s="145" t="s">
        <v>159</v>
      </c>
      <c r="F121" s="145" t="s">
        <v>50</v>
      </c>
      <c r="G121" s="93"/>
      <c r="H121" s="93"/>
      <c r="I121" s="92"/>
      <c r="J121" s="93"/>
      <c r="K121" s="93"/>
      <c r="L121" s="93"/>
      <c r="M121" s="94"/>
      <c r="N121" s="95" t="n">
        <v>0.5</v>
      </c>
      <c r="O121" s="95"/>
      <c r="P121" s="96"/>
      <c r="Q121" s="97"/>
      <c r="R121" s="98"/>
    </row>
    <row r="122" customFormat="false" ht="23.1" hidden="false" customHeight="false" outlineLevel="0" collapsed="false">
      <c r="A122" s="88" t="n">
        <f aca="false">+A121+1</f>
        <v>111</v>
      </c>
      <c r="B122" s="140"/>
      <c r="C122" s="99" t="n">
        <v>7</v>
      </c>
      <c r="D122" s="145" t="s">
        <v>164</v>
      </c>
      <c r="E122" s="145" t="s">
        <v>159</v>
      </c>
      <c r="F122" s="145" t="s">
        <v>50</v>
      </c>
      <c r="G122" s="93"/>
      <c r="H122" s="93"/>
      <c r="I122" s="93"/>
      <c r="J122" s="92"/>
      <c r="K122" s="93"/>
      <c r="L122" s="93"/>
      <c r="M122" s="94"/>
      <c r="N122" s="95" t="n">
        <v>1</v>
      </c>
      <c r="O122" s="95"/>
      <c r="P122" s="96"/>
      <c r="Q122" s="97"/>
      <c r="R122" s="98"/>
    </row>
    <row r="123" customFormat="false" ht="23.1" hidden="false" customHeight="false" outlineLevel="0" collapsed="false">
      <c r="A123" s="88" t="n">
        <f aca="false">+A122+1</f>
        <v>112</v>
      </c>
      <c r="B123" s="140"/>
      <c r="C123" s="99" t="n">
        <v>7</v>
      </c>
      <c r="D123" s="145" t="s">
        <v>165</v>
      </c>
      <c r="E123" s="145" t="s">
        <v>159</v>
      </c>
      <c r="F123" s="145" t="s">
        <v>50</v>
      </c>
      <c r="G123" s="92"/>
      <c r="H123" s="93"/>
      <c r="I123" s="93"/>
      <c r="J123" s="93"/>
      <c r="K123" s="93"/>
      <c r="L123" s="93"/>
      <c r="M123" s="94"/>
      <c r="N123" s="95" t="n">
        <v>0.5</v>
      </c>
      <c r="O123" s="95"/>
      <c r="P123" s="96"/>
      <c r="Q123" s="97"/>
      <c r="R123" s="98"/>
    </row>
    <row r="124" customFormat="false" ht="23.1" hidden="false" customHeight="false" outlineLevel="0" collapsed="false">
      <c r="A124" s="88" t="n">
        <f aca="false">+A123+1</f>
        <v>113</v>
      </c>
      <c r="B124" s="140"/>
      <c r="C124" s="99" t="n">
        <v>7</v>
      </c>
      <c r="D124" s="145" t="s">
        <v>165</v>
      </c>
      <c r="E124" s="145" t="s">
        <v>159</v>
      </c>
      <c r="F124" s="145" t="s">
        <v>50</v>
      </c>
      <c r="G124" s="93"/>
      <c r="H124" s="93"/>
      <c r="I124" s="93"/>
      <c r="J124" s="92"/>
      <c r="K124" s="93"/>
      <c r="L124" s="93"/>
      <c r="M124" s="94"/>
      <c r="N124" s="95" t="n">
        <v>1</v>
      </c>
      <c r="O124" s="95"/>
      <c r="P124" s="96"/>
      <c r="Q124" s="97"/>
      <c r="R124" s="98"/>
    </row>
    <row r="125" customFormat="false" ht="23.1" hidden="false" customHeight="false" outlineLevel="0" collapsed="false">
      <c r="A125" s="88" t="n">
        <f aca="false">+A124+1</f>
        <v>114</v>
      </c>
      <c r="B125" s="140"/>
      <c r="C125" s="99" t="n">
        <v>1</v>
      </c>
      <c r="D125" s="145" t="s">
        <v>166</v>
      </c>
      <c r="E125" s="145" t="s">
        <v>159</v>
      </c>
      <c r="F125" s="145" t="s">
        <v>50</v>
      </c>
      <c r="G125" s="92"/>
      <c r="H125" s="93"/>
      <c r="I125" s="93"/>
      <c r="J125" s="93"/>
      <c r="K125" s="93"/>
      <c r="L125" s="93"/>
      <c r="M125" s="94"/>
      <c r="N125" s="95" t="n">
        <v>1</v>
      </c>
      <c r="O125" s="95"/>
      <c r="P125" s="96"/>
      <c r="Q125" s="97"/>
      <c r="R125" s="98"/>
    </row>
    <row r="126" customFormat="false" ht="23.1" hidden="false" customHeight="false" outlineLevel="0" collapsed="false">
      <c r="A126" s="88" t="n">
        <f aca="false">+A125+1</f>
        <v>115</v>
      </c>
      <c r="B126" s="140"/>
      <c r="C126" s="99" t="n">
        <v>2</v>
      </c>
      <c r="D126" s="145" t="s">
        <v>166</v>
      </c>
      <c r="E126" s="145" t="s">
        <v>159</v>
      </c>
      <c r="F126" s="145" t="s">
        <v>50</v>
      </c>
      <c r="G126" s="92"/>
      <c r="H126" s="93"/>
      <c r="I126" s="93"/>
      <c r="J126" s="93"/>
      <c r="K126" s="93"/>
      <c r="L126" s="93"/>
      <c r="M126" s="94"/>
      <c r="N126" s="95" t="n">
        <v>1</v>
      </c>
      <c r="O126" s="95"/>
      <c r="P126" s="96"/>
      <c r="Q126" s="97"/>
      <c r="R126" s="98"/>
    </row>
    <row r="127" customFormat="false" ht="23.1" hidden="false" customHeight="false" outlineLevel="0" collapsed="false">
      <c r="A127" s="88" t="n">
        <f aca="false">+A126+1</f>
        <v>116</v>
      </c>
      <c r="B127" s="140"/>
      <c r="C127" s="99" t="n">
        <v>3</v>
      </c>
      <c r="D127" s="145" t="s">
        <v>166</v>
      </c>
      <c r="E127" s="145" t="s">
        <v>159</v>
      </c>
      <c r="F127" s="145" t="s">
        <v>50</v>
      </c>
      <c r="G127" s="93"/>
      <c r="H127" s="92"/>
      <c r="I127" s="93"/>
      <c r="J127" s="93"/>
      <c r="K127" s="93"/>
      <c r="L127" s="93"/>
      <c r="M127" s="94"/>
      <c r="N127" s="95" t="n">
        <v>1</v>
      </c>
      <c r="O127" s="95"/>
      <c r="P127" s="96"/>
      <c r="Q127" s="97"/>
      <c r="R127" s="98"/>
    </row>
    <row r="128" customFormat="false" ht="23.1" hidden="false" customHeight="false" outlineLevel="0" collapsed="false">
      <c r="A128" s="88" t="n">
        <f aca="false">+A127+1</f>
        <v>117</v>
      </c>
      <c r="B128" s="140"/>
      <c r="C128" s="99" t="n">
        <v>5</v>
      </c>
      <c r="D128" s="145" t="s">
        <v>166</v>
      </c>
      <c r="E128" s="145" t="s">
        <v>159</v>
      </c>
      <c r="F128" s="145" t="s">
        <v>50</v>
      </c>
      <c r="G128" s="93"/>
      <c r="H128" s="93"/>
      <c r="I128" s="92"/>
      <c r="J128" s="93"/>
      <c r="K128" s="93"/>
      <c r="L128" s="93"/>
      <c r="M128" s="94"/>
      <c r="N128" s="95" t="n">
        <v>1</v>
      </c>
      <c r="O128" s="95"/>
      <c r="P128" s="96"/>
      <c r="Q128" s="97"/>
      <c r="R128" s="98"/>
    </row>
    <row r="129" customFormat="false" ht="23.1" hidden="false" customHeight="false" outlineLevel="0" collapsed="false">
      <c r="A129" s="88" t="n">
        <f aca="false">+A128+1</f>
        <v>118</v>
      </c>
      <c r="B129" s="140"/>
      <c r="C129" s="99" t="n">
        <v>4</v>
      </c>
      <c r="D129" s="145" t="s">
        <v>166</v>
      </c>
      <c r="E129" s="145" t="s">
        <v>159</v>
      </c>
      <c r="F129" s="145" t="s">
        <v>50</v>
      </c>
      <c r="G129" s="93"/>
      <c r="H129" s="93"/>
      <c r="I129" s="93"/>
      <c r="J129" s="92"/>
      <c r="K129" s="93"/>
      <c r="L129" s="93"/>
      <c r="M129" s="94"/>
      <c r="N129" s="95" t="n">
        <v>1</v>
      </c>
      <c r="O129" s="95"/>
      <c r="P129" s="96"/>
      <c r="Q129" s="97"/>
      <c r="R129" s="98"/>
    </row>
    <row r="130" customFormat="false" ht="23.1" hidden="false" customHeight="false" outlineLevel="0" collapsed="false">
      <c r="A130" s="88" t="n">
        <f aca="false">+A129+1</f>
        <v>119</v>
      </c>
      <c r="B130" s="140"/>
      <c r="C130" s="99" t="n">
        <v>7</v>
      </c>
      <c r="D130" s="145" t="s">
        <v>166</v>
      </c>
      <c r="E130" s="145" t="s">
        <v>159</v>
      </c>
      <c r="F130" s="145" t="s">
        <v>50</v>
      </c>
      <c r="G130" s="93"/>
      <c r="H130" s="93"/>
      <c r="I130" s="93"/>
      <c r="J130" s="93"/>
      <c r="K130" s="92"/>
      <c r="L130" s="93"/>
      <c r="M130" s="94"/>
      <c r="N130" s="95" t="n">
        <v>1</v>
      </c>
      <c r="O130" s="95"/>
      <c r="P130" s="96"/>
      <c r="Q130" s="97"/>
      <c r="R130" s="98"/>
    </row>
    <row r="131" customFormat="false" ht="23.1" hidden="false" customHeight="false" outlineLevel="0" collapsed="false">
      <c r="A131" s="88" t="n">
        <f aca="false">+A130+1</f>
        <v>120</v>
      </c>
      <c r="B131" s="140"/>
      <c r="C131" s="99" t="n">
        <v>6</v>
      </c>
      <c r="D131" s="145" t="s">
        <v>166</v>
      </c>
      <c r="E131" s="145" t="s">
        <v>159</v>
      </c>
      <c r="F131" s="145" t="s">
        <v>50</v>
      </c>
      <c r="G131" s="93"/>
      <c r="H131" s="92"/>
      <c r="I131" s="93"/>
      <c r="J131" s="93"/>
      <c r="K131" s="93"/>
      <c r="L131" s="93"/>
      <c r="M131" s="94"/>
      <c r="N131" s="95" t="n">
        <v>0.33</v>
      </c>
      <c r="O131" s="95"/>
      <c r="P131" s="96"/>
      <c r="Q131" s="97"/>
      <c r="R131" s="98"/>
    </row>
    <row r="132" customFormat="false" ht="23.1" hidden="false" customHeight="false" outlineLevel="0" collapsed="false">
      <c r="A132" s="88" t="n">
        <f aca="false">+A131+1</f>
        <v>121</v>
      </c>
      <c r="B132" s="140"/>
      <c r="C132" s="99" t="n">
        <v>6</v>
      </c>
      <c r="D132" s="145" t="s">
        <v>166</v>
      </c>
      <c r="E132" s="145" t="s">
        <v>159</v>
      </c>
      <c r="F132" s="145" t="s">
        <v>50</v>
      </c>
      <c r="G132" s="93"/>
      <c r="H132" s="93"/>
      <c r="I132" s="92"/>
      <c r="J132" s="93"/>
      <c r="K132" s="93"/>
      <c r="L132" s="93"/>
      <c r="M132" s="94"/>
      <c r="N132" s="95" t="n">
        <v>0.66</v>
      </c>
      <c r="O132" s="95"/>
      <c r="P132" s="96"/>
      <c r="Q132" s="97"/>
      <c r="R132" s="98"/>
    </row>
    <row r="133" customFormat="false" ht="23.1" hidden="false" customHeight="false" outlineLevel="0" collapsed="false">
      <c r="A133" s="88" t="n">
        <f aca="false">+A132+1</f>
        <v>122</v>
      </c>
      <c r="B133" s="140"/>
      <c r="C133" s="99" t="n">
        <v>6</v>
      </c>
      <c r="D133" s="145" t="s">
        <v>166</v>
      </c>
      <c r="E133" s="145" t="s">
        <v>159</v>
      </c>
      <c r="F133" s="145" t="s">
        <v>50</v>
      </c>
      <c r="G133" s="93"/>
      <c r="H133" s="93"/>
      <c r="I133" s="93"/>
      <c r="J133" s="92"/>
      <c r="K133" s="93"/>
      <c r="L133" s="93"/>
      <c r="M133" s="94"/>
      <c r="N133" s="95" t="n">
        <v>1</v>
      </c>
      <c r="O133" s="95"/>
      <c r="P133" s="96"/>
      <c r="Q133" s="97"/>
      <c r="R133" s="98"/>
    </row>
    <row r="134" customFormat="false" ht="23.1" hidden="false" customHeight="false" outlineLevel="0" collapsed="false">
      <c r="A134" s="88" t="n">
        <f aca="false">+A133+1</f>
        <v>123</v>
      </c>
      <c r="B134" s="140"/>
      <c r="C134" s="99" t="n">
        <v>7</v>
      </c>
      <c r="D134" s="145" t="s">
        <v>167</v>
      </c>
      <c r="E134" s="145" t="s">
        <v>159</v>
      </c>
      <c r="F134" s="145" t="s">
        <v>50</v>
      </c>
      <c r="G134" s="92"/>
      <c r="H134" s="93"/>
      <c r="I134" s="93"/>
      <c r="J134" s="93"/>
      <c r="K134" s="93"/>
      <c r="L134" s="93"/>
      <c r="M134" s="94"/>
      <c r="N134" s="95" t="n">
        <v>1</v>
      </c>
      <c r="O134" s="95"/>
      <c r="P134" s="96"/>
      <c r="Q134" s="97"/>
      <c r="R134" s="98"/>
    </row>
    <row r="135" customFormat="false" ht="23.1" hidden="false" customHeight="false" outlineLevel="0" collapsed="false">
      <c r="A135" s="88" t="n">
        <f aca="false">+A134+1</f>
        <v>124</v>
      </c>
      <c r="B135" s="140"/>
      <c r="C135" s="99" t="n">
        <v>7</v>
      </c>
      <c r="D135" s="145" t="s">
        <v>168</v>
      </c>
      <c r="E135" s="145" t="s">
        <v>159</v>
      </c>
      <c r="F135" s="145" t="s">
        <v>50</v>
      </c>
      <c r="G135" s="93"/>
      <c r="H135" s="93"/>
      <c r="I135" s="93"/>
      <c r="J135" s="92"/>
      <c r="K135" s="93"/>
      <c r="L135" s="93"/>
      <c r="M135" s="94"/>
      <c r="N135" s="95" t="n">
        <v>1</v>
      </c>
      <c r="O135" s="95"/>
      <c r="P135" s="96"/>
      <c r="Q135" s="97"/>
      <c r="R135" s="98"/>
    </row>
    <row r="136" customFormat="false" ht="20" hidden="false" customHeight="false" outlineLevel="0" collapsed="false">
      <c r="A136" s="45"/>
      <c r="B136" s="45"/>
      <c r="C136" s="45"/>
      <c r="D136" s="146"/>
      <c r="E136" s="146"/>
      <c r="F136" s="146"/>
      <c r="G136" s="146"/>
      <c r="H136" s="146"/>
      <c r="I136" s="146"/>
      <c r="J136" s="146"/>
      <c r="K136" s="146"/>
      <c r="L136" s="146"/>
      <c r="M136" s="146"/>
      <c r="N136" s="147"/>
      <c r="O136" s="147"/>
      <c r="Q136" s="146"/>
      <c r="R136" s="146"/>
    </row>
    <row r="137" s="148" customFormat="true" ht="18.65" hidden="false" customHeight="true" outlineLevel="0" collapsed="false">
      <c r="D137" s="149"/>
      <c r="E137" s="149"/>
      <c r="F137" s="149"/>
      <c r="N137" s="150" t="s">
        <v>169</v>
      </c>
      <c r="O137" s="151"/>
      <c r="P137" s="152" t="n">
        <f aca="false">COUNTA(N12:N135)</f>
        <v>124</v>
      </c>
      <c r="Q137" s="149"/>
      <c r="R137" s="149"/>
    </row>
    <row r="138" s="148" customFormat="true" ht="18.65" hidden="false" customHeight="true" outlineLevel="0" collapsed="false">
      <c r="D138" s="57"/>
      <c r="E138" s="149"/>
      <c r="F138" s="149"/>
      <c r="N138" s="150" t="s">
        <v>170</v>
      </c>
      <c r="O138" s="151"/>
      <c r="P138" s="152" t="n">
        <f aca="false">SUM(P12:P135)</f>
        <v>0</v>
      </c>
      <c r="Q138" s="149"/>
      <c r="R138" s="149" t="s">
        <v>96</v>
      </c>
    </row>
    <row r="139" s="148" customFormat="true" ht="18.65" hidden="false" customHeight="true" outlineLevel="0" collapsed="false">
      <c r="D139" s="57"/>
      <c r="E139" s="149"/>
      <c r="F139" s="149"/>
      <c r="N139" s="150" t="s">
        <v>171</v>
      </c>
      <c r="O139" s="151"/>
      <c r="P139" s="153" t="n">
        <f aca="false">+P138/P137</f>
        <v>0</v>
      </c>
      <c r="Q139" s="149"/>
      <c r="R139" s="149"/>
    </row>
    <row r="140" customFormat="false" ht="18.65" hidden="false" customHeight="true" outlineLevel="0" collapsed="false">
      <c r="A140" s="148"/>
      <c r="D140" s="70"/>
      <c r="N140" s="150" t="s">
        <v>172</v>
      </c>
      <c r="O140" s="151"/>
      <c r="P140" s="153" t="n">
        <v>0.8</v>
      </c>
    </row>
    <row r="141" customFormat="false" ht="20" hidden="false" customHeight="false" outlineLevel="0" collapsed="false">
      <c r="A141" s="148"/>
      <c r="D141" s="70" t="s">
        <v>173</v>
      </c>
      <c r="E141" s="70"/>
      <c r="F141" s="70"/>
      <c r="G141" s="70"/>
      <c r="H141" s="70"/>
      <c r="I141" s="70"/>
      <c r="J141" s="70"/>
      <c r="K141" s="70"/>
    </row>
    <row r="142" customFormat="false" ht="20" hidden="false" customHeight="false" outlineLevel="0" collapsed="false">
      <c r="A142" s="148"/>
    </row>
    <row r="143" s="148" customFormat="true" ht="22.5" hidden="false" customHeight="true" outlineLevel="0" collapsed="false">
      <c r="B143" s="154" t="s">
        <v>99</v>
      </c>
      <c r="C143" s="155"/>
      <c r="D143" s="156" t="s">
        <v>113</v>
      </c>
      <c r="E143" s="156" t="s">
        <v>78</v>
      </c>
      <c r="F143" s="156"/>
      <c r="G143" s="156" t="s">
        <v>174</v>
      </c>
      <c r="H143" s="156"/>
      <c r="I143" s="156"/>
      <c r="J143" s="156"/>
      <c r="K143" s="156"/>
      <c r="L143" s="156"/>
      <c r="M143" s="156" t="s">
        <v>79</v>
      </c>
      <c r="N143" s="156"/>
      <c r="O143" s="157" t="s">
        <v>175</v>
      </c>
      <c r="P143" s="157"/>
      <c r="Q143" s="157"/>
      <c r="R143" s="157"/>
    </row>
    <row r="144" s="148" customFormat="true" ht="22.5" hidden="false" customHeight="true" outlineLevel="0" collapsed="false">
      <c r="B144" s="136" t="n">
        <v>1</v>
      </c>
      <c r="C144" s="136"/>
      <c r="D144" s="136" t="str">
        <f aca="false">+T2</f>
        <v>Falta o Falla de Equipos</v>
      </c>
      <c r="E144" s="136" t="n">
        <f aca="false">+U2</f>
        <v>0</v>
      </c>
      <c r="F144" s="136"/>
      <c r="G144" s="158" t="e">
        <f aca="false">+M144</f>
        <v>#DIV/0!</v>
      </c>
      <c r="H144" s="158"/>
      <c r="I144" s="158"/>
      <c r="J144" s="158"/>
      <c r="K144" s="158"/>
      <c r="L144" s="158"/>
      <c r="M144" s="159" t="e">
        <f aca="false">+E144/$E$153</f>
        <v>#DIV/0!</v>
      </c>
      <c r="N144" s="159"/>
      <c r="O144" s="160"/>
      <c r="P144" s="161"/>
      <c r="Q144" s="161"/>
      <c r="R144" s="162"/>
    </row>
    <row r="145" s="148" customFormat="true" ht="22.5" hidden="false" customHeight="true" outlineLevel="0" collapsed="false">
      <c r="B145" s="96" t="n">
        <v>2</v>
      </c>
      <c r="C145" s="96"/>
      <c r="D145" s="96" t="str">
        <f aca="false">+T3</f>
        <v>Falta Mano de Obra</v>
      </c>
      <c r="E145" s="136" t="n">
        <f aca="false">+U3</f>
        <v>0</v>
      </c>
      <c r="F145" s="136"/>
      <c r="G145" s="163" t="e">
        <f aca="false">+G144+M145</f>
        <v>#DIV/0!</v>
      </c>
      <c r="H145" s="163"/>
      <c r="I145" s="163"/>
      <c r="J145" s="163"/>
      <c r="K145" s="163"/>
      <c r="L145" s="163"/>
      <c r="M145" s="164" t="e">
        <f aca="false">+E145/$E$153</f>
        <v>#DIV/0!</v>
      </c>
      <c r="N145" s="164"/>
      <c r="O145" s="165"/>
      <c r="P145" s="166"/>
      <c r="Q145" s="166"/>
      <c r="R145" s="167"/>
    </row>
    <row r="146" s="148" customFormat="true" ht="22.5" hidden="false" customHeight="true" outlineLevel="0" collapsed="false">
      <c r="B146" s="96" t="n">
        <v>3</v>
      </c>
      <c r="C146" s="96"/>
      <c r="D146" s="96" t="str">
        <f aca="false">+T4</f>
        <v>Falta de Materiales</v>
      </c>
      <c r="E146" s="136" t="n">
        <f aca="false">+U4</f>
        <v>0</v>
      </c>
      <c r="F146" s="136"/>
      <c r="G146" s="163" t="e">
        <f aca="false">+G145+M146</f>
        <v>#DIV/0!</v>
      </c>
      <c r="H146" s="163"/>
      <c r="I146" s="163"/>
      <c r="J146" s="163"/>
      <c r="K146" s="163"/>
      <c r="L146" s="163"/>
      <c r="M146" s="164" t="e">
        <f aca="false">+E146/$E$153</f>
        <v>#DIV/0!</v>
      </c>
      <c r="N146" s="164"/>
      <c r="O146" s="165"/>
      <c r="P146" s="166"/>
      <c r="Q146" s="166"/>
      <c r="R146" s="167"/>
    </row>
    <row r="147" s="148" customFormat="true" ht="22.5" hidden="false" customHeight="true" outlineLevel="0" collapsed="false">
      <c r="B147" s="96" t="n">
        <v>4</v>
      </c>
      <c r="C147" s="96"/>
      <c r="D147" s="96" t="str">
        <f aca="false">+T5</f>
        <v>Falla de Subcontratistas</v>
      </c>
      <c r="E147" s="136" t="n">
        <f aca="false">+U5</f>
        <v>0</v>
      </c>
      <c r="F147" s="136"/>
      <c r="G147" s="163" t="e">
        <f aca="false">+G146+M147</f>
        <v>#DIV/0!</v>
      </c>
      <c r="H147" s="163"/>
      <c r="I147" s="163"/>
      <c r="J147" s="163"/>
      <c r="K147" s="163"/>
      <c r="L147" s="163"/>
      <c r="M147" s="164" t="e">
        <f aca="false">+E147/$E$153</f>
        <v>#DIV/0!</v>
      </c>
      <c r="N147" s="164"/>
      <c r="O147" s="165"/>
      <c r="P147" s="166"/>
      <c r="Q147" s="166"/>
      <c r="R147" s="167"/>
    </row>
    <row r="148" s="148" customFormat="true" ht="22.5" hidden="false" customHeight="true" outlineLevel="0" collapsed="false">
      <c r="B148" s="96" t="n">
        <v>5</v>
      </c>
      <c r="C148" s="96"/>
      <c r="D148" s="96" t="str">
        <f aca="false">+T6</f>
        <v>Eventos no programables (clima, despachos, etc.)</v>
      </c>
      <c r="E148" s="136" t="n">
        <f aca="false">+U6</f>
        <v>0</v>
      </c>
      <c r="F148" s="136"/>
      <c r="G148" s="163" t="e">
        <f aca="false">+G147+M148</f>
        <v>#DIV/0!</v>
      </c>
      <c r="H148" s="163"/>
      <c r="I148" s="163"/>
      <c r="J148" s="163"/>
      <c r="K148" s="163"/>
      <c r="L148" s="163"/>
      <c r="M148" s="164" t="e">
        <f aca="false">+E148/$E$153</f>
        <v>#DIV/0!</v>
      </c>
      <c r="N148" s="164"/>
      <c r="O148" s="165"/>
      <c r="P148" s="166"/>
      <c r="Q148" s="166"/>
      <c r="R148" s="167"/>
    </row>
    <row r="149" s="148" customFormat="true" ht="22.5" hidden="false" customHeight="true" outlineLevel="0" collapsed="false">
      <c r="B149" s="96" t="n">
        <v>6</v>
      </c>
      <c r="C149" s="96"/>
      <c r="D149" s="96" t="str">
        <f aca="false">+T7</f>
        <v>Falla de Programación</v>
      </c>
      <c r="E149" s="136" t="n">
        <f aca="false">+U7</f>
        <v>0</v>
      </c>
      <c r="F149" s="136"/>
      <c r="G149" s="163" t="e">
        <f aca="false">+G148+M149</f>
        <v>#DIV/0!</v>
      </c>
      <c r="H149" s="163"/>
      <c r="I149" s="163"/>
      <c r="J149" s="163"/>
      <c r="K149" s="163"/>
      <c r="L149" s="163"/>
      <c r="M149" s="164" t="e">
        <f aca="false">+E149/$E$153</f>
        <v>#DIV/0!</v>
      </c>
      <c r="N149" s="164"/>
      <c r="O149" s="165" t="s">
        <v>96</v>
      </c>
      <c r="P149" s="166"/>
      <c r="Q149" s="166"/>
      <c r="R149" s="167"/>
    </row>
    <row r="150" s="148" customFormat="true" ht="22.5" hidden="false" customHeight="true" outlineLevel="0" collapsed="false">
      <c r="B150" s="96" t="n">
        <v>7</v>
      </c>
      <c r="C150" s="96"/>
      <c r="D150" s="96" t="str">
        <f aca="false">+T8</f>
        <v>Cambio de Activ. Por el JT o AO</v>
      </c>
      <c r="E150" s="136" t="n">
        <f aca="false">+U8</f>
        <v>0</v>
      </c>
      <c r="F150" s="136"/>
      <c r="G150" s="163" t="e">
        <f aca="false">+G149+M150</f>
        <v>#DIV/0!</v>
      </c>
      <c r="H150" s="163"/>
      <c r="I150" s="163"/>
      <c r="J150" s="163"/>
      <c r="K150" s="163"/>
      <c r="L150" s="163"/>
      <c r="M150" s="164" t="e">
        <f aca="false">+E150/$E$153</f>
        <v>#DIV/0!</v>
      </c>
      <c r="N150" s="164"/>
      <c r="O150" s="165"/>
      <c r="P150" s="166"/>
      <c r="Q150" s="166"/>
      <c r="R150" s="167"/>
    </row>
    <row r="151" s="148" customFormat="true" ht="22.5" hidden="false" customHeight="true" outlineLevel="0" collapsed="false">
      <c r="B151" s="96" t="n">
        <v>8</v>
      </c>
      <c r="C151" s="96"/>
      <c r="D151" s="96" t="str">
        <f aca="false">+T9</f>
        <v>Indefinición de Proyecto o Diseño</v>
      </c>
      <c r="E151" s="136" t="n">
        <f aca="false">+U9</f>
        <v>0</v>
      </c>
      <c r="F151" s="136"/>
      <c r="G151" s="163" t="e">
        <f aca="false">+G150+M151</f>
        <v>#DIV/0!</v>
      </c>
      <c r="H151" s="163"/>
      <c r="I151" s="163"/>
      <c r="J151" s="163"/>
      <c r="K151" s="163"/>
      <c r="L151" s="163"/>
      <c r="M151" s="164" t="e">
        <f aca="false">+E151/$E$153</f>
        <v>#DIV/0!</v>
      </c>
      <c r="N151" s="164"/>
      <c r="O151" s="165"/>
      <c r="P151" s="166"/>
      <c r="Q151" s="166"/>
      <c r="R151" s="167"/>
    </row>
    <row r="152" s="148" customFormat="true" ht="22.5" hidden="false" customHeight="true" outlineLevel="0" collapsed="false">
      <c r="B152" s="96" t="n">
        <v>9</v>
      </c>
      <c r="C152" s="96"/>
      <c r="D152" s="96" t="str">
        <f aca="false">+T10</f>
        <v>Mala Ejecucion</v>
      </c>
      <c r="E152" s="136" t="n">
        <f aca="false">+U10</f>
        <v>0</v>
      </c>
      <c r="F152" s="136"/>
      <c r="G152" s="163" t="e">
        <f aca="false">+G151+M152</f>
        <v>#DIV/0!</v>
      </c>
      <c r="H152" s="163"/>
      <c r="I152" s="163"/>
      <c r="J152" s="163"/>
      <c r="K152" s="163"/>
      <c r="L152" s="163"/>
      <c r="M152" s="164" t="e">
        <f aca="false">+E152/$E$153</f>
        <v>#DIV/0!</v>
      </c>
      <c r="N152" s="164"/>
      <c r="O152" s="165"/>
      <c r="P152" s="166"/>
      <c r="Q152" s="166"/>
      <c r="R152" s="167"/>
    </row>
    <row r="153" s="45" customFormat="true" ht="15" hidden="false" customHeight="true" outlineLevel="0" collapsed="false">
      <c r="B153" s="44"/>
      <c r="C153" s="44"/>
      <c r="E153" s="149" t="n">
        <f aca="false">SUM(E144:E152)</f>
        <v>0</v>
      </c>
      <c r="F153" s="149"/>
      <c r="G153" s="168"/>
      <c r="H153" s="168"/>
      <c r="I153" s="168"/>
      <c r="J153" s="168"/>
      <c r="K153" s="168"/>
      <c r="L153" s="168"/>
      <c r="M153" s="44"/>
    </row>
  </sheetData>
  <mergeCells count="49">
    <mergeCell ref="N2:O2"/>
    <mergeCell ref="P2:R2"/>
    <mergeCell ref="B3:G4"/>
    <mergeCell ref="H3:J4"/>
    <mergeCell ref="N3:O3"/>
    <mergeCell ref="P3:R3"/>
    <mergeCell ref="N4:O4"/>
    <mergeCell ref="P4:R4"/>
    <mergeCell ref="N5:O5"/>
    <mergeCell ref="P5:R5"/>
    <mergeCell ref="B8:B9"/>
    <mergeCell ref="G8:I8"/>
    <mergeCell ref="J8:M8"/>
    <mergeCell ref="N8:P8"/>
    <mergeCell ref="G9:M9"/>
    <mergeCell ref="A10:A11"/>
    <mergeCell ref="C10:C11"/>
    <mergeCell ref="D10:D11"/>
    <mergeCell ref="E10:E11"/>
    <mergeCell ref="F10:F11"/>
    <mergeCell ref="N10:O10"/>
    <mergeCell ref="P10:P11"/>
    <mergeCell ref="Q10:Q11"/>
    <mergeCell ref="R10:R11"/>
    <mergeCell ref="B12:B57"/>
    <mergeCell ref="B58:B66"/>
    <mergeCell ref="B67:B72"/>
    <mergeCell ref="B73:B135"/>
    <mergeCell ref="G143:L143"/>
    <mergeCell ref="M143:N143"/>
    <mergeCell ref="O143:R143"/>
    <mergeCell ref="G144:L144"/>
    <mergeCell ref="M144:N144"/>
    <mergeCell ref="G145:L145"/>
    <mergeCell ref="M145:N145"/>
    <mergeCell ref="G146:L146"/>
    <mergeCell ref="M146:N146"/>
    <mergeCell ref="G147:L147"/>
    <mergeCell ref="M147:N147"/>
    <mergeCell ref="G148:L148"/>
    <mergeCell ref="M148:N148"/>
    <mergeCell ref="G149:L149"/>
    <mergeCell ref="M149:N149"/>
    <mergeCell ref="G150:L150"/>
    <mergeCell ref="M150:N150"/>
    <mergeCell ref="G151:L151"/>
    <mergeCell ref="M151:N151"/>
    <mergeCell ref="G152:L152"/>
    <mergeCell ref="M152:N152"/>
  </mergeCells>
  <dataValidations count="1">
    <dataValidation allowBlank="true" errorStyle="stop" operator="between" showDropDown="false" showErrorMessage="true" showInputMessage="true" sqref="Q12:Q135" type="list">
      <formula1>#REF!</formula1>
      <formula2>0</formula2>
    </dataValidation>
  </dataValidations>
  <printOptions headings="false" gridLines="false" gridLinesSet="true" horizontalCentered="true" verticalCentered="false"/>
  <pageMargins left="0.236111111111111" right="0.236111111111111" top="0.747916666666667" bottom="0.74791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true"/>
  </sheetPr>
  <dimension ref="A1:AB757"/>
  <sheetViews>
    <sheetView showFormulas="false" showGridLines="true" showRowColHeaders="true" showZeros="true" rightToLeft="false" tabSelected="false" showOutlineSymbols="true" defaultGridColor="true" view="normal" topLeftCell="A6" colorId="64" zoomScale="70" zoomScaleNormal="70" zoomScalePageLayoutView="100" workbookViewId="0">
      <selection pane="topLeft" activeCell="Q10" activeCellId="0" sqref="Q10"/>
    </sheetView>
  </sheetViews>
  <sheetFormatPr defaultColWidth="14.453125" defaultRowHeight="15" zeroHeight="false" outlineLevelRow="0" outlineLevelCol="0"/>
  <cols>
    <col collapsed="false" customWidth="true" hidden="false" outlineLevel="0" max="1" min="1" style="169" width="6"/>
    <col collapsed="false" customWidth="true" hidden="false" outlineLevel="0" max="2" min="2" style="169" width="19.73"/>
    <col collapsed="false" customWidth="true" hidden="false" outlineLevel="0" max="3" min="3" style="169" width="24"/>
    <col collapsed="false" customWidth="true" hidden="false" outlineLevel="0" max="4" min="4" style="169" width="28.45"/>
    <col collapsed="false" customWidth="true" hidden="false" outlineLevel="0" max="5" min="5" style="169" width="36.82"/>
    <col collapsed="false" customWidth="true" hidden="false" outlineLevel="0" max="6" min="6" style="169" width="24.54"/>
    <col collapsed="false" customWidth="true" hidden="false" outlineLevel="0" max="7" min="7" style="169" width="46.27"/>
    <col collapsed="false" customWidth="true" hidden="false" outlineLevel="0" max="8" min="8" style="169" width="19.27"/>
    <col collapsed="false" customWidth="true" hidden="false" outlineLevel="0" max="9" min="9" style="169" width="19.54"/>
    <col collapsed="false" customWidth="true" hidden="false" outlineLevel="0" max="10" min="10" style="169" width="25.82"/>
    <col collapsed="false" customWidth="true" hidden="false" outlineLevel="0" max="11" min="11" style="169" width="20"/>
    <col collapsed="false" customWidth="true" hidden="false" outlineLevel="0" max="12" min="12" style="169" width="16.54"/>
    <col collapsed="false" customWidth="true" hidden="false" outlineLevel="0" max="28" min="13" style="169" width="10.54"/>
    <col collapsed="false" customWidth="false" hidden="false" outlineLevel="0" max="16384" min="29" style="169" width="14.45"/>
  </cols>
  <sheetData>
    <row r="1" customFormat="false" ht="15" hidden="false" customHeight="false" outlineLevel="0" collapsed="false">
      <c r="A1" s="170"/>
      <c r="B1" s="171"/>
      <c r="E1" s="170"/>
      <c r="F1" s="170"/>
      <c r="G1" s="170"/>
      <c r="H1" s="170"/>
      <c r="I1" s="170"/>
      <c r="J1" s="170"/>
      <c r="K1" s="170"/>
      <c r="L1" s="170"/>
    </row>
    <row r="2" customFormat="false" ht="15" hidden="false" customHeight="false" outlineLevel="0" collapsed="false">
      <c r="A2" s="170"/>
      <c r="E2" s="172"/>
      <c r="J2" s="170"/>
      <c r="K2" s="170"/>
      <c r="L2" s="170"/>
    </row>
    <row r="3" customFormat="false" ht="15" hidden="false" customHeight="false" outlineLevel="0" collapsed="false">
      <c r="A3" s="170"/>
      <c r="E3" s="173"/>
      <c r="J3" s="170"/>
      <c r="K3" s="170"/>
      <c r="L3" s="170"/>
    </row>
    <row r="4" customFormat="false" ht="15" hidden="false" customHeight="false" outlineLevel="0" collapsed="false">
      <c r="A4" s="170"/>
      <c r="E4" s="170"/>
      <c r="F4" s="170"/>
      <c r="G4" s="170"/>
      <c r="H4" s="170"/>
      <c r="I4" s="170"/>
      <c r="J4" s="170"/>
      <c r="K4" s="170"/>
      <c r="L4" s="170"/>
    </row>
    <row r="5" customFormat="false" ht="15" hidden="false" customHeight="false" outlineLevel="0" collapsed="false">
      <c r="A5" s="170"/>
      <c r="B5" s="170"/>
      <c r="C5" s="170"/>
      <c r="E5" s="170"/>
      <c r="F5" s="170"/>
      <c r="G5" s="170"/>
      <c r="H5" s="170"/>
      <c r="I5" s="170"/>
      <c r="J5" s="170"/>
      <c r="K5" s="170"/>
      <c r="L5" s="170"/>
    </row>
    <row r="6" customFormat="false" ht="22.05" hidden="false" customHeight="false" outlineLevel="0" collapsed="false">
      <c r="A6" s="170"/>
      <c r="B6" s="174" t="s">
        <v>176</v>
      </c>
      <c r="C6" s="174"/>
      <c r="D6" s="174"/>
      <c r="E6" s="174"/>
      <c r="F6" s="174"/>
      <c r="G6" s="174"/>
      <c r="H6" s="174"/>
      <c r="I6" s="174"/>
      <c r="J6" s="174"/>
      <c r="K6" s="174"/>
      <c r="L6" s="174"/>
    </row>
    <row r="7" customFormat="false" ht="17.35" hidden="false" customHeight="false" outlineLevel="0" collapsed="false">
      <c r="A7" s="175"/>
      <c r="B7" s="176"/>
      <c r="C7" s="176"/>
      <c r="D7" s="176"/>
      <c r="E7" s="170"/>
      <c r="F7" s="170"/>
      <c r="G7" s="170"/>
      <c r="H7" s="170"/>
      <c r="I7" s="170"/>
      <c r="J7" s="170"/>
      <c r="K7" s="170"/>
      <c r="L7" s="170"/>
    </row>
    <row r="8" customFormat="false" ht="28.35" hidden="false" customHeight="false" outlineLevel="0" collapsed="false">
      <c r="A8" s="170"/>
      <c r="B8" s="177" t="s">
        <v>101</v>
      </c>
      <c r="C8" s="178" t="s">
        <v>177</v>
      </c>
      <c r="D8" s="177" t="s">
        <v>100</v>
      </c>
      <c r="E8" s="177" t="s">
        <v>178</v>
      </c>
      <c r="F8" s="177" t="s">
        <v>179</v>
      </c>
      <c r="G8" s="177" t="s">
        <v>180</v>
      </c>
      <c r="H8" s="177" t="s">
        <v>181</v>
      </c>
      <c r="I8" s="177" t="s">
        <v>76</v>
      </c>
      <c r="J8" s="178" t="s">
        <v>182</v>
      </c>
      <c r="K8" s="178" t="s">
        <v>183</v>
      </c>
      <c r="L8" s="177" t="s">
        <v>184</v>
      </c>
    </row>
    <row r="9" customFormat="false" ht="36.65" hidden="false" customHeight="true" outlineLevel="0" collapsed="false">
      <c r="A9" s="170"/>
      <c r="B9" s="179" t="s">
        <v>185</v>
      </c>
      <c r="C9" s="180" t="n">
        <v>45863</v>
      </c>
      <c r="D9" s="179" t="s">
        <v>144</v>
      </c>
      <c r="E9" s="181" t="s">
        <v>186</v>
      </c>
      <c r="F9" s="179" t="s">
        <v>187</v>
      </c>
      <c r="G9" s="181" t="s">
        <v>188</v>
      </c>
      <c r="H9" s="181" t="s">
        <v>189</v>
      </c>
      <c r="I9" s="181" t="s">
        <v>55</v>
      </c>
      <c r="J9" s="180" t="n">
        <v>45864</v>
      </c>
      <c r="K9" s="182"/>
      <c r="L9" s="20"/>
    </row>
    <row r="10" customFormat="false" ht="36.65" hidden="false" customHeight="true" outlineLevel="0" collapsed="false">
      <c r="A10" s="170"/>
      <c r="B10" s="179" t="s">
        <v>190</v>
      </c>
      <c r="C10" s="180" t="n">
        <v>45863</v>
      </c>
      <c r="D10" s="179" t="s">
        <v>191</v>
      </c>
      <c r="E10" s="181" t="s">
        <v>192</v>
      </c>
      <c r="F10" s="179" t="s">
        <v>193</v>
      </c>
      <c r="G10" s="181" t="s">
        <v>194</v>
      </c>
      <c r="H10" s="181" t="s">
        <v>189</v>
      </c>
      <c r="I10" s="181" t="s">
        <v>20</v>
      </c>
      <c r="J10" s="180" t="n">
        <v>45866</v>
      </c>
      <c r="K10" s="182"/>
      <c r="L10" s="20"/>
    </row>
    <row r="11" customFormat="false" ht="36.65" hidden="false" customHeight="true" outlineLevel="0" collapsed="false">
      <c r="A11" s="170"/>
      <c r="B11" s="179" t="s">
        <v>195</v>
      </c>
      <c r="C11" s="180" t="n">
        <v>45985</v>
      </c>
      <c r="D11" s="179" t="s">
        <v>144</v>
      </c>
      <c r="E11" s="181" t="s">
        <v>196</v>
      </c>
      <c r="F11" s="179" t="s">
        <v>197</v>
      </c>
      <c r="G11" s="181" t="s">
        <v>198</v>
      </c>
      <c r="H11" s="181" t="s">
        <v>189</v>
      </c>
      <c r="I11" s="181" t="s">
        <v>26</v>
      </c>
      <c r="J11" s="180" t="n">
        <v>45989</v>
      </c>
      <c r="K11" s="182"/>
      <c r="L11" s="20"/>
    </row>
    <row r="12" customFormat="false" ht="36.65" hidden="false" customHeight="true" outlineLevel="0" collapsed="false">
      <c r="A12" s="170"/>
      <c r="B12" s="179" t="s">
        <v>199</v>
      </c>
      <c r="C12" s="180" t="n">
        <v>45985</v>
      </c>
      <c r="D12" s="179" t="s">
        <v>137</v>
      </c>
      <c r="E12" s="181" t="s">
        <v>200</v>
      </c>
      <c r="F12" s="179" t="s">
        <v>201</v>
      </c>
      <c r="G12" s="181" t="s">
        <v>202</v>
      </c>
      <c r="H12" s="181" t="s">
        <v>189</v>
      </c>
      <c r="I12" s="181" t="s">
        <v>20</v>
      </c>
      <c r="J12" s="180" t="n">
        <v>45988</v>
      </c>
      <c r="K12" s="182"/>
      <c r="L12" s="20"/>
    </row>
    <row r="13" customFormat="false" ht="27" hidden="false" customHeight="true" outlineLevel="0" collapsed="false">
      <c r="A13" s="170"/>
      <c r="B13" s="170"/>
      <c r="C13" s="183"/>
      <c r="D13" s="170"/>
      <c r="E13" s="184"/>
      <c r="F13" s="170"/>
      <c r="G13" s="184"/>
      <c r="H13" s="184"/>
      <c r="I13" s="184"/>
      <c r="J13" s="183"/>
      <c r="K13" s="185"/>
      <c r="L13" s="186"/>
    </row>
    <row r="14" customFormat="false" ht="25" hidden="false" customHeight="true" outlineLevel="0" collapsed="false">
      <c r="A14" s="170"/>
      <c r="B14" s="170"/>
      <c r="C14" s="183"/>
      <c r="D14" s="170"/>
      <c r="E14" s="184"/>
      <c r="F14" s="170"/>
      <c r="G14" s="184"/>
      <c r="H14" s="184"/>
      <c r="I14" s="184"/>
      <c r="J14" s="183"/>
      <c r="K14" s="185"/>
      <c r="L14" s="186"/>
    </row>
    <row r="15" customFormat="false" ht="21.65" hidden="false" customHeight="true" outlineLevel="0" collapsed="false">
      <c r="A15" s="170"/>
      <c r="B15" s="170"/>
      <c r="C15" s="183"/>
      <c r="D15" s="170"/>
      <c r="E15" s="184"/>
      <c r="F15" s="170"/>
      <c r="G15" s="184"/>
      <c r="H15" s="184"/>
      <c r="I15" s="184"/>
      <c r="J15" s="183"/>
      <c r="K15" s="185"/>
      <c r="L15" s="186"/>
    </row>
    <row r="17" customFormat="false" ht="15.75" hidden="false" customHeight="true" outlineLevel="0" collapsed="false">
      <c r="A17" s="170"/>
      <c r="B17" s="170"/>
      <c r="C17" s="170"/>
      <c r="E17" s="170"/>
      <c r="F17" s="170"/>
      <c r="G17" s="170"/>
      <c r="H17" s="170"/>
      <c r="I17" s="170"/>
      <c r="J17" s="170"/>
      <c r="K17" s="170"/>
      <c r="L17" s="170"/>
    </row>
    <row r="18" customFormat="false" ht="28.5" hidden="false" customHeight="true" outlineLevel="0" collapsed="false">
      <c r="A18" s="170"/>
      <c r="B18" s="174" t="s">
        <v>203</v>
      </c>
      <c r="C18" s="174"/>
      <c r="D18" s="174"/>
      <c r="E18" s="174"/>
      <c r="F18" s="174"/>
      <c r="G18" s="174"/>
      <c r="H18" s="174"/>
      <c r="I18" s="174"/>
      <c r="J18" s="174"/>
      <c r="K18" s="174"/>
      <c r="L18" s="174"/>
    </row>
    <row r="19" customFormat="false" ht="15.75" hidden="false" customHeight="true" outlineLevel="0" collapsed="false">
      <c r="A19" s="170"/>
      <c r="B19" s="176"/>
      <c r="C19" s="176"/>
      <c r="D19" s="176"/>
      <c r="E19" s="170"/>
      <c r="F19" s="170"/>
      <c r="G19" s="170"/>
      <c r="H19" s="170"/>
      <c r="I19" s="170"/>
      <c r="J19" s="170"/>
      <c r="K19" s="170"/>
      <c r="L19" s="170"/>
    </row>
    <row r="20" customFormat="false" ht="28.35" hidden="false" customHeight="false" outlineLevel="0" collapsed="false">
      <c r="A20" s="170"/>
      <c r="B20" s="187" t="s">
        <v>101</v>
      </c>
      <c r="C20" s="188" t="s">
        <v>177</v>
      </c>
      <c r="D20" s="189" t="s">
        <v>100</v>
      </c>
      <c r="E20" s="189" t="s">
        <v>178</v>
      </c>
      <c r="F20" s="189" t="s">
        <v>179</v>
      </c>
      <c r="G20" s="189" t="s">
        <v>180</v>
      </c>
      <c r="H20" s="189" t="s">
        <v>181</v>
      </c>
      <c r="I20" s="189" t="s">
        <v>76</v>
      </c>
      <c r="J20" s="188" t="s">
        <v>182</v>
      </c>
      <c r="K20" s="188" t="s">
        <v>183</v>
      </c>
      <c r="L20" s="190" t="s">
        <v>184</v>
      </c>
    </row>
    <row r="21" customFormat="false" ht="28.35" hidden="false" customHeight="false" outlineLevel="0" collapsed="false">
      <c r="A21" s="170" t="n">
        <v>1</v>
      </c>
      <c r="B21" s="179" t="s">
        <v>204</v>
      </c>
      <c r="C21" s="180" t="n">
        <v>45726</v>
      </c>
      <c r="D21" s="179" t="s">
        <v>205</v>
      </c>
      <c r="E21" s="179" t="s">
        <v>206</v>
      </c>
      <c r="F21" s="179" t="s">
        <v>207</v>
      </c>
      <c r="G21" s="181" t="s">
        <v>208</v>
      </c>
      <c r="H21" s="181" t="s">
        <v>189</v>
      </c>
      <c r="I21" s="179" t="s">
        <v>14</v>
      </c>
      <c r="J21" s="182" t="n">
        <v>45726</v>
      </c>
      <c r="K21" s="182" t="n">
        <v>45726</v>
      </c>
      <c r="L21" s="20" t="n">
        <v>1</v>
      </c>
    </row>
    <row r="22" customFormat="false" ht="28.35" hidden="false" customHeight="false" outlineLevel="0" collapsed="false">
      <c r="A22" s="170" t="n">
        <f aca="false">+A21+1</f>
        <v>2</v>
      </c>
      <c r="B22" s="179" t="s">
        <v>209</v>
      </c>
      <c r="C22" s="180" t="n">
        <v>45726</v>
      </c>
      <c r="D22" s="179" t="s">
        <v>205</v>
      </c>
      <c r="E22" s="179" t="s">
        <v>210</v>
      </c>
      <c r="F22" s="179" t="s">
        <v>211</v>
      </c>
      <c r="G22" s="181" t="s">
        <v>212</v>
      </c>
      <c r="H22" s="181" t="s">
        <v>189</v>
      </c>
      <c r="I22" s="179" t="s">
        <v>213</v>
      </c>
      <c r="J22" s="182" t="n">
        <v>45728</v>
      </c>
      <c r="K22" s="182" t="n">
        <v>45730</v>
      </c>
      <c r="L22" s="20" t="n">
        <v>1</v>
      </c>
    </row>
    <row r="23" customFormat="false" ht="28.35" hidden="false" customHeight="false" outlineLevel="0" collapsed="false">
      <c r="A23" s="170" t="n">
        <f aca="false">+A22+1</f>
        <v>3</v>
      </c>
      <c r="B23" s="179" t="s">
        <v>214</v>
      </c>
      <c r="C23" s="180" t="n">
        <v>45726</v>
      </c>
      <c r="D23" s="179" t="s">
        <v>205</v>
      </c>
      <c r="E23" s="179" t="s">
        <v>215</v>
      </c>
      <c r="F23" s="179" t="s">
        <v>216</v>
      </c>
      <c r="G23" s="181" t="s">
        <v>217</v>
      </c>
      <c r="H23" s="181" t="s">
        <v>189</v>
      </c>
      <c r="I23" s="179" t="s">
        <v>218</v>
      </c>
      <c r="J23" s="182" t="n">
        <v>45731</v>
      </c>
      <c r="K23" s="182" t="n">
        <v>45731</v>
      </c>
      <c r="L23" s="20" t="n">
        <v>1</v>
      </c>
    </row>
    <row r="24" customFormat="false" ht="28.35" hidden="false" customHeight="false" outlineLevel="0" collapsed="false">
      <c r="A24" s="170" t="n">
        <f aca="false">+A23+1</f>
        <v>4</v>
      </c>
      <c r="B24" s="179" t="s">
        <v>219</v>
      </c>
      <c r="C24" s="180" t="n">
        <v>45726</v>
      </c>
      <c r="D24" s="179" t="s">
        <v>205</v>
      </c>
      <c r="E24" s="179" t="s">
        <v>220</v>
      </c>
      <c r="F24" s="179" t="s">
        <v>216</v>
      </c>
      <c r="G24" s="181" t="s">
        <v>221</v>
      </c>
      <c r="H24" s="181" t="s">
        <v>189</v>
      </c>
      <c r="I24" s="179" t="s">
        <v>20</v>
      </c>
      <c r="J24" s="182" t="n">
        <v>45726</v>
      </c>
      <c r="K24" s="182" t="s">
        <v>222</v>
      </c>
      <c r="L24" s="20" t="n">
        <v>1</v>
      </c>
    </row>
    <row r="25" customFormat="false" ht="28.35" hidden="false" customHeight="false" outlineLevel="0" collapsed="false">
      <c r="A25" s="170" t="n">
        <f aca="false">+A24+1</f>
        <v>5</v>
      </c>
      <c r="B25" s="179" t="s">
        <v>223</v>
      </c>
      <c r="C25" s="180" t="n">
        <v>45726</v>
      </c>
      <c r="D25" s="179" t="s">
        <v>205</v>
      </c>
      <c r="E25" s="179" t="s">
        <v>210</v>
      </c>
      <c r="F25" s="179" t="s">
        <v>216</v>
      </c>
      <c r="G25" s="181" t="s">
        <v>224</v>
      </c>
      <c r="H25" s="181" t="s">
        <v>189</v>
      </c>
      <c r="I25" s="179" t="s">
        <v>20</v>
      </c>
      <c r="J25" s="182" t="n">
        <v>45726</v>
      </c>
      <c r="K25" s="182" t="n">
        <v>45726</v>
      </c>
      <c r="L25" s="20" t="n">
        <v>1</v>
      </c>
    </row>
    <row r="26" customFormat="false" ht="28.35" hidden="false" customHeight="false" outlineLevel="0" collapsed="false">
      <c r="A26" s="170" t="n">
        <f aca="false">+A25+1</f>
        <v>6</v>
      </c>
      <c r="B26" s="179" t="s">
        <v>225</v>
      </c>
      <c r="C26" s="180" t="n">
        <v>45726</v>
      </c>
      <c r="D26" s="179" t="s">
        <v>205</v>
      </c>
      <c r="E26" s="179" t="s">
        <v>226</v>
      </c>
      <c r="F26" s="179" t="s">
        <v>216</v>
      </c>
      <c r="G26" s="181" t="s">
        <v>227</v>
      </c>
      <c r="H26" s="181" t="s">
        <v>189</v>
      </c>
      <c r="I26" s="179" t="s">
        <v>14</v>
      </c>
      <c r="J26" s="182" t="n">
        <v>45726</v>
      </c>
      <c r="K26" s="182" t="n">
        <v>45727</v>
      </c>
      <c r="L26" s="20" t="n">
        <v>1</v>
      </c>
    </row>
    <row r="27" customFormat="false" ht="28.35" hidden="false" customHeight="false" outlineLevel="0" collapsed="false">
      <c r="A27" s="170" t="n">
        <f aca="false">+A26+1</f>
        <v>7</v>
      </c>
      <c r="B27" s="179" t="s">
        <v>214</v>
      </c>
      <c r="C27" s="180" t="n">
        <v>45726</v>
      </c>
      <c r="D27" s="179" t="s">
        <v>205</v>
      </c>
      <c r="E27" s="179" t="s">
        <v>228</v>
      </c>
      <c r="F27" s="179" t="s">
        <v>229</v>
      </c>
      <c r="G27" s="181" t="s">
        <v>230</v>
      </c>
      <c r="H27" s="181" t="s">
        <v>189</v>
      </c>
      <c r="I27" s="179" t="s">
        <v>231</v>
      </c>
      <c r="J27" s="182" t="n">
        <v>45727</v>
      </c>
      <c r="K27" s="182" t="n">
        <v>45727</v>
      </c>
      <c r="L27" s="20" t="n">
        <v>1</v>
      </c>
    </row>
    <row r="28" customFormat="false" ht="28.35" hidden="false" customHeight="false" outlineLevel="0" collapsed="false">
      <c r="A28" s="170" t="n">
        <f aca="false">+A27+1</f>
        <v>8</v>
      </c>
      <c r="B28" s="179" t="s">
        <v>232</v>
      </c>
      <c r="C28" s="180" t="n">
        <v>45726</v>
      </c>
      <c r="D28" s="179" t="s">
        <v>205</v>
      </c>
      <c r="E28" s="179" t="s">
        <v>226</v>
      </c>
      <c r="F28" s="179" t="s">
        <v>216</v>
      </c>
      <c r="G28" s="181" t="s">
        <v>233</v>
      </c>
      <c r="H28" s="181" t="s">
        <v>189</v>
      </c>
      <c r="I28" s="179" t="s">
        <v>55</v>
      </c>
      <c r="J28" s="182" t="n">
        <v>45727</v>
      </c>
      <c r="K28" s="182" t="n">
        <v>45728</v>
      </c>
      <c r="L28" s="20" t="n">
        <v>1</v>
      </c>
    </row>
    <row r="29" customFormat="false" ht="28.35" hidden="false" customHeight="false" outlineLevel="0" collapsed="false">
      <c r="A29" s="170" t="n">
        <f aca="false">+A28+1</f>
        <v>9</v>
      </c>
      <c r="B29" s="179" t="s">
        <v>214</v>
      </c>
      <c r="C29" s="180" t="n">
        <v>45726</v>
      </c>
      <c r="D29" s="179" t="s">
        <v>234</v>
      </c>
      <c r="E29" s="179" t="s">
        <v>235</v>
      </c>
      <c r="F29" s="179" t="s">
        <v>216</v>
      </c>
      <c r="G29" s="181" t="s">
        <v>236</v>
      </c>
      <c r="H29" s="181" t="s">
        <v>189</v>
      </c>
      <c r="I29" s="179" t="s">
        <v>55</v>
      </c>
      <c r="J29" s="182" t="n">
        <v>45736</v>
      </c>
      <c r="K29" s="182" t="n">
        <v>45728</v>
      </c>
      <c r="L29" s="20" t="n">
        <v>1</v>
      </c>
    </row>
    <row r="30" customFormat="false" ht="28.35" hidden="false" customHeight="false" outlineLevel="0" collapsed="false">
      <c r="A30" s="170" t="n">
        <f aca="false">+A29+1</f>
        <v>10</v>
      </c>
      <c r="B30" s="179" t="s">
        <v>214</v>
      </c>
      <c r="C30" s="180" t="n">
        <v>45726</v>
      </c>
      <c r="D30" s="179" t="s">
        <v>144</v>
      </c>
      <c r="E30" s="179" t="s">
        <v>237</v>
      </c>
      <c r="F30" s="179" t="s">
        <v>216</v>
      </c>
      <c r="G30" s="181" t="s">
        <v>238</v>
      </c>
      <c r="H30" s="181" t="s">
        <v>189</v>
      </c>
      <c r="I30" s="179" t="s">
        <v>14</v>
      </c>
      <c r="J30" s="182" t="n">
        <v>45727</v>
      </c>
      <c r="K30" s="182" t="n">
        <v>45727</v>
      </c>
      <c r="L30" s="20" t="n">
        <v>1</v>
      </c>
    </row>
    <row r="31" customFormat="false" ht="28.35" hidden="false" customHeight="false" outlineLevel="0" collapsed="false">
      <c r="A31" s="170" t="n">
        <f aca="false">+A30+1</f>
        <v>11</v>
      </c>
      <c r="B31" s="179" t="s">
        <v>225</v>
      </c>
      <c r="C31" s="180" t="n">
        <v>45726</v>
      </c>
      <c r="D31" s="179" t="s">
        <v>205</v>
      </c>
      <c r="E31" s="179" t="s">
        <v>226</v>
      </c>
      <c r="F31" s="179" t="s">
        <v>216</v>
      </c>
      <c r="G31" s="181" t="s">
        <v>239</v>
      </c>
      <c r="H31" s="181" t="s">
        <v>189</v>
      </c>
      <c r="I31" s="179" t="s">
        <v>55</v>
      </c>
      <c r="J31" s="182" t="n">
        <v>45736</v>
      </c>
      <c r="K31" s="182" t="n">
        <v>45736</v>
      </c>
      <c r="L31" s="20" t="n">
        <v>1</v>
      </c>
    </row>
    <row r="32" customFormat="false" ht="28.35" hidden="false" customHeight="false" outlineLevel="0" collapsed="false">
      <c r="A32" s="170" t="n">
        <f aca="false">+A31+1</f>
        <v>12</v>
      </c>
      <c r="B32" s="179" t="s">
        <v>225</v>
      </c>
      <c r="C32" s="180" t="n">
        <v>45726</v>
      </c>
      <c r="D32" s="179" t="s">
        <v>205</v>
      </c>
      <c r="E32" s="179" t="s">
        <v>226</v>
      </c>
      <c r="F32" s="179" t="s">
        <v>216</v>
      </c>
      <c r="G32" s="181" t="s">
        <v>240</v>
      </c>
      <c r="H32" s="181" t="s">
        <v>189</v>
      </c>
      <c r="I32" s="179" t="s">
        <v>38</v>
      </c>
      <c r="J32" s="182" t="n">
        <v>45728</v>
      </c>
      <c r="K32" s="182" t="n">
        <v>45728</v>
      </c>
      <c r="L32" s="20" t="n">
        <v>1</v>
      </c>
    </row>
    <row r="33" customFormat="false" ht="28.35" hidden="false" customHeight="false" outlineLevel="0" collapsed="false">
      <c r="A33" s="170" t="n">
        <f aca="false">+A32+1</f>
        <v>13</v>
      </c>
      <c r="B33" s="179" t="s">
        <v>241</v>
      </c>
      <c r="C33" s="180" t="n">
        <v>45726</v>
      </c>
      <c r="D33" s="179" t="s">
        <v>205</v>
      </c>
      <c r="E33" s="179" t="s">
        <v>206</v>
      </c>
      <c r="F33" s="179" t="s">
        <v>211</v>
      </c>
      <c r="G33" s="181" t="s">
        <v>242</v>
      </c>
      <c r="H33" s="181" t="s">
        <v>189</v>
      </c>
      <c r="I33" s="179" t="s">
        <v>14</v>
      </c>
      <c r="J33" s="182" t="n">
        <v>45727</v>
      </c>
      <c r="K33" s="182" t="n">
        <v>45727</v>
      </c>
      <c r="L33" s="20" t="n">
        <v>1</v>
      </c>
    </row>
    <row r="34" customFormat="false" ht="28.35" hidden="false" customHeight="false" outlineLevel="0" collapsed="false">
      <c r="A34" s="170" t="n">
        <f aca="false">+A33+1</f>
        <v>14</v>
      </c>
      <c r="B34" s="179" t="s">
        <v>204</v>
      </c>
      <c r="C34" s="180" t="n">
        <v>45726</v>
      </c>
      <c r="D34" s="179" t="s">
        <v>205</v>
      </c>
      <c r="E34" s="179" t="s">
        <v>206</v>
      </c>
      <c r="F34" s="179" t="s">
        <v>211</v>
      </c>
      <c r="G34" s="181" t="s">
        <v>243</v>
      </c>
      <c r="H34" s="181" t="s">
        <v>189</v>
      </c>
      <c r="I34" s="181" t="s">
        <v>50</v>
      </c>
      <c r="J34" s="182" t="n">
        <v>45733</v>
      </c>
      <c r="K34" s="182" t="n">
        <v>45733</v>
      </c>
      <c r="L34" s="20" t="n">
        <v>1</v>
      </c>
    </row>
    <row r="35" customFormat="false" ht="28.35" hidden="false" customHeight="false" outlineLevel="0" collapsed="false">
      <c r="A35" s="170" t="n">
        <f aca="false">+A34+1</f>
        <v>15</v>
      </c>
      <c r="B35" s="179" t="s">
        <v>214</v>
      </c>
      <c r="C35" s="180" t="n">
        <v>45726</v>
      </c>
      <c r="D35" s="179" t="s">
        <v>205</v>
      </c>
      <c r="E35" s="179" t="s">
        <v>215</v>
      </c>
      <c r="F35" s="179" t="s">
        <v>216</v>
      </c>
      <c r="G35" s="181" t="s">
        <v>217</v>
      </c>
      <c r="H35" s="181" t="s">
        <v>189</v>
      </c>
      <c r="I35" s="181" t="s">
        <v>218</v>
      </c>
      <c r="J35" s="182" t="n">
        <v>45733</v>
      </c>
      <c r="K35" s="182" t="n">
        <v>45737</v>
      </c>
      <c r="L35" s="20" t="n">
        <v>1</v>
      </c>
    </row>
    <row r="36" customFormat="false" ht="28.35" hidden="false" customHeight="false" outlineLevel="0" collapsed="false">
      <c r="A36" s="170" t="n">
        <f aca="false">+A35+1</f>
        <v>16</v>
      </c>
      <c r="B36" s="179" t="s">
        <v>232</v>
      </c>
      <c r="C36" s="180" t="n">
        <v>45726</v>
      </c>
      <c r="D36" s="179" t="s">
        <v>205</v>
      </c>
      <c r="E36" s="179" t="s">
        <v>226</v>
      </c>
      <c r="F36" s="179" t="s">
        <v>216</v>
      </c>
      <c r="G36" s="181" t="s">
        <v>233</v>
      </c>
      <c r="H36" s="181" t="s">
        <v>189</v>
      </c>
      <c r="I36" s="181" t="s">
        <v>244</v>
      </c>
      <c r="J36" s="182" t="n">
        <v>45733</v>
      </c>
      <c r="K36" s="182" t="n">
        <v>45735</v>
      </c>
      <c r="L36" s="20" t="n">
        <v>1</v>
      </c>
      <c r="M36" s="191"/>
      <c r="N36" s="191"/>
      <c r="O36" s="191"/>
      <c r="P36" s="191"/>
      <c r="Q36" s="191"/>
      <c r="R36" s="191"/>
      <c r="S36" s="191"/>
      <c r="T36" s="191"/>
      <c r="U36" s="191"/>
      <c r="V36" s="191"/>
      <c r="W36" s="191"/>
      <c r="X36" s="191"/>
      <c r="Y36" s="191"/>
      <c r="Z36" s="191"/>
      <c r="AA36" s="191"/>
      <c r="AB36" s="191"/>
    </row>
    <row r="37" customFormat="false" ht="28.35" hidden="false" customHeight="false" outlineLevel="0" collapsed="false">
      <c r="A37" s="170" t="n">
        <f aca="false">+A36+1</f>
        <v>17</v>
      </c>
      <c r="B37" s="179" t="s">
        <v>241</v>
      </c>
      <c r="C37" s="180" t="n">
        <v>45733</v>
      </c>
      <c r="D37" s="179" t="s">
        <v>205</v>
      </c>
      <c r="E37" s="179" t="s">
        <v>206</v>
      </c>
      <c r="F37" s="179" t="s">
        <v>211</v>
      </c>
      <c r="G37" s="181" t="s">
        <v>245</v>
      </c>
      <c r="H37" s="181" t="s">
        <v>189</v>
      </c>
      <c r="I37" s="181" t="s">
        <v>14</v>
      </c>
      <c r="J37" s="182" t="n">
        <v>45733</v>
      </c>
      <c r="K37" s="182" t="n">
        <v>45737</v>
      </c>
      <c r="L37" s="20" t="n">
        <v>1</v>
      </c>
    </row>
    <row r="38" customFormat="false" ht="28.35" hidden="false" customHeight="false" outlineLevel="0" collapsed="false">
      <c r="A38" s="170" t="n">
        <f aca="false">+A37+1</f>
        <v>18</v>
      </c>
      <c r="B38" s="179" t="s">
        <v>241</v>
      </c>
      <c r="C38" s="180" t="n">
        <v>45733</v>
      </c>
      <c r="D38" s="179" t="s">
        <v>205</v>
      </c>
      <c r="E38" s="179" t="s">
        <v>246</v>
      </c>
      <c r="F38" s="179" t="s">
        <v>211</v>
      </c>
      <c r="G38" s="181" t="s">
        <v>247</v>
      </c>
      <c r="H38" s="181" t="s">
        <v>189</v>
      </c>
      <c r="I38" s="181" t="s">
        <v>44</v>
      </c>
      <c r="J38" s="182" t="n">
        <v>45734</v>
      </c>
      <c r="K38" s="182" t="n">
        <v>45735</v>
      </c>
      <c r="L38" s="20" t="n">
        <v>1</v>
      </c>
    </row>
    <row r="39" customFormat="false" ht="28.35" hidden="false" customHeight="false" outlineLevel="0" collapsed="false">
      <c r="A39" s="170" t="n">
        <f aca="false">+A38+1</f>
        <v>19</v>
      </c>
      <c r="B39" s="179" t="s">
        <v>241</v>
      </c>
      <c r="C39" s="180" t="n">
        <v>45733</v>
      </c>
      <c r="D39" s="179" t="s">
        <v>205</v>
      </c>
      <c r="E39" s="179" t="s">
        <v>246</v>
      </c>
      <c r="F39" s="179" t="s">
        <v>211</v>
      </c>
      <c r="G39" s="181" t="s">
        <v>248</v>
      </c>
      <c r="H39" s="181" t="s">
        <v>189</v>
      </c>
      <c r="I39" s="181" t="s">
        <v>249</v>
      </c>
      <c r="J39" s="182" t="n">
        <v>45734</v>
      </c>
      <c r="K39" s="182" t="n">
        <v>45737</v>
      </c>
      <c r="L39" s="20" t="n">
        <v>1</v>
      </c>
    </row>
    <row r="40" customFormat="false" ht="28.35" hidden="false" customHeight="false" outlineLevel="0" collapsed="false">
      <c r="A40" s="170" t="n">
        <f aca="false">+A39+1</f>
        <v>20</v>
      </c>
      <c r="B40" s="179" t="s">
        <v>250</v>
      </c>
      <c r="C40" s="180" t="n">
        <v>45733</v>
      </c>
      <c r="D40" s="179" t="s">
        <v>205</v>
      </c>
      <c r="E40" s="179" t="s">
        <v>251</v>
      </c>
      <c r="F40" s="179" t="s">
        <v>187</v>
      </c>
      <c r="G40" s="181" t="s">
        <v>252</v>
      </c>
      <c r="H40" s="181" t="s">
        <v>189</v>
      </c>
      <c r="I40" s="181" t="s">
        <v>38</v>
      </c>
      <c r="J40" s="182" t="n">
        <v>45733</v>
      </c>
      <c r="K40" s="182" t="n">
        <v>45734</v>
      </c>
      <c r="L40" s="20" t="n">
        <v>1</v>
      </c>
    </row>
    <row r="41" customFormat="false" ht="28.35" hidden="false" customHeight="false" outlineLevel="0" collapsed="false">
      <c r="A41" s="170" t="n">
        <f aca="false">+A40+1</f>
        <v>21</v>
      </c>
      <c r="B41" s="179" t="s">
        <v>253</v>
      </c>
      <c r="C41" s="180" t="n">
        <v>45733</v>
      </c>
      <c r="D41" s="179" t="s">
        <v>205</v>
      </c>
      <c r="E41" s="179" t="s">
        <v>254</v>
      </c>
      <c r="F41" s="179" t="s">
        <v>216</v>
      </c>
      <c r="G41" s="181" t="s">
        <v>255</v>
      </c>
      <c r="H41" s="181" t="s">
        <v>189</v>
      </c>
      <c r="I41" s="181" t="s">
        <v>14</v>
      </c>
      <c r="J41" s="182" t="n">
        <v>45733</v>
      </c>
      <c r="K41" s="182" t="n">
        <v>45734</v>
      </c>
      <c r="L41" s="20" t="n">
        <v>1</v>
      </c>
    </row>
    <row r="42" customFormat="false" ht="28.35" hidden="false" customHeight="false" outlineLevel="0" collapsed="false">
      <c r="A42" s="170" t="n">
        <f aca="false">+A41+1</f>
        <v>22</v>
      </c>
      <c r="B42" s="179" t="s">
        <v>214</v>
      </c>
      <c r="C42" s="180" t="n">
        <v>45733</v>
      </c>
      <c r="D42" s="179" t="s">
        <v>205</v>
      </c>
      <c r="E42" s="179" t="s">
        <v>256</v>
      </c>
      <c r="F42" s="179" t="s">
        <v>229</v>
      </c>
      <c r="G42" s="181" t="s">
        <v>257</v>
      </c>
      <c r="H42" s="181" t="s">
        <v>189</v>
      </c>
      <c r="I42" s="181" t="s">
        <v>258</v>
      </c>
      <c r="J42" s="182" t="n">
        <v>45733</v>
      </c>
      <c r="K42" s="182" t="n">
        <v>45734</v>
      </c>
      <c r="L42" s="20" t="n">
        <v>1</v>
      </c>
    </row>
    <row r="43" customFormat="false" ht="28.35" hidden="false" customHeight="false" outlineLevel="0" collapsed="false">
      <c r="A43" s="170" t="n">
        <f aca="false">+A42+1</f>
        <v>23</v>
      </c>
      <c r="B43" s="179" t="s">
        <v>214</v>
      </c>
      <c r="C43" s="180" t="n">
        <v>45733</v>
      </c>
      <c r="D43" s="179" t="s">
        <v>205</v>
      </c>
      <c r="E43" s="179" t="s">
        <v>259</v>
      </c>
      <c r="F43" s="179" t="s">
        <v>229</v>
      </c>
      <c r="G43" s="181" t="s">
        <v>260</v>
      </c>
      <c r="H43" s="181" t="s">
        <v>189</v>
      </c>
      <c r="I43" s="181" t="s">
        <v>261</v>
      </c>
      <c r="J43" s="182" t="n">
        <v>45733</v>
      </c>
      <c r="K43" s="182" t="n">
        <v>45733</v>
      </c>
      <c r="L43" s="20" t="n">
        <v>1</v>
      </c>
    </row>
    <row r="44" customFormat="false" ht="28.35" hidden="false" customHeight="false" outlineLevel="0" collapsed="false">
      <c r="A44" s="170" t="n">
        <f aca="false">+A43+1</f>
        <v>24</v>
      </c>
      <c r="B44" s="179" t="s">
        <v>225</v>
      </c>
      <c r="C44" s="180" t="n">
        <v>45733</v>
      </c>
      <c r="D44" s="179" t="s">
        <v>205</v>
      </c>
      <c r="E44" s="179" t="s">
        <v>262</v>
      </c>
      <c r="F44" s="179" t="s">
        <v>211</v>
      </c>
      <c r="G44" s="181" t="s">
        <v>263</v>
      </c>
      <c r="H44" s="181" t="s">
        <v>189</v>
      </c>
      <c r="I44" s="181" t="s">
        <v>264</v>
      </c>
      <c r="J44" s="182" t="n">
        <v>45733</v>
      </c>
      <c r="K44" s="182" t="n">
        <v>45737</v>
      </c>
      <c r="L44" s="20" t="n">
        <v>1</v>
      </c>
    </row>
    <row r="45" customFormat="false" ht="28.35" hidden="false" customHeight="false" outlineLevel="0" collapsed="false">
      <c r="A45" s="170" t="n">
        <f aca="false">+A44+1</f>
        <v>25</v>
      </c>
      <c r="B45" s="179" t="s">
        <v>232</v>
      </c>
      <c r="C45" s="180" t="n">
        <v>45733</v>
      </c>
      <c r="D45" s="179" t="s">
        <v>205</v>
      </c>
      <c r="E45" s="181" t="s">
        <v>265</v>
      </c>
      <c r="F45" s="179" t="s">
        <v>216</v>
      </c>
      <c r="G45" s="181" t="s">
        <v>266</v>
      </c>
      <c r="H45" s="181" t="s">
        <v>189</v>
      </c>
      <c r="I45" s="181" t="s">
        <v>20</v>
      </c>
      <c r="J45" s="182" t="n">
        <v>45733</v>
      </c>
      <c r="K45" s="182" t="n">
        <v>45733</v>
      </c>
      <c r="L45" s="20" t="n">
        <v>1</v>
      </c>
    </row>
    <row r="46" customFormat="false" ht="36.65" hidden="false" customHeight="true" outlineLevel="0" collapsed="false">
      <c r="A46" s="170" t="n">
        <f aca="false">+A45+1</f>
        <v>26</v>
      </c>
      <c r="B46" s="179" t="s">
        <v>214</v>
      </c>
      <c r="C46" s="180" t="n">
        <v>45733</v>
      </c>
      <c r="D46" s="179" t="s">
        <v>205</v>
      </c>
      <c r="E46" s="181" t="s">
        <v>267</v>
      </c>
      <c r="F46" s="179" t="s">
        <v>268</v>
      </c>
      <c r="G46" s="181" t="s">
        <v>269</v>
      </c>
      <c r="H46" s="181" t="s">
        <v>189</v>
      </c>
      <c r="I46" s="181" t="s">
        <v>20</v>
      </c>
      <c r="J46" s="182" t="n">
        <v>45735</v>
      </c>
      <c r="K46" s="182" t="n">
        <v>45775</v>
      </c>
      <c r="L46" s="20" t="n">
        <v>1</v>
      </c>
    </row>
    <row r="47" customFormat="false" ht="36.65" hidden="false" customHeight="true" outlineLevel="0" collapsed="false">
      <c r="A47" s="170" t="n">
        <f aca="false">+A46+1</f>
        <v>27</v>
      </c>
      <c r="B47" s="179" t="s">
        <v>241</v>
      </c>
      <c r="C47" s="180" t="n">
        <v>45740</v>
      </c>
      <c r="D47" s="179" t="s">
        <v>205</v>
      </c>
      <c r="E47" s="181" t="s">
        <v>270</v>
      </c>
      <c r="F47" s="179" t="s">
        <v>187</v>
      </c>
      <c r="G47" s="181" t="s">
        <v>271</v>
      </c>
      <c r="H47" s="181" t="s">
        <v>189</v>
      </c>
      <c r="I47" s="181" t="s">
        <v>213</v>
      </c>
      <c r="J47" s="182" t="n">
        <v>45740</v>
      </c>
      <c r="K47" s="182" t="n">
        <v>45742</v>
      </c>
      <c r="L47" s="20" t="n">
        <v>1</v>
      </c>
    </row>
    <row r="48" customFormat="false" ht="36.65" hidden="false" customHeight="true" outlineLevel="0" collapsed="false">
      <c r="A48" s="170" t="n">
        <f aca="false">+A47+1</f>
        <v>28</v>
      </c>
      <c r="B48" s="179" t="s">
        <v>241</v>
      </c>
      <c r="C48" s="180" t="n">
        <v>45740</v>
      </c>
      <c r="D48" s="179" t="s">
        <v>205</v>
      </c>
      <c r="E48" s="181" t="s">
        <v>270</v>
      </c>
      <c r="F48" s="179" t="s">
        <v>187</v>
      </c>
      <c r="G48" s="181" t="s">
        <v>272</v>
      </c>
      <c r="H48" s="181" t="s">
        <v>189</v>
      </c>
      <c r="I48" s="181" t="s">
        <v>44</v>
      </c>
      <c r="J48" s="182" t="n">
        <v>45740</v>
      </c>
      <c r="K48" s="182" t="n">
        <v>45740</v>
      </c>
      <c r="L48" s="20" t="n">
        <v>1</v>
      </c>
    </row>
    <row r="49" customFormat="false" ht="36.65" hidden="false" customHeight="true" outlineLevel="0" collapsed="false">
      <c r="A49" s="170" t="n">
        <f aca="false">+A48+1</f>
        <v>29</v>
      </c>
      <c r="B49" s="179" t="s">
        <v>241</v>
      </c>
      <c r="C49" s="180" t="n">
        <v>45740</v>
      </c>
      <c r="D49" s="179" t="s">
        <v>205</v>
      </c>
      <c r="E49" s="181" t="s">
        <v>273</v>
      </c>
      <c r="F49" s="179" t="s">
        <v>207</v>
      </c>
      <c r="G49" s="181" t="s">
        <v>274</v>
      </c>
      <c r="H49" s="181" t="s">
        <v>189</v>
      </c>
      <c r="I49" s="181" t="s">
        <v>50</v>
      </c>
      <c r="J49" s="182" t="n">
        <v>45740</v>
      </c>
      <c r="K49" s="182" t="n">
        <v>45740</v>
      </c>
      <c r="L49" s="20" t="n">
        <v>1</v>
      </c>
    </row>
    <row r="50" customFormat="false" ht="36.65" hidden="false" customHeight="true" outlineLevel="0" collapsed="false">
      <c r="A50" s="170" t="n">
        <f aca="false">+A49+1</f>
        <v>30</v>
      </c>
      <c r="B50" s="179" t="s">
        <v>241</v>
      </c>
      <c r="C50" s="180" t="n">
        <v>45740</v>
      </c>
      <c r="D50" s="179" t="s">
        <v>205</v>
      </c>
      <c r="E50" s="181" t="s">
        <v>275</v>
      </c>
      <c r="F50" s="179" t="s">
        <v>216</v>
      </c>
      <c r="G50" s="181" t="s">
        <v>276</v>
      </c>
      <c r="H50" s="181" t="s">
        <v>189</v>
      </c>
      <c r="I50" s="181" t="s">
        <v>44</v>
      </c>
      <c r="J50" s="182" t="n">
        <v>45740</v>
      </c>
      <c r="K50" s="182" t="n">
        <v>45741</v>
      </c>
      <c r="L50" s="20" t="n">
        <v>1</v>
      </c>
    </row>
    <row r="51" customFormat="false" ht="36.65" hidden="false" customHeight="true" outlineLevel="0" collapsed="false">
      <c r="A51" s="170" t="n">
        <f aca="false">+A50+1</f>
        <v>31</v>
      </c>
      <c r="B51" s="179" t="s">
        <v>214</v>
      </c>
      <c r="C51" s="180" t="n">
        <v>45740</v>
      </c>
      <c r="D51" s="179" t="s">
        <v>205</v>
      </c>
      <c r="E51" s="181" t="s">
        <v>277</v>
      </c>
      <c r="F51" s="179" t="s">
        <v>268</v>
      </c>
      <c r="G51" s="181" t="s">
        <v>278</v>
      </c>
      <c r="H51" s="181" t="s">
        <v>189</v>
      </c>
      <c r="I51" s="181" t="s">
        <v>279</v>
      </c>
      <c r="J51" s="182" t="n">
        <v>45748</v>
      </c>
      <c r="K51" s="182" t="n">
        <v>45750</v>
      </c>
      <c r="L51" s="20" t="n">
        <v>1</v>
      </c>
    </row>
    <row r="52" customFormat="false" ht="36.65" hidden="false" customHeight="true" outlineLevel="0" collapsed="false">
      <c r="A52" s="170" t="n">
        <f aca="false">+A51+1</f>
        <v>32</v>
      </c>
      <c r="B52" s="179" t="s">
        <v>142</v>
      </c>
      <c r="C52" s="180" t="n">
        <v>45747</v>
      </c>
      <c r="D52" s="179" t="s">
        <v>205</v>
      </c>
      <c r="E52" s="181" t="s">
        <v>280</v>
      </c>
      <c r="F52" s="179" t="s">
        <v>207</v>
      </c>
      <c r="G52" s="181" t="s">
        <v>281</v>
      </c>
      <c r="H52" s="181" t="s">
        <v>189</v>
      </c>
      <c r="I52" s="181" t="s">
        <v>213</v>
      </c>
      <c r="J52" s="182" t="n">
        <v>45747</v>
      </c>
      <c r="K52" s="182" t="n">
        <v>45750</v>
      </c>
      <c r="L52" s="20" t="n">
        <v>1</v>
      </c>
    </row>
    <row r="53" customFormat="false" ht="36.65" hidden="false" customHeight="true" outlineLevel="0" collapsed="false">
      <c r="A53" s="170" t="n">
        <f aca="false">+A52+1</f>
        <v>33</v>
      </c>
      <c r="B53" s="179" t="s">
        <v>282</v>
      </c>
      <c r="C53" s="180" t="n">
        <v>45747</v>
      </c>
      <c r="D53" s="179" t="s">
        <v>205</v>
      </c>
      <c r="E53" s="181" t="s">
        <v>283</v>
      </c>
      <c r="F53" s="179" t="s">
        <v>207</v>
      </c>
      <c r="G53" s="181" t="s">
        <v>284</v>
      </c>
      <c r="H53" s="181" t="s">
        <v>189</v>
      </c>
      <c r="I53" s="181" t="s">
        <v>285</v>
      </c>
      <c r="J53" s="182" t="n">
        <v>45747</v>
      </c>
      <c r="K53" s="182" t="n">
        <v>45750</v>
      </c>
      <c r="L53" s="20" t="n">
        <v>1</v>
      </c>
    </row>
    <row r="54" customFormat="false" ht="36.65" hidden="false" customHeight="true" outlineLevel="0" collapsed="false">
      <c r="A54" s="170" t="n">
        <f aca="false">+A53+1</f>
        <v>34</v>
      </c>
      <c r="B54" s="179" t="s">
        <v>253</v>
      </c>
      <c r="C54" s="180" t="n">
        <v>45747</v>
      </c>
      <c r="D54" s="179" t="s">
        <v>144</v>
      </c>
      <c r="E54" s="181" t="s">
        <v>286</v>
      </c>
      <c r="F54" s="179" t="s">
        <v>268</v>
      </c>
      <c r="G54" s="181" t="s">
        <v>287</v>
      </c>
      <c r="H54" s="181" t="s">
        <v>189</v>
      </c>
      <c r="I54" s="181" t="s">
        <v>288</v>
      </c>
      <c r="J54" s="182" t="n">
        <v>45747</v>
      </c>
      <c r="K54" s="182" t="n">
        <v>45750</v>
      </c>
      <c r="L54" s="20" t="n">
        <v>1</v>
      </c>
    </row>
    <row r="55" customFormat="false" ht="36.65" hidden="false" customHeight="true" outlineLevel="0" collapsed="false">
      <c r="A55" s="170" t="n">
        <f aca="false">+A54+1</f>
        <v>35</v>
      </c>
      <c r="B55" s="179" t="s">
        <v>214</v>
      </c>
      <c r="C55" s="180" t="n">
        <v>45747</v>
      </c>
      <c r="D55" s="179" t="s">
        <v>205</v>
      </c>
      <c r="E55" s="181" t="s">
        <v>277</v>
      </c>
      <c r="F55" s="179" t="s">
        <v>216</v>
      </c>
      <c r="G55" s="181" t="s">
        <v>289</v>
      </c>
      <c r="H55" s="181" t="s">
        <v>189</v>
      </c>
      <c r="I55" s="181" t="s">
        <v>14</v>
      </c>
      <c r="J55" s="182" t="n">
        <v>45747</v>
      </c>
      <c r="K55" s="182" t="n">
        <v>45750</v>
      </c>
      <c r="L55" s="20" t="n">
        <v>1</v>
      </c>
    </row>
    <row r="56" customFormat="false" ht="36.65" hidden="false" customHeight="true" outlineLevel="0" collapsed="false">
      <c r="A56" s="170" t="n">
        <f aca="false">+A55+1</f>
        <v>36</v>
      </c>
      <c r="B56" s="179" t="s">
        <v>214</v>
      </c>
      <c r="C56" s="180" t="n">
        <v>45747</v>
      </c>
      <c r="D56" s="179" t="s">
        <v>191</v>
      </c>
      <c r="E56" s="181" t="s">
        <v>267</v>
      </c>
      <c r="F56" s="179" t="s">
        <v>207</v>
      </c>
      <c r="G56" s="181" t="s">
        <v>290</v>
      </c>
      <c r="H56" s="181" t="s">
        <v>189</v>
      </c>
      <c r="I56" s="181" t="s">
        <v>20</v>
      </c>
      <c r="J56" s="182" t="n">
        <v>45747</v>
      </c>
      <c r="K56" s="182" t="n">
        <v>45751</v>
      </c>
      <c r="L56" s="20" t="n">
        <v>1</v>
      </c>
    </row>
    <row r="57" customFormat="false" ht="36.65" hidden="false" customHeight="true" outlineLevel="0" collapsed="false">
      <c r="A57" s="170" t="n">
        <f aca="false">+A56+1</f>
        <v>37</v>
      </c>
      <c r="B57" s="179" t="s">
        <v>214</v>
      </c>
      <c r="C57" s="180" t="n">
        <v>45747</v>
      </c>
      <c r="D57" s="179" t="s">
        <v>144</v>
      </c>
      <c r="E57" s="181" t="s">
        <v>273</v>
      </c>
      <c r="F57" s="179" t="s">
        <v>207</v>
      </c>
      <c r="G57" s="181" t="s">
        <v>291</v>
      </c>
      <c r="H57" s="181" t="s">
        <v>189</v>
      </c>
      <c r="I57" s="181" t="s">
        <v>264</v>
      </c>
      <c r="J57" s="182" t="n">
        <v>45747</v>
      </c>
      <c r="K57" s="182" t="n">
        <v>45750</v>
      </c>
      <c r="L57" s="20" t="n">
        <v>1</v>
      </c>
    </row>
    <row r="58" customFormat="false" ht="36.65" hidden="false" customHeight="true" outlineLevel="0" collapsed="false">
      <c r="A58" s="170" t="n">
        <f aca="false">+A57+1</f>
        <v>38</v>
      </c>
      <c r="B58" s="179" t="s">
        <v>214</v>
      </c>
      <c r="C58" s="180" t="n">
        <v>45747</v>
      </c>
      <c r="D58" s="179" t="s">
        <v>205</v>
      </c>
      <c r="E58" s="181" t="s">
        <v>292</v>
      </c>
      <c r="F58" s="179" t="s">
        <v>293</v>
      </c>
      <c r="G58" s="181" t="s">
        <v>294</v>
      </c>
      <c r="H58" s="181" t="s">
        <v>189</v>
      </c>
      <c r="I58" s="181" t="s">
        <v>213</v>
      </c>
      <c r="J58" s="182" t="n">
        <v>45747</v>
      </c>
      <c r="K58" s="182" t="n">
        <v>45750</v>
      </c>
      <c r="L58" s="20" t="n">
        <v>1</v>
      </c>
    </row>
    <row r="59" customFormat="false" ht="36.65" hidden="false" customHeight="true" outlineLevel="0" collapsed="false">
      <c r="A59" s="170" t="n">
        <f aca="false">+A58+1</f>
        <v>39</v>
      </c>
      <c r="B59" s="179" t="s">
        <v>214</v>
      </c>
      <c r="C59" s="180" t="n">
        <v>45747</v>
      </c>
      <c r="D59" s="179" t="s">
        <v>205</v>
      </c>
      <c r="E59" s="181" t="s">
        <v>295</v>
      </c>
      <c r="F59" s="179" t="s">
        <v>296</v>
      </c>
      <c r="G59" s="181" t="s">
        <v>297</v>
      </c>
      <c r="H59" s="181" t="s">
        <v>189</v>
      </c>
      <c r="I59" s="181" t="s">
        <v>213</v>
      </c>
      <c r="J59" s="182" t="n">
        <v>45747</v>
      </c>
      <c r="K59" s="182" t="n">
        <v>45750</v>
      </c>
      <c r="L59" s="20" t="n">
        <v>1</v>
      </c>
    </row>
    <row r="60" customFormat="false" ht="36.65" hidden="false" customHeight="true" outlineLevel="0" collapsed="false">
      <c r="A60" s="170" t="n">
        <f aca="false">+A59+1</f>
        <v>40</v>
      </c>
      <c r="B60" s="179" t="s">
        <v>214</v>
      </c>
      <c r="C60" s="180" t="n">
        <v>45747</v>
      </c>
      <c r="D60" s="179" t="s">
        <v>205</v>
      </c>
      <c r="E60" s="181" t="s">
        <v>295</v>
      </c>
      <c r="F60" s="179" t="s">
        <v>296</v>
      </c>
      <c r="G60" s="181" t="s">
        <v>298</v>
      </c>
      <c r="H60" s="181" t="s">
        <v>189</v>
      </c>
      <c r="I60" s="181" t="s">
        <v>213</v>
      </c>
      <c r="J60" s="182" t="n">
        <v>45747</v>
      </c>
      <c r="K60" s="182" t="n">
        <v>45750</v>
      </c>
      <c r="L60" s="20" t="n">
        <v>1</v>
      </c>
    </row>
    <row r="61" customFormat="false" ht="36.65" hidden="false" customHeight="true" outlineLevel="0" collapsed="false">
      <c r="A61" s="170" t="n">
        <f aca="false">+A60+1</f>
        <v>41</v>
      </c>
      <c r="B61" s="179" t="s">
        <v>214</v>
      </c>
      <c r="C61" s="180" t="n">
        <v>45747</v>
      </c>
      <c r="D61" s="179" t="s">
        <v>205</v>
      </c>
      <c r="E61" s="181" t="s">
        <v>295</v>
      </c>
      <c r="F61" s="179" t="s">
        <v>296</v>
      </c>
      <c r="G61" s="181" t="s">
        <v>299</v>
      </c>
      <c r="H61" s="181" t="s">
        <v>189</v>
      </c>
      <c r="I61" s="181" t="s">
        <v>231</v>
      </c>
      <c r="J61" s="182" t="n">
        <v>45747</v>
      </c>
      <c r="K61" s="182" t="n">
        <v>45751</v>
      </c>
      <c r="L61" s="20" t="n">
        <v>1</v>
      </c>
    </row>
    <row r="62" customFormat="false" ht="28.35" hidden="false" customHeight="false" outlineLevel="0" collapsed="false">
      <c r="A62" s="170" t="n">
        <f aca="false">+A61+1</f>
        <v>42</v>
      </c>
      <c r="B62" s="179" t="s">
        <v>209</v>
      </c>
      <c r="C62" s="180" t="n">
        <v>45733</v>
      </c>
      <c r="D62" s="179" t="s">
        <v>205</v>
      </c>
      <c r="E62" s="179" t="s">
        <v>300</v>
      </c>
      <c r="F62" s="179" t="s">
        <v>268</v>
      </c>
      <c r="G62" s="181" t="s">
        <v>301</v>
      </c>
      <c r="H62" s="181" t="s">
        <v>189</v>
      </c>
      <c r="I62" s="181" t="s">
        <v>302</v>
      </c>
      <c r="J62" s="182" t="n">
        <v>45748</v>
      </c>
      <c r="K62" s="182" t="n">
        <v>45758</v>
      </c>
      <c r="L62" s="20" t="n">
        <v>1</v>
      </c>
    </row>
    <row r="63" customFormat="false" ht="36.65" hidden="false" customHeight="true" outlineLevel="0" collapsed="false">
      <c r="A63" s="170" t="n">
        <f aca="false">+A62+1</f>
        <v>43</v>
      </c>
      <c r="B63" s="179" t="s">
        <v>250</v>
      </c>
      <c r="C63" s="180" t="n">
        <v>45740</v>
      </c>
      <c r="D63" s="179" t="s">
        <v>144</v>
      </c>
      <c r="E63" s="181" t="s">
        <v>303</v>
      </c>
      <c r="F63" s="179" t="s">
        <v>216</v>
      </c>
      <c r="G63" s="181" t="s">
        <v>304</v>
      </c>
      <c r="H63" s="181" t="s">
        <v>189</v>
      </c>
      <c r="I63" s="181" t="s">
        <v>38</v>
      </c>
      <c r="J63" s="182" t="n">
        <v>45748</v>
      </c>
      <c r="K63" s="182" t="n">
        <v>45758</v>
      </c>
      <c r="L63" s="20" t="n">
        <v>1</v>
      </c>
    </row>
    <row r="64" customFormat="false" ht="36.65" hidden="false" customHeight="true" outlineLevel="0" collapsed="false">
      <c r="A64" s="170" t="n">
        <f aca="false">+A63+1</f>
        <v>44</v>
      </c>
      <c r="B64" s="179" t="s">
        <v>305</v>
      </c>
      <c r="C64" s="180" t="n">
        <v>45747</v>
      </c>
      <c r="D64" s="179" t="s">
        <v>205</v>
      </c>
      <c r="E64" s="181" t="s">
        <v>306</v>
      </c>
      <c r="F64" s="179" t="s">
        <v>187</v>
      </c>
      <c r="G64" s="181" t="s">
        <v>307</v>
      </c>
      <c r="H64" s="181" t="s">
        <v>189</v>
      </c>
      <c r="I64" s="181" t="s">
        <v>308</v>
      </c>
      <c r="J64" s="182" t="n">
        <v>45748</v>
      </c>
      <c r="K64" s="182" t="n">
        <v>45757</v>
      </c>
      <c r="L64" s="20" t="n">
        <v>1</v>
      </c>
    </row>
    <row r="65" customFormat="false" ht="36.65" hidden="false" customHeight="true" outlineLevel="0" collapsed="false">
      <c r="A65" s="170" t="n">
        <f aca="false">+A64+1</f>
        <v>45</v>
      </c>
      <c r="B65" s="179" t="s">
        <v>142</v>
      </c>
      <c r="C65" s="180" t="n">
        <v>45754</v>
      </c>
      <c r="D65" s="179" t="s">
        <v>205</v>
      </c>
      <c r="E65" s="181" t="s">
        <v>309</v>
      </c>
      <c r="F65" s="179" t="s">
        <v>296</v>
      </c>
      <c r="G65" s="181" t="s">
        <v>310</v>
      </c>
      <c r="H65" s="181" t="s">
        <v>189</v>
      </c>
      <c r="I65" s="181" t="s">
        <v>264</v>
      </c>
      <c r="J65" s="182" t="n">
        <v>45754</v>
      </c>
      <c r="K65" s="182" t="n">
        <v>45755</v>
      </c>
      <c r="L65" s="20" t="n">
        <v>1</v>
      </c>
    </row>
    <row r="66" customFormat="false" ht="36.65" hidden="false" customHeight="true" outlineLevel="0" collapsed="false">
      <c r="A66" s="170" t="n">
        <f aca="false">+A65+1</f>
        <v>46</v>
      </c>
      <c r="B66" s="179" t="s">
        <v>142</v>
      </c>
      <c r="C66" s="180" t="n">
        <v>45754</v>
      </c>
      <c r="D66" s="179" t="s">
        <v>205</v>
      </c>
      <c r="E66" s="181" t="s">
        <v>309</v>
      </c>
      <c r="F66" s="179" t="s">
        <v>311</v>
      </c>
      <c r="G66" s="181" t="s">
        <v>312</v>
      </c>
      <c r="H66" s="181" t="s">
        <v>189</v>
      </c>
      <c r="I66" s="181" t="s">
        <v>14</v>
      </c>
      <c r="J66" s="182" t="n">
        <v>45754</v>
      </c>
      <c r="K66" s="182" t="n">
        <v>45755</v>
      </c>
      <c r="L66" s="20" t="n">
        <v>1</v>
      </c>
    </row>
    <row r="67" customFormat="false" ht="36.65" hidden="false" customHeight="true" outlineLevel="0" collapsed="false">
      <c r="A67" s="170" t="n">
        <f aca="false">+A66+1</f>
        <v>47</v>
      </c>
      <c r="B67" s="179" t="s">
        <v>282</v>
      </c>
      <c r="C67" s="180" t="n">
        <v>45754</v>
      </c>
      <c r="D67" s="179" t="s">
        <v>205</v>
      </c>
      <c r="E67" s="181" t="s">
        <v>313</v>
      </c>
      <c r="F67" s="179" t="s">
        <v>268</v>
      </c>
      <c r="G67" s="181" t="s">
        <v>314</v>
      </c>
      <c r="H67" s="181" t="s">
        <v>189</v>
      </c>
      <c r="I67" s="181" t="s">
        <v>264</v>
      </c>
      <c r="J67" s="182" t="n">
        <v>45754</v>
      </c>
      <c r="K67" s="182" t="n">
        <v>45755</v>
      </c>
      <c r="L67" s="20" t="n">
        <v>1</v>
      </c>
    </row>
    <row r="68" customFormat="false" ht="36.65" hidden="false" customHeight="true" outlineLevel="0" collapsed="false">
      <c r="A68" s="170" t="n">
        <f aca="false">+A67+1</f>
        <v>48</v>
      </c>
      <c r="B68" s="179" t="s">
        <v>282</v>
      </c>
      <c r="C68" s="180" t="n">
        <v>45754</v>
      </c>
      <c r="D68" s="179" t="s">
        <v>205</v>
      </c>
      <c r="E68" s="181" t="s">
        <v>315</v>
      </c>
      <c r="F68" s="179" t="s">
        <v>216</v>
      </c>
      <c r="G68" s="181" t="s">
        <v>316</v>
      </c>
      <c r="H68" s="181" t="s">
        <v>189</v>
      </c>
      <c r="I68" s="181" t="s">
        <v>317</v>
      </c>
      <c r="J68" s="182" t="n">
        <v>45754</v>
      </c>
      <c r="K68" s="182" t="n">
        <v>45754</v>
      </c>
      <c r="L68" s="20" t="n">
        <v>1</v>
      </c>
    </row>
    <row r="69" customFormat="false" ht="36.65" hidden="false" customHeight="true" outlineLevel="0" collapsed="false">
      <c r="A69" s="170" t="n">
        <f aca="false">+A68+1</f>
        <v>49</v>
      </c>
      <c r="B69" s="179" t="s">
        <v>214</v>
      </c>
      <c r="C69" s="180" t="n">
        <v>45754</v>
      </c>
      <c r="D69" s="179" t="s">
        <v>205</v>
      </c>
      <c r="E69" s="181" t="s">
        <v>214</v>
      </c>
      <c r="F69" s="179" t="s">
        <v>318</v>
      </c>
      <c r="G69" s="181" t="s">
        <v>319</v>
      </c>
      <c r="H69" s="181" t="s">
        <v>189</v>
      </c>
      <c r="I69" s="181" t="s">
        <v>320</v>
      </c>
      <c r="J69" s="182" t="n">
        <v>45754</v>
      </c>
      <c r="K69" s="182" t="n">
        <v>45758</v>
      </c>
      <c r="L69" s="20" t="n">
        <v>1</v>
      </c>
    </row>
    <row r="70" customFormat="false" ht="36.65" hidden="false" customHeight="true" outlineLevel="0" collapsed="false">
      <c r="A70" s="170" t="n">
        <f aca="false">+A69+1</f>
        <v>50</v>
      </c>
      <c r="B70" s="179" t="s">
        <v>214</v>
      </c>
      <c r="C70" s="180" t="n">
        <v>45754</v>
      </c>
      <c r="D70" s="179" t="s">
        <v>205</v>
      </c>
      <c r="E70" s="181" t="s">
        <v>309</v>
      </c>
      <c r="F70" s="179" t="s">
        <v>318</v>
      </c>
      <c r="G70" s="181" t="s">
        <v>321</v>
      </c>
      <c r="H70" s="181" t="s">
        <v>189</v>
      </c>
      <c r="I70" s="181" t="s">
        <v>322</v>
      </c>
      <c r="J70" s="182" t="n">
        <v>45754</v>
      </c>
      <c r="K70" s="182" t="n">
        <v>45791</v>
      </c>
      <c r="L70" s="20" t="n">
        <v>1</v>
      </c>
    </row>
    <row r="71" customFormat="false" ht="36.65" hidden="false" customHeight="true" outlineLevel="0" collapsed="false">
      <c r="A71" s="170" t="n">
        <f aca="false">+A70+1</f>
        <v>51</v>
      </c>
      <c r="B71" s="179" t="s">
        <v>214</v>
      </c>
      <c r="C71" s="180" t="n">
        <v>45754</v>
      </c>
      <c r="D71" s="179" t="s">
        <v>205</v>
      </c>
      <c r="E71" s="181" t="s">
        <v>277</v>
      </c>
      <c r="F71" s="179" t="s">
        <v>268</v>
      </c>
      <c r="G71" s="181" t="s">
        <v>323</v>
      </c>
      <c r="H71" s="181" t="s">
        <v>189</v>
      </c>
      <c r="I71" s="181" t="s">
        <v>264</v>
      </c>
      <c r="J71" s="182" t="n">
        <v>45756</v>
      </c>
      <c r="K71" s="182" t="n">
        <v>45792</v>
      </c>
      <c r="L71" s="20" t="n">
        <v>1</v>
      </c>
    </row>
    <row r="72" customFormat="false" ht="36.65" hidden="false" customHeight="true" outlineLevel="0" collapsed="false">
      <c r="A72" s="170" t="n">
        <f aca="false">+A71+1</f>
        <v>52</v>
      </c>
      <c r="B72" s="179" t="s">
        <v>214</v>
      </c>
      <c r="C72" s="180" t="n">
        <v>45761</v>
      </c>
      <c r="D72" s="179" t="s">
        <v>205</v>
      </c>
      <c r="E72" s="181" t="s">
        <v>313</v>
      </c>
      <c r="F72" s="179" t="s">
        <v>268</v>
      </c>
      <c r="G72" s="181" t="s">
        <v>324</v>
      </c>
      <c r="H72" s="181" t="s">
        <v>189</v>
      </c>
      <c r="I72" s="181" t="s">
        <v>325</v>
      </c>
      <c r="J72" s="182" t="n">
        <v>45762</v>
      </c>
      <c r="K72" s="182" t="n">
        <v>45762</v>
      </c>
      <c r="L72" s="20" t="n">
        <v>1</v>
      </c>
    </row>
    <row r="73" customFormat="false" ht="36.65" hidden="false" customHeight="true" outlineLevel="0" collapsed="false">
      <c r="A73" s="170" t="n">
        <f aca="false">+A72+1</f>
        <v>53</v>
      </c>
      <c r="B73" s="179" t="s">
        <v>214</v>
      </c>
      <c r="C73" s="180" t="n">
        <v>45733</v>
      </c>
      <c r="D73" s="179" t="s">
        <v>205</v>
      </c>
      <c r="E73" s="181" t="s">
        <v>326</v>
      </c>
      <c r="F73" s="179" t="s">
        <v>268</v>
      </c>
      <c r="G73" s="181" t="s">
        <v>327</v>
      </c>
      <c r="H73" s="181" t="s">
        <v>189</v>
      </c>
      <c r="I73" s="181" t="s">
        <v>20</v>
      </c>
      <c r="J73" s="182" t="n">
        <v>45748</v>
      </c>
      <c r="K73" s="182" t="n">
        <v>45768</v>
      </c>
      <c r="L73" s="20" t="n">
        <v>1</v>
      </c>
    </row>
    <row r="74" customFormat="false" ht="36.65" hidden="false" customHeight="true" outlineLevel="0" collapsed="false">
      <c r="A74" s="170" t="n">
        <f aca="false">+A73+1</f>
        <v>54</v>
      </c>
      <c r="B74" s="179" t="s">
        <v>214</v>
      </c>
      <c r="C74" s="180" t="n">
        <v>45761</v>
      </c>
      <c r="D74" s="181" t="s">
        <v>328</v>
      </c>
      <c r="E74" s="181" t="s">
        <v>329</v>
      </c>
      <c r="F74" s="179" t="s">
        <v>216</v>
      </c>
      <c r="G74" s="181" t="s">
        <v>330</v>
      </c>
      <c r="H74" s="181" t="s">
        <v>189</v>
      </c>
      <c r="I74" s="181" t="s">
        <v>44</v>
      </c>
      <c r="J74" s="182" t="n">
        <v>45763</v>
      </c>
      <c r="K74" s="182" t="n">
        <v>45772</v>
      </c>
      <c r="L74" s="20" t="n">
        <v>1</v>
      </c>
    </row>
    <row r="75" customFormat="false" ht="36.65" hidden="false" customHeight="true" outlineLevel="0" collapsed="false">
      <c r="A75" s="170" t="n">
        <f aca="false">+A74+1</f>
        <v>55</v>
      </c>
      <c r="B75" s="179" t="s">
        <v>214</v>
      </c>
      <c r="C75" s="180" t="n">
        <v>45761</v>
      </c>
      <c r="D75" s="179" t="s">
        <v>191</v>
      </c>
      <c r="E75" s="181" t="s">
        <v>311</v>
      </c>
      <c r="F75" s="179" t="s">
        <v>216</v>
      </c>
      <c r="G75" s="181" t="s">
        <v>331</v>
      </c>
      <c r="H75" s="181" t="s">
        <v>189</v>
      </c>
      <c r="I75" s="181" t="s">
        <v>264</v>
      </c>
      <c r="J75" s="182" t="n">
        <v>45791</v>
      </c>
      <c r="K75" s="182" t="n">
        <v>45769</v>
      </c>
      <c r="L75" s="20" t="n">
        <v>1</v>
      </c>
    </row>
    <row r="76" customFormat="false" ht="36.65" hidden="false" customHeight="true" outlineLevel="0" collapsed="false">
      <c r="A76" s="170" t="n">
        <f aca="false">+A75+1</f>
        <v>56</v>
      </c>
      <c r="B76" s="179" t="s">
        <v>214</v>
      </c>
      <c r="C76" s="180" t="n">
        <v>45768</v>
      </c>
      <c r="D76" s="179" t="s">
        <v>191</v>
      </c>
      <c r="E76" s="181" t="s">
        <v>311</v>
      </c>
      <c r="F76" s="179" t="s">
        <v>216</v>
      </c>
      <c r="G76" s="181" t="s">
        <v>332</v>
      </c>
      <c r="H76" s="181" t="s">
        <v>189</v>
      </c>
      <c r="I76" s="181" t="s">
        <v>264</v>
      </c>
      <c r="J76" s="182" t="n">
        <v>45768</v>
      </c>
      <c r="K76" s="182" t="n">
        <v>45772</v>
      </c>
      <c r="L76" s="20" t="n">
        <v>1</v>
      </c>
    </row>
    <row r="77" customFormat="false" ht="36.65" hidden="false" customHeight="true" outlineLevel="0" collapsed="false">
      <c r="A77" s="170" t="n">
        <f aca="false">+A76+1</f>
        <v>57</v>
      </c>
      <c r="B77" s="179" t="s">
        <v>214</v>
      </c>
      <c r="C77" s="180" t="n">
        <v>45768</v>
      </c>
      <c r="D77" s="179" t="s">
        <v>191</v>
      </c>
      <c r="E77" s="181" t="s">
        <v>311</v>
      </c>
      <c r="F77" s="179" t="s">
        <v>216</v>
      </c>
      <c r="G77" s="181" t="s">
        <v>333</v>
      </c>
      <c r="H77" s="181" t="s">
        <v>189</v>
      </c>
      <c r="I77" s="181" t="s">
        <v>14</v>
      </c>
      <c r="J77" s="182" t="n">
        <v>45768</v>
      </c>
      <c r="K77" s="182" t="n">
        <v>45769</v>
      </c>
      <c r="L77" s="20" t="n">
        <v>1</v>
      </c>
    </row>
    <row r="78" customFormat="false" ht="36.65" hidden="false" customHeight="true" outlineLevel="0" collapsed="false">
      <c r="A78" s="170" t="n">
        <f aca="false">+A77+1</f>
        <v>58</v>
      </c>
      <c r="B78" s="179" t="s">
        <v>250</v>
      </c>
      <c r="C78" s="180" t="n">
        <v>45740</v>
      </c>
      <c r="D78" s="179" t="s">
        <v>205</v>
      </c>
      <c r="E78" s="181" t="s">
        <v>334</v>
      </c>
      <c r="F78" s="179" t="s">
        <v>216</v>
      </c>
      <c r="G78" s="181" t="s">
        <v>335</v>
      </c>
      <c r="H78" s="181" t="s">
        <v>189</v>
      </c>
      <c r="I78" s="181" t="s">
        <v>336</v>
      </c>
      <c r="J78" s="182" t="n">
        <v>45751</v>
      </c>
      <c r="K78" s="182" t="n">
        <v>45807</v>
      </c>
      <c r="L78" s="20" t="n">
        <v>1</v>
      </c>
    </row>
    <row r="79" customFormat="false" ht="36.65" hidden="false" customHeight="true" outlineLevel="0" collapsed="false">
      <c r="A79" s="170" t="n">
        <f aca="false">+A78+1</f>
        <v>59</v>
      </c>
      <c r="B79" s="179" t="s">
        <v>337</v>
      </c>
      <c r="C79" s="180" t="n">
        <v>45775</v>
      </c>
      <c r="D79" s="179" t="s">
        <v>205</v>
      </c>
      <c r="E79" s="181" t="s">
        <v>338</v>
      </c>
      <c r="F79" s="179" t="s">
        <v>339</v>
      </c>
      <c r="G79" s="181" t="s">
        <v>340</v>
      </c>
      <c r="H79" s="181" t="s">
        <v>189</v>
      </c>
      <c r="I79" s="181" t="s">
        <v>50</v>
      </c>
      <c r="J79" s="182" t="n">
        <v>45775</v>
      </c>
      <c r="K79" s="182" t="n">
        <v>45807</v>
      </c>
      <c r="L79" s="20" t="n">
        <v>1</v>
      </c>
    </row>
    <row r="80" customFormat="false" ht="36.65" hidden="false" customHeight="true" outlineLevel="0" collapsed="false">
      <c r="A80" s="170" t="n">
        <f aca="false">+A79+1</f>
        <v>60</v>
      </c>
      <c r="B80" s="179" t="s">
        <v>341</v>
      </c>
      <c r="C80" s="180" t="n">
        <v>45747</v>
      </c>
      <c r="D80" s="179" t="s">
        <v>191</v>
      </c>
      <c r="E80" s="181" t="s">
        <v>267</v>
      </c>
      <c r="F80" s="179" t="s">
        <v>207</v>
      </c>
      <c r="G80" s="181" t="s">
        <v>342</v>
      </c>
      <c r="H80" s="181" t="s">
        <v>189</v>
      </c>
      <c r="I80" s="181" t="s">
        <v>343</v>
      </c>
      <c r="J80" s="182" t="n">
        <v>45748</v>
      </c>
      <c r="K80" s="182"/>
      <c r="L80" s="20" t="n">
        <v>1</v>
      </c>
    </row>
    <row r="81" customFormat="false" ht="36.65" hidden="false" customHeight="true" outlineLevel="0" collapsed="false">
      <c r="A81" s="170" t="n">
        <f aca="false">+A80+1</f>
        <v>61</v>
      </c>
      <c r="B81" s="179" t="s">
        <v>337</v>
      </c>
      <c r="C81" s="180" t="n">
        <v>45782</v>
      </c>
      <c r="D81" s="179" t="s">
        <v>205</v>
      </c>
      <c r="E81" s="181" t="s">
        <v>338</v>
      </c>
      <c r="F81" s="179" t="s">
        <v>339</v>
      </c>
      <c r="G81" s="181" t="s">
        <v>344</v>
      </c>
      <c r="H81" s="181" t="s">
        <v>189</v>
      </c>
      <c r="I81" s="181" t="s">
        <v>14</v>
      </c>
      <c r="J81" s="182" t="n">
        <v>45782</v>
      </c>
      <c r="K81" s="182"/>
      <c r="L81" s="20" t="n">
        <v>1</v>
      </c>
    </row>
    <row r="82" customFormat="false" ht="36.65" hidden="false" customHeight="true" outlineLevel="0" collapsed="false">
      <c r="A82" s="170" t="n">
        <f aca="false">+A81+1</f>
        <v>62</v>
      </c>
      <c r="B82" s="179" t="s">
        <v>341</v>
      </c>
      <c r="C82" s="180" t="n">
        <v>45782</v>
      </c>
      <c r="D82" s="179" t="s">
        <v>205</v>
      </c>
      <c r="E82" s="181" t="s">
        <v>338</v>
      </c>
      <c r="F82" s="179" t="s">
        <v>318</v>
      </c>
      <c r="G82" s="181" t="s">
        <v>345</v>
      </c>
      <c r="H82" s="181" t="s">
        <v>189</v>
      </c>
      <c r="I82" s="181" t="s">
        <v>14</v>
      </c>
      <c r="J82" s="182" t="n">
        <v>45782</v>
      </c>
      <c r="K82" s="182" t="n">
        <v>45782</v>
      </c>
      <c r="L82" s="20" t="n">
        <v>1</v>
      </c>
    </row>
    <row r="83" customFormat="false" ht="36.65" hidden="false" customHeight="true" outlineLevel="0" collapsed="false">
      <c r="A83" s="170" t="n">
        <f aca="false">+A82+1</f>
        <v>63</v>
      </c>
      <c r="B83" s="179" t="s">
        <v>232</v>
      </c>
      <c r="C83" s="180" t="n">
        <v>45796</v>
      </c>
      <c r="D83" s="179" t="s">
        <v>144</v>
      </c>
      <c r="E83" s="181" t="s">
        <v>346</v>
      </c>
      <c r="F83" s="179" t="s">
        <v>311</v>
      </c>
      <c r="G83" s="181" t="s">
        <v>347</v>
      </c>
      <c r="H83" s="181" t="s">
        <v>189</v>
      </c>
      <c r="I83" s="181" t="s">
        <v>264</v>
      </c>
      <c r="J83" s="182" t="n">
        <v>45797</v>
      </c>
      <c r="K83" s="182" t="n">
        <v>45797</v>
      </c>
      <c r="L83" s="20" t="n">
        <v>1</v>
      </c>
    </row>
    <row r="84" customFormat="false" ht="36.65" hidden="false" customHeight="true" outlineLevel="0" collapsed="false">
      <c r="A84" s="170" t="n">
        <f aca="false">+A83+1</f>
        <v>64</v>
      </c>
      <c r="B84" s="179" t="s">
        <v>282</v>
      </c>
      <c r="C84" s="180" t="n">
        <v>45796</v>
      </c>
      <c r="D84" s="179" t="s">
        <v>144</v>
      </c>
      <c r="E84" s="181" t="s">
        <v>348</v>
      </c>
      <c r="F84" s="179" t="s">
        <v>311</v>
      </c>
      <c r="G84" s="181" t="s">
        <v>349</v>
      </c>
      <c r="H84" s="181" t="s">
        <v>189</v>
      </c>
      <c r="I84" s="181" t="s">
        <v>264</v>
      </c>
      <c r="J84" s="182" t="n">
        <v>45797</v>
      </c>
      <c r="K84" s="182" t="n">
        <v>45797</v>
      </c>
      <c r="L84" s="20" t="n">
        <v>1</v>
      </c>
    </row>
    <row r="85" customFormat="false" ht="36.65" hidden="false" customHeight="true" outlineLevel="0" collapsed="false">
      <c r="A85" s="170" t="n">
        <f aca="false">+A84+1</f>
        <v>65</v>
      </c>
      <c r="B85" s="179" t="s">
        <v>214</v>
      </c>
      <c r="C85" s="180" t="n">
        <v>45807</v>
      </c>
      <c r="D85" s="179" t="s">
        <v>191</v>
      </c>
      <c r="E85" s="181" t="s">
        <v>350</v>
      </c>
      <c r="F85" s="179" t="s">
        <v>296</v>
      </c>
      <c r="G85" s="181" t="s">
        <v>351</v>
      </c>
      <c r="H85" s="181" t="s">
        <v>189</v>
      </c>
      <c r="I85" s="181" t="s">
        <v>352</v>
      </c>
      <c r="J85" s="182" t="n">
        <v>45810</v>
      </c>
      <c r="K85" s="182"/>
      <c r="L85" s="20" t="n">
        <v>1</v>
      </c>
    </row>
    <row r="86" customFormat="false" ht="36.65" hidden="false" customHeight="true" outlineLevel="0" collapsed="false">
      <c r="A86" s="170" t="n">
        <f aca="false">+A85+1</f>
        <v>66</v>
      </c>
      <c r="B86" s="179" t="s">
        <v>232</v>
      </c>
      <c r="C86" s="180" t="n">
        <v>45796</v>
      </c>
      <c r="D86" s="179" t="s">
        <v>144</v>
      </c>
      <c r="E86" s="181" t="s">
        <v>353</v>
      </c>
      <c r="F86" s="179" t="s">
        <v>187</v>
      </c>
      <c r="G86" s="181" t="s">
        <v>354</v>
      </c>
      <c r="H86" s="181" t="s">
        <v>189</v>
      </c>
      <c r="I86" s="181" t="s">
        <v>213</v>
      </c>
      <c r="J86" s="182" t="n">
        <v>45800</v>
      </c>
      <c r="K86" s="182" t="n">
        <v>45831</v>
      </c>
      <c r="L86" s="20" t="n">
        <v>1</v>
      </c>
    </row>
    <row r="87" customFormat="false" ht="36.65" hidden="false" customHeight="true" outlineLevel="0" collapsed="false">
      <c r="A87" s="170" t="n">
        <f aca="false">+A86+1</f>
        <v>67</v>
      </c>
      <c r="B87" s="179" t="s">
        <v>214</v>
      </c>
      <c r="C87" s="180" t="n">
        <v>45814</v>
      </c>
      <c r="D87" s="179" t="s">
        <v>144</v>
      </c>
      <c r="E87" s="181" t="s">
        <v>187</v>
      </c>
      <c r="F87" s="179" t="s">
        <v>187</v>
      </c>
      <c r="G87" s="181" t="s">
        <v>355</v>
      </c>
      <c r="H87" s="181" t="s">
        <v>189</v>
      </c>
      <c r="I87" s="181" t="s">
        <v>356</v>
      </c>
      <c r="J87" s="182" t="n">
        <v>45816</v>
      </c>
      <c r="K87" s="182" t="n">
        <v>45835</v>
      </c>
      <c r="L87" s="20" t="n">
        <v>1</v>
      </c>
    </row>
    <row r="88" customFormat="false" ht="36.65" hidden="false" customHeight="true" outlineLevel="0" collapsed="false">
      <c r="A88" s="170" t="n">
        <f aca="false">+A87+1</f>
        <v>68</v>
      </c>
      <c r="B88" s="179" t="s">
        <v>282</v>
      </c>
      <c r="C88" s="180" t="n">
        <v>45814</v>
      </c>
      <c r="D88" s="179" t="s">
        <v>144</v>
      </c>
      <c r="E88" s="181" t="s">
        <v>357</v>
      </c>
      <c r="F88" s="179" t="s">
        <v>187</v>
      </c>
      <c r="G88" s="181" t="s">
        <v>358</v>
      </c>
      <c r="H88" s="181" t="s">
        <v>189</v>
      </c>
      <c r="I88" s="181" t="s">
        <v>356</v>
      </c>
      <c r="J88" s="182" t="n">
        <v>45816</v>
      </c>
      <c r="K88" s="182" t="n">
        <v>45835</v>
      </c>
      <c r="L88" s="20" t="n">
        <v>1</v>
      </c>
    </row>
    <row r="89" customFormat="false" ht="36.65" hidden="false" customHeight="true" outlineLevel="0" collapsed="false">
      <c r="A89" s="170" t="n">
        <f aca="false">+A88+1</f>
        <v>69</v>
      </c>
      <c r="B89" s="179" t="n">
        <v>6</v>
      </c>
      <c r="C89" s="180" t="n">
        <v>45827</v>
      </c>
      <c r="D89" s="179" t="s">
        <v>205</v>
      </c>
      <c r="E89" s="181" t="s">
        <v>359</v>
      </c>
      <c r="F89" s="179" t="s">
        <v>360</v>
      </c>
      <c r="G89" s="181" t="s">
        <v>361</v>
      </c>
      <c r="H89" s="181" t="s">
        <v>189</v>
      </c>
      <c r="I89" s="181" t="s">
        <v>55</v>
      </c>
      <c r="J89" s="182" t="n">
        <v>45831</v>
      </c>
      <c r="K89" s="182" t="n">
        <v>45835</v>
      </c>
      <c r="L89" s="20" t="n">
        <v>1</v>
      </c>
    </row>
    <row r="90" customFormat="false" ht="36.65" hidden="false" customHeight="true" outlineLevel="0" collapsed="false">
      <c r="A90" s="170" t="n">
        <f aca="false">+A89+1</f>
        <v>70</v>
      </c>
      <c r="B90" s="192" t="s">
        <v>362</v>
      </c>
      <c r="C90" s="180" t="n">
        <v>45827</v>
      </c>
      <c r="D90" s="179" t="s">
        <v>205</v>
      </c>
      <c r="E90" s="181" t="s">
        <v>363</v>
      </c>
      <c r="F90" s="179" t="s">
        <v>364</v>
      </c>
      <c r="G90" s="181" t="s">
        <v>365</v>
      </c>
      <c r="H90" s="181" t="s">
        <v>189</v>
      </c>
      <c r="I90" s="181" t="s">
        <v>20</v>
      </c>
      <c r="J90" s="182" t="n">
        <v>45831</v>
      </c>
      <c r="K90" s="182" t="n">
        <v>45831</v>
      </c>
      <c r="L90" s="20" t="n">
        <v>1</v>
      </c>
    </row>
    <row r="91" customFormat="false" ht="36.65" hidden="false" customHeight="true" outlineLevel="0" collapsed="false">
      <c r="A91" s="170" t="n">
        <f aca="false">+A90+1</f>
        <v>71</v>
      </c>
      <c r="B91" s="179" t="s">
        <v>232</v>
      </c>
      <c r="C91" s="180" t="n">
        <v>45807</v>
      </c>
      <c r="D91" s="179" t="s">
        <v>191</v>
      </c>
      <c r="E91" s="181" t="s">
        <v>350</v>
      </c>
      <c r="F91" s="179" t="s">
        <v>187</v>
      </c>
      <c r="G91" s="181" t="s">
        <v>366</v>
      </c>
      <c r="H91" s="181" t="s">
        <v>189</v>
      </c>
      <c r="I91" s="181" t="s">
        <v>367</v>
      </c>
      <c r="J91" s="182" t="n">
        <v>45810</v>
      </c>
      <c r="K91" s="182" t="n">
        <v>45842</v>
      </c>
      <c r="L91" s="20" t="n">
        <v>1</v>
      </c>
    </row>
    <row r="92" customFormat="false" ht="36.65" hidden="false" customHeight="true" outlineLevel="0" collapsed="false">
      <c r="A92" s="170" t="n">
        <f aca="false">+A91+1</f>
        <v>72</v>
      </c>
      <c r="B92" s="179" t="s">
        <v>214</v>
      </c>
      <c r="C92" s="180" t="n">
        <v>45807</v>
      </c>
      <c r="D92" s="179" t="s">
        <v>191</v>
      </c>
      <c r="E92" s="181" t="s">
        <v>368</v>
      </c>
      <c r="F92" s="179" t="s">
        <v>369</v>
      </c>
      <c r="G92" s="181" t="s">
        <v>370</v>
      </c>
      <c r="H92" s="181" t="s">
        <v>189</v>
      </c>
      <c r="I92" s="181" t="s">
        <v>367</v>
      </c>
      <c r="J92" s="182" t="n">
        <v>45814</v>
      </c>
      <c r="K92" s="182" t="n">
        <v>45842</v>
      </c>
      <c r="L92" s="20" t="n">
        <v>1</v>
      </c>
    </row>
    <row r="93" customFormat="false" ht="36.65" hidden="false" customHeight="true" outlineLevel="0" collapsed="false">
      <c r="A93" s="170" t="n">
        <f aca="false">+A92+1</f>
        <v>73</v>
      </c>
      <c r="B93" s="179" t="s">
        <v>214</v>
      </c>
      <c r="C93" s="180" t="n">
        <v>45827</v>
      </c>
      <c r="D93" s="179" t="s">
        <v>205</v>
      </c>
      <c r="E93" s="181" t="s">
        <v>371</v>
      </c>
      <c r="F93" s="179" t="s">
        <v>201</v>
      </c>
      <c r="G93" s="181" t="s">
        <v>372</v>
      </c>
      <c r="H93" s="181" t="s">
        <v>189</v>
      </c>
      <c r="I93" s="181" t="s">
        <v>373</v>
      </c>
      <c r="J93" s="182" t="n">
        <v>45831</v>
      </c>
      <c r="K93" s="182" t="n">
        <v>45842</v>
      </c>
      <c r="L93" s="20" t="n">
        <v>1</v>
      </c>
    </row>
    <row r="94" customFormat="false" ht="36.65" hidden="false" customHeight="true" outlineLevel="0" collapsed="false">
      <c r="A94" s="170" t="n">
        <f aca="false">+A93+1</f>
        <v>74</v>
      </c>
      <c r="B94" s="179" t="s">
        <v>185</v>
      </c>
      <c r="C94" s="180" t="n">
        <v>45835</v>
      </c>
      <c r="D94" s="179" t="s">
        <v>205</v>
      </c>
      <c r="E94" s="181" t="s">
        <v>259</v>
      </c>
      <c r="F94" s="179" t="s">
        <v>201</v>
      </c>
      <c r="G94" s="181" t="s">
        <v>374</v>
      </c>
      <c r="H94" s="181" t="s">
        <v>189</v>
      </c>
      <c r="I94" s="181" t="s">
        <v>20</v>
      </c>
      <c r="J94" s="182" t="n">
        <v>45841</v>
      </c>
      <c r="K94" s="182" t="n">
        <v>45841</v>
      </c>
      <c r="L94" s="20" t="n">
        <v>1</v>
      </c>
    </row>
    <row r="95" customFormat="false" ht="36.65" hidden="false" customHeight="true" outlineLevel="0" collapsed="false">
      <c r="A95" s="170" t="n">
        <f aca="false">+A94+1</f>
        <v>75</v>
      </c>
      <c r="B95" s="179" t="s">
        <v>214</v>
      </c>
      <c r="C95" s="180" t="n">
        <v>45827</v>
      </c>
      <c r="D95" s="179" t="s">
        <v>205</v>
      </c>
      <c r="E95" s="181" t="s">
        <v>371</v>
      </c>
      <c r="F95" s="179" t="s">
        <v>201</v>
      </c>
      <c r="G95" s="181" t="s">
        <v>375</v>
      </c>
      <c r="H95" s="181" t="s">
        <v>189</v>
      </c>
      <c r="I95" s="181" t="s">
        <v>20</v>
      </c>
      <c r="J95" s="182" t="n">
        <v>45831</v>
      </c>
      <c r="K95" s="182" t="n">
        <v>45849</v>
      </c>
      <c r="L95" s="20" t="n">
        <v>1</v>
      </c>
    </row>
    <row r="96" customFormat="false" ht="36.65" hidden="false" customHeight="true" outlineLevel="0" collapsed="false">
      <c r="A96" s="170" t="n">
        <f aca="false">+A95+1</f>
        <v>76</v>
      </c>
      <c r="B96" s="179" t="s">
        <v>223</v>
      </c>
      <c r="C96" s="180" t="n">
        <v>45835</v>
      </c>
      <c r="D96" s="179" t="s">
        <v>205</v>
      </c>
      <c r="E96" s="181" t="s">
        <v>376</v>
      </c>
      <c r="F96" s="179" t="s">
        <v>187</v>
      </c>
      <c r="G96" s="181" t="s">
        <v>377</v>
      </c>
      <c r="H96" s="181" t="s">
        <v>189</v>
      </c>
      <c r="I96" s="181" t="s">
        <v>373</v>
      </c>
      <c r="J96" s="182" t="n">
        <v>45842</v>
      </c>
      <c r="K96" s="182" t="n">
        <v>45854</v>
      </c>
      <c r="L96" s="20" t="n">
        <v>1</v>
      </c>
    </row>
    <row r="97" customFormat="false" ht="36.65" hidden="false" customHeight="true" outlineLevel="0" collapsed="false">
      <c r="A97" s="170" t="n">
        <f aca="false">+A96+1</f>
        <v>77</v>
      </c>
      <c r="B97" s="179" t="s">
        <v>185</v>
      </c>
      <c r="C97" s="180" t="n">
        <v>45849</v>
      </c>
      <c r="D97" s="179" t="s">
        <v>205</v>
      </c>
      <c r="E97" s="181" t="s">
        <v>277</v>
      </c>
      <c r="F97" s="179" t="s">
        <v>187</v>
      </c>
      <c r="G97" s="181" t="s">
        <v>378</v>
      </c>
      <c r="H97" s="181" t="s">
        <v>189</v>
      </c>
      <c r="I97" s="181" t="s">
        <v>379</v>
      </c>
      <c r="J97" s="182" t="n">
        <v>45852</v>
      </c>
      <c r="K97" s="182" t="n">
        <v>45854</v>
      </c>
      <c r="L97" s="20" t="n">
        <v>1</v>
      </c>
    </row>
    <row r="98" customFormat="false" ht="36.65" hidden="false" customHeight="true" outlineLevel="0" collapsed="false">
      <c r="A98" s="170" t="n">
        <f aca="false">+A97+1</f>
        <v>78</v>
      </c>
      <c r="B98" s="179" t="s">
        <v>185</v>
      </c>
      <c r="C98" s="180" t="n">
        <v>45849</v>
      </c>
      <c r="D98" s="179" t="s">
        <v>205</v>
      </c>
      <c r="E98" s="181" t="s">
        <v>277</v>
      </c>
      <c r="F98" s="179" t="s">
        <v>187</v>
      </c>
      <c r="G98" s="181" t="s">
        <v>380</v>
      </c>
      <c r="H98" s="181" t="s">
        <v>189</v>
      </c>
      <c r="I98" s="181" t="s">
        <v>379</v>
      </c>
      <c r="J98" s="182" t="n">
        <v>45852</v>
      </c>
      <c r="K98" s="182" t="n">
        <v>45854</v>
      </c>
      <c r="L98" s="20" t="n">
        <v>1</v>
      </c>
    </row>
    <row r="99" customFormat="false" ht="36.65" hidden="false" customHeight="true" outlineLevel="0" collapsed="false">
      <c r="A99" s="170" t="n">
        <f aca="false">+A98+1</f>
        <v>79</v>
      </c>
      <c r="B99" s="179" t="s">
        <v>232</v>
      </c>
      <c r="C99" s="180" t="n">
        <v>45849</v>
      </c>
      <c r="D99" s="179" t="s">
        <v>191</v>
      </c>
      <c r="E99" s="181" t="s">
        <v>381</v>
      </c>
      <c r="F99" s="179" t="s">
        <v>187</v>
      </c>
      <c r="G99" s="181" t="s">
        <v>382</v>
      </c>
      <c r="H99" s="181" t="s">
        <v>189</v>
      </c>
      <c r="I99" s="181" t="s">
        <v>383</v>
      </c>
      <c r="J99" s="180" t="n">
        <v>45854</v>
      </c>
      <c r="K99" s="182" t="n">
        <v>45855</v>
      </c>
      <c r="L99" s="20" t="n">
        <v>1</v>
      </c>
    </row>
    <row r="100" customFormat="false" ht="36.65" hidden="false" customHeight="true" outlineLevel="0" collapsed="false">
      <c r="A100" s="170" t="n">
        <f aca="false">+A99+1</f>
        <v>80</v>
      </c>
      <c r="B100" s="179" t="s">
        <v>282</v>
      </c>
      <c r="C100" s="180" t="n">
        <v>45849</v>
      </c>
      <c r="D100" s="179" t="s">
        <v>205</v>
      </c>
      <c r="E100" s="181" t="s">
        <v>357</v>
      </c>
      <c r="F100" s="179" t="s">
        <v>187</v>
      </c>
      <c r="G100" s="181" t="s">
        <v>384</v>
      </c>
      <c r="H100" s="181" t="s">
        <v>189</v>
      </c>
      <c r="I100" s="181" t="s">
        <v>385</v>
      </c>
      <c r="J100" s="180" t="s">
        <v>386</v>
      </c>
      <c r="K100" s="182" t="n">
        <v>45854</v>
      </c>
      <c r="L100" s="20" t="n">
        <v>1</v>
      </c>
    </row>
    <row r="101" customFormat="false" ht="36.65" hidden="false" customHeight="true" outlineLevel="0" collapsed="false">
      <c r="A101" s="170" t="n">
        <f aca="false">+A100+1</f>
        <v>81</v>
      </c>
      <c r="B101" s="179" t="s">
        <v>190</v>
      </c>
      <c r="C101" s="180" t="n">
        <v>45849</v>
      </c>
      <c r="D101" s="179" t="s">
        <v>205</v>
      </c>
      <c r="E101" s="181" t="s">
        <v>357</v>
      </c>
      <c r="F101" s="179" t="s">
        <v>387</v>
      </c>
      <c r="G101" s="181" t="s">
        <v>388</v>
      </c>
      <c r="H101" s="181" t="s">
        <v>189</v>
      </c>
      <c r="I101" s="181" t="s">
        <v>385</v>
      </c>
      <c r="J101" s="180" t="n">
        <v>45852</v>
      </c>
      <c r="K101" s="182" t="n">
        <v>45852</v>
      </c>
      <c r="L101" s="20" t="n">
        <v>1</v>
      </c>
    </row>
    <row r="102" customFormat="false" ht="36.65" hidden="false" customHeight="true" outlineLevel="0" collapsed="false">
      <c r="A102" s="170" t="n">
        <f aca="false">+A101+1</f>
        <v>82</v>
      </c>
      <c r="B102" s="179" t="s">
        <v>190</v>
      </c>
      <c r="C102" s="180" t="n">
        <v>45849</v>
      </c>
      <c r="D102" s="179" t="s">
        <v>144</v>
      </c>
      <c r="E102" s="181" t="s">
        <v>357</v>
      </c>
      <c r="F102" s="179" t="s">
        <v>187</v>
      </c>
      <c r="G102" s="181" t="s">
        <v>389</v>
      </c>
      <c r="H102" s="181" t="s">
        <v>189</v>
      </c>
      <c r="I102" s="181" t="s">
        <v>20</v>
      </c>
      <c r="J102" s="180" t="n">
        <v>45852</v>
      </c>
      <c r="K102" s="182" t="n">
        <v>45852</v>
      </c>
      <c r="L102" s="20" t="n">
        <v>1</v>
      </c>
    </row>
    <row r="103" customFormat="false" ht="49.5" hidden="false" customHeight="true" outlineLevel="0" collapsed="false">
      <c r="A103" s="170" t="n">
        <f aca="false">+A102+1</f>
        <v>83</v>
      </c>
      <c r="B103" s="179" t="s">
        <v>232</v>
      </c>
      <c r="C103" s="180" t="n">
        <v>45814</v>
      </c>
      <c r="D103" s="179" t="s">
        <v>144</v>
      </c>
      <c r="E103" s="181" t="s">
        <v>357</v>
      </c>
      <c r="F103" s="179" t="s">
        <v>187</v>
      </c>
      <c r="G103" s="181" t="s">
        <v>390</v>
      </c>
      <c r="H103" s="181" t="s">
        <v>189</v>
      </c>
      <c r="I103" s="181" t="s">
        <v>356</v>
      </c>
      <c r="J103" s="182" t="n">
        <v>45816</v>
      </c>
      <c r="K103" s="182" t="n">
        <v>45867</v>
      </c>
      <c r="L103" s="20" t="n">
        <v>1</v>
      </c>
    </row>
    <row r="104" customFormat="false" ht="36.65" hidden="false" customHeight="true" outlineLevel="0" collapsed="false">
      <c r="A104" s="170" t="n">
        <f aca="false">+A103+1</f>
        <v>84</v>
      </c>
      <c r="B104" s="179" t="s">
        <v>190</v>
      </c>
      <c r="C104" s="180" t="n">
        <v>45863</v>
      </c>
      <c r="D104" s="179" t="s">
        <v>144</v>
      </c>
      <c r="E104" s="181" t="s">
        <v>391</v>
      </c>
      <c r="F104" s="179" t="s">
        <v>187</v>
      </c>
      <c r="G104" s="181" t="s">
        <v>392</v>
      </c>
      <c r="H104" s="181" t="s">
        <v>189</v>
      </c>
      <c r="I104" s="181" t="s">
        <v>20</v>
      </c>
      <c r="J104" s="180" t="n">
        <v>45866</v>
      </c>
      <c r="K104" s="182" t="n">
        <v>45866</v>
      </c>
      <c r="L104" s="20" t="n">
        <v>1</v>
      </c>
    </row>
    <row r="105" customFormat="false" ht="36.65" hidden="false" customHeight="true" outlineLevel="0" collapsed="false">
      <c r="A105" s="170" t="n">
        <f aca="false">+A104+1</f>
        <v>85</v>
      </c>
      <c r="B105" s="179" t="s">
        <v>393</v>
      </c>
      <c r="C105" s="180" t="n">
        <v>45863</v>
      </c>
      <c r="D105" s="179" t="s">
        <v>191</v>
      </c>
      <c r="E105" s="181" t="s">
        <v>394</v>
      </c>
      <c r="F105" s="179" t="s">
        <v>395</v>
      </c>
      <c r="G105" s="181" t="s">
        <v>396</v>
      </c>
      <c r="H105" s="181" t="s">
        <v>189</v>
      </c>
      <c r="I105" s="181" t="s">
        <v>20</v>
      </c>
      <c r="J105" s="180" t="n">
        <v>45866</v>
      </c>
      <c r="K105" s="182" t="n">
        <v>45866</v>
      </c>
      <c r="L105" s="20" t="n">
        <v>1</v>
      </c>
    </row>
    <row r="106" customFormat="false" ht="36.65" hidden="false" customHeight="true" outlineLevel="0" collapsed="false">
      <c r="A106" s="170" t="n">
        <f aca="false">+A105+1</f>
        <v>86</v>
      </c>
      <c r="B106" s="179" t="s">
        <v>190</v>
      </c>
      <c r="C106" s="180" t="n">
        <v>45863</v>
      </c>
      <c r="D106" s="179" t="s">
        <v>364</v>
      </c>
      <c r="E106" s="181" t="s">
        <v>397</v>
      </c>
      <c r="F106" s="179" t="s">
        <v>201</v>
      </c>
      <c r="G106" s="181" t="s">
        <v>398</v>
      </c>
      <c r="H106" s="181" t="s">
        <v>189</v>
      </c>
      <c r="I106" s="181" t="s">
        <v>20</v>
      </c>
      <c r="J106" s="180" t="n">
        <v>45868</v>
      </c>
      <c r="K106" s="182" t="n">
        <v>45868</v>
      </c>
      <c r="L106" s="20" t="n">
        <v>1</v>
      </c>
    </row>
    <row r="107" customFormat="false" ht="36.65" hidden="false" customHeight="true" outlineLevel="0" collapsed="false">
      <c r="A107" s="170" t="n">
        <f aca="false">+A106+1</f>
        <v>87</v>
      </c>
      <c r="B107" s="179" t="s">
        <v>250</v>
      </c>
      <c r="C107" s="180" t="n">
        <v>45863</v>
      </c>
      <c r="D107" s="179" t="s">
        <v>144</v>
      </c>
      <c r="E107" s="181" t="s">
        <v>399</v>
      </c>
      <c r="F107" s="179" t="s">
        <v>187</v>
      </c>
      <c r="G107" s="181" t="s">
        <v>400</v>
      </c>
      <c r="H107" s="181" t="s">
        <v>189</v>
      </c>
      <c r="I107" s="181" t="s">
        <v>20</v>
      </c>
      <c r="J107" s="180" t="n">
        <v>45869</v>
      </c>
      <c r="K107" s="182" t="n">
        <v>45869</v>
      </c>
      <c r="L107" s="20" t="n">
        <v>1</v>
      </c>
    </row>
    <row r="108" customFormat="false" ht="36.65" hidden="false" customHeight="true" outlineLevel="0" collapsed="false">
      <c r="A108" s="170" t="n">
        <f aca="false">+A107+1</f>
        <v>88</v>
      </c>
      <c r="B108" s="179" t="s">
        <v>190</v>
      </c>
      <c r="C108" s="180" t="n">
        <v>45863</v>
      </c>
      <c r="D108" s="179" t="s">
        <v>144</v>
      </c>
      <c r="E108" s="181" t="s">
        <v>391</v>
      </c>
      <c r="F108" s="179" t="s">
        <v>187</v>
      </c>
      <c r="G108" s="181" t="s">
        <v>401</v>
      </c>
      <c r="H108" s="181" t="s">
        <v>189</v>
      </c>
      <c r="I108" s="181" t="s">
        <v>213</v>
      </c>
      <c r="J108" s="180" t="n">
        <v>45866</v>
      </c>
      <c r="K108" s="182" t="n">
        <v>45866</v>
      </c>
      <c r="L108" s="20" t="n">
        <v>1</v>
      </c>
    </row>
    <row r="109" customFormat="false" ht="36.65" hidden="false" customHeight="true" outlineLevel="0" collapsed="false">
      <c r="A109" s="170" t="n">
        <f aca="false">+A108+1</f>
        <v>89</v>
      </c>
      <c r="B109" s="179" t="s">
        <v>393</v>
      </c>
      <c r="C109" s="180" t="n">
        <v>45863</v>
      </c>
      <c r="D109" s="179" t="s">
        <v>144</v>
      </c>
      <c r="E109" s="181" t="s">
        <v>402</v>
      </c>
      <c r="F109" s="179" t="s">
        <v>187</v>
      </c>
      <c r="G109" s="181" t="s">
        <v>403</v>
      </c>
      <c r="H109" s="181" t="s">
        <v>189</v>
      </c>
      <c r="I109" s="181" t="s">
        <v>379</v>
      </c>
      <c r="J109" s="180" t="n">
        <v>45868</v>
      </c>
      <c r="K109" s="182" t="n">
        <v>45868</v>
      </c>
      <c r="L109" s="20" t="n">
        <v>1</v>
      </c>
    </row>
    <row r="110" customFormat="false" ht="36.65" hidden="false" customHeight="true" outlineLevel="0" collapsed="false">
      <c r="A110" s="170" t="n">
        <f aca="false">+A109+1</f>
        <v>90</v>
      </c>
      <c r="B110" s="179" t="s">
        <v>190</v>
      </c>
      <c r="C110" s="180" t="n">
        <v>45863</v>
      </c>
      <c r="D110" s="179" t="s">
        <v>144</v>
      </c>
      <c r="E110" s="181" t="s">
        <v>402</v>
      </c>
      <c r="F110" s="179" t="s">
        <v>201</v>
      </c>
      <c r="G110" s="181" t="s">
        <v>404</v>
      </c>
      <c r="H110" s="181" t="s">
        <v>189</v>
      </c>
      <c r="I110" s="181" t="s">
        <v>213</v>
      </c>
      <c r="J110" s="180" t="n">
        <v>45870</v>
      </c>
      <c r="K110" s="182" t="n">
        <v>45870</v>
      </c>
      <c r="L110" s="20" t="n">
        <v>1</v>
      </c>
    </row>
    <row r="111" customFormat="false" ht="36.65" hidden="false" customHeight="true" outlineLevel="0" collapsed="false">
      <c r="A111" s="170" t="n">
        <f aca="false">+A110+1</f>
        <v>91</v>
      </c>
      <c r="B111" s="179" t="s">
        <v>250</v>
      </c>
      <c r="C111" s="180" t="n">
        <v>45863</v>
      </c>
      <c r="D111" s="179" t="s">
        <v>191</v>
      </c>
      <c r="E111" s="181" t="s">
        <v>402</v>
      </c>
      <c r="F111" s="179" t="s">
        <v>405</v>
      </c>
      <c r="G111" s="181" t="s">
        <v>406</v>
      </c>
      <c r="H111" s="181" t="s">
        <v>189</v>
      </c>
      <c r="I111" s="181" t="s">
        <v>213</v>
      </c>
      <c r="J111" s="180" t="n">
        <v>45867</v>
      </c>
      <c r="K111" s="182" t="n">
        <v>45867</v>
      </c>
      <c r="L111" s="20" t="n">
        <v>1</v>
      </c>
    </row>
    <row r="112" customFormat="false" ht="36.65" hidden="false" customHeight="true" outlineLevel="0" collapsed="false">
      <c r="A112" s="170" t="n">
        <f aca="false">+A111+1</f>
        <v>92</v>
      </c>
      <c r="B112" s="179" t="s">
        <v>190</v>
      </c>
      <c r="C112" s="180" t="n">
        <v>45863</v>
      </c>
      <c r="D112" s="179" t="s">
        <v>191</v>
      </c>
      <c r="E112" s="181" t="s">
        <v>391</v>
      </c>
      <c r="F112" s="179"/>
      <c r="G112" s="181" t="s">
        <v>407</v>
      </c>
      <c r="H112" s="181" t="s">
        <v>189</v>
      </c>
      <c r="I112" s="181" t="s">
        <v>356</v>
      </c>
      <c r="J112" s="180" t="n">
        <v>45866</v>
      </c>
      <c r="K112" s="182"/>
      <c r="L112" s="20" t="n">
        <v>1</v>
      </c>
    </row>
    <row r="113" customFormat="false" ht="36.65" hidden="false" customHeight="true" outlineLevel="0" collapsed="false">
      <c r="A113" s="170" t="n">
        <f aca="false">+A112+1</f>
        <v>93</v>
      </c>
      <c r="B113" s="179" t="s">
        <v>250</v>
      </c>
      <c r="C113" s="180" t="n">
        <v>45863</v>
      </c>
      <c r="D113" s="179" t="s">
        <v>191</v>
      </c>
      <c r="E113" s="181" t="s">
        <v>399</v>
      </c>
      <c r="F113" s="179" t="s">
        <v>201</v>
      </c>
      <c r="G113" s="181" t="s">
        <v>408</v>
      </c>
      <c r="H113" s="181" t="s">
        <v>189</v>
      </c>
      <c r="I113" s="181" t="s">
        <v>20</v>
      </c>
      <c r="J113" s="180" t="n">
        <v>45866</v>
      </c>
      <c r="K113" s="182"/>
      <c r="L113" s="20" t="n">
        <v>1</v>
      </c>
    </row>
    <row r="114" customFormat="false" ht="36.65" hidden="false" customHeight="true" outlineLevel="0" collapsed="false">
      <c r="A114" s="170" t="n">
        <f aca="false">+A113+1</f>
        <v>94</v>
      </c>
      <c r="B114" s="179" t="s">
        <v>393</v>
      </c>
      <c r="C114" s="180" t="n">
        <v>45849</v>
      </c>
      <c r="D114" s="179" t="s">
        <v>144</v>
      </c>
      <c r="E114" s="181" t="s">
        <v>357</v>
      </c>
      <c r="F114" s="179" t="s">
        <v>187</v>
      </c>
      <c r="G114" s="181" t="s">
        <v>409</v>
      </c>
      <c r="H114" s="181" t="s">
        <v>189</v>
      </c>
      <c r="I114" s="181" t="s">
        <v>379</v>
      </c>
      <c r="J114" s="180" t="n">
        <v>45853</v>
      </c>
      <c r="K114" s="182"/>
      <c r="L114" s="20" t="n">
        <v>1</v>
      </c>
    </row>
    <row r="115" customFormat="false" ht="36.65" hidden="false" customHeight="true" outlineLevel="0" collapsed="false">
      <c r="A115" s="170" t="n">
        <f aca="false">+A114+1</f>
        <v>95</v>
      </c>
      <c r="B115" s="179"/>
      <c r="C115" s="180" t="n">
        <v>45870</v>
      </c>
      <c r="D115" s="179" t="s">
        <v>205</v>
      </c>
      <c r="E115" s="181" t="s">
        <v>410</v>
      </c>
      <c r="F115" s="179" t="s">
        <v>187</v>
      </c>
      <c r="G115" s="181" t="s">
        <v>411</v>
      </c>
      <c r="H115" s="181" t="s">
        <v>189</v>
      </c>
      <c r="I115" s="181" t="s">
        <v>50</v>
      </c>
      <c r="J115" s="180" t="n">
        <v>45870</v>
      </c>
      <c r="K115" s="182"/>
      <c r="L115" s="20" t="n">
        <v>1</v>
      </c>
    </row>
    <row r="116" customFormat="false" ht="36.65" hidden="false" customHeight="true" outlineLevel="0" collapsed="false">
      <c r="A116" s="170" t="n">
        <f aca="false">+A115+1</f>
        <v>96</v>
      </c>
      <c r="B116" s="179"/>
      <c r="C116" s="180" t="n">
        <v>45870</v>
      </c>
      <c r="D116" s="179" t="s">
        <v>191</v>
      </c>
      <c r="E116" s="181" t="s">
        <v>412</v>
      </c>
      <c r="F116" s="179" t="s">
        <v>201</v>
      </c>
      <c r="G116" s="181" t="s">
        <v>413</v>
      </c>
      <c r="H116" s="181" t="s">
        <v>189</v>
      </c>
      <c r="I116" s="181" t="s">
        <v>20</v>
      </c>
      <c r="J116" s="180" t="n">
        <v>45870</v>
      </c>
      <c r="K116" s="182" t="n">
        <v>45894</v>
      </c>
      <c r="L116" s="20" t="n">
        <v>1</v>
      </c>
    </row>
    <row r="117" customFormat="false" ht="36.65" hidden="false" customHeight="true" outlineLevel="0" collapsed="false">
      <c r="A117" s="170" t="n">
        <f aca="false">+A116+1</f>
        <v>97</v>
      </c>
      <c r="B117" s="179"/>
      <c r="C117" s="180" t="n">
        <v>45870</v>
      </c>
      <c r="D117" s="179" t="s">
        <v>191</v>
      </c>
      <c r="E117" s="181" t="s">
        <v>412</v>
      </c>
      <c r="F117" s="179" t="s">
        <v>201</v>
      </c>
      <c r="G117" s="181" t="s">
        <v>414</v>
      </c>
      <c r="H117" s="181" t="s">
        <v>189</v>
      </c>
      <c r="I117" s="181" t="s">
        <v>20</v>
      </c>
      <c r="J117" s="180" t="n">
        <v>45870</v>
      </c>
      <c r="K117" s="182" t="n">
        <v>45894</v>
      </c>
      <c r="L117" s="20" t="n">
        <v>1</v>
      </c>
    </row>
    <row r="118" customFormat="false" ht="36.65" hidden="false" customHeight="true" outlineLevel="0" collapsed="false">
      <c r="A118" s="170" t="n">
        <f aca="false">+A117+1</f>
        <v>98</v>
      </c>
      <c r="B118" s="179"/>
      <c r="C118" s="180" t="n">
        <v>45870</v>
      </c>
      <c r="D118" s="179" t="s">
        <v>191</v>
      </c>
      <c r="E118" s="181" t="s">
        <v>415</v>
      </c>
      <c r="F118" s="179" t="s">
        <v>211</v>
      </c>
      <c r="G118" s="181" t="s">
        <v>416</v>
      </c>
      <c r="H118" s="181" t="s">
        <v>189</v>
      </c>
      <c r="I118" s="181" t="s">
        <v>213</v>
      </c>
      <c r="J118" s="180" t="n">
        <v>45870</v>
      </c>
      <c r="K118" s="182" t="n">
        <v>45889</v>
      </c>
      <c r="L118" s="20" t="n">
        <v>1</v>
      </c>
    </row>
    <row r="119" customFormat="false" ht="36.65" hidden="false" customHeight="true" outlineLevel="0" collapsed="false">
      <c r="A119" s="170" t="n">
        <f aca="false">+A118+1</f>
        <v>99</v>
      </c>
      <c r="B119" s="179" t="s">
        <v>190</v>
      </c>
      <c r="C119" s="180" t="n">
        <v>45887</v>
      </c>
      <c r="D119" s="179" t="s">
        <v>144</v>
      </c>
      <c r="E119" s="181" t="s">
        <v>417</v>
      </c>
      <c r="F119" s="179" t="s">
        <v>193</v>
      </c>
      <c r="G119" s="181" t="s">
        <v>418</v>
      </c>
      <c r="H119" s="181" t="s">
        <v>189</v>
      </c>
      <c r="I119" s="181" t="s">
        <v>44</v>
      </c>
      <c r="J119" s="180" t="n">
        <v>45889</v>
      </c>
      <c r="K119" s="182" t="n">
        <v>45889</v>
      </c>
      <c r="L119" s="20" t="n">
        <v>1</v>
      </c>
    </row>
    <row r="120" customFormat="false" ht="36.65" hidden="false" customHeight="true" outlineLevel="0" collapsed="false">
      <c r="A120" s="170" t="n">
        <f aca="false">+A119+1</f>
        <v>100</v>
      </c>
      <c r="B120" s="179" t="s">
        <v>219</v>
      </c>
      <c r="C120" s="180" t="n">
        <v>45887</v>
      </c>
      <c r="D120" s="179" t="s">
        <v>191</v>
      </c>
      <c r="E120" s="181" t="s">
        <v>419</v>
      </c>
      <c r="F120" s="179" t="s">
        <v>318</v>
      </c>
      <c r="G120" s="181" t="s">
        <v>420</v>
      </c>
      <c r="H120" s="181" t="s">
        <v>189</v>
      </c>
      <c r="I120" s="181" t="s">
        <v>20</v>
      </c>
      <c r="J120" s="180" t="n">
        <v>45891</v>
      </c>
      <c r="K120" s="182" t="n">
        <v>45891</v>
      </c>
      <c r="L120" s="20" t="n">
        <v>1</v>
      </c>
    </row>
    <row r="121" customFormat="false" ht="36.65" hidden="false" customHeight="true" outlineLevel="0" collapsed="false">
      <c r="A121" s="170" t="n">
        <f aca="false">+A120+1</f>
        <v>101</v>
      </c>
      <c r="B121" s="179" t="s">
        <v>190</v>
      </c>
      <c r="C121" s="180" t="n">
        <v>45887</v>
      </c>
      <c r="D121" s="179" t="s">
        <v>144</v>
      </c>
      <c r="E121" s="181" t="s">
        <v>273</v>
      </c>
      <c r="F121" s="179" t="s">
        <v>187</v>
      </c>
      <c r="G121" s="181" t="s">
        <v>421</v>
      </c>
      <c r="H121" s="181" t="s">
        <v>189</v>
      </c>
      <c r="I121" s="181" t="s">
        <v>20</v>
      </c>
      <c r="J121" s="180" t="n">
        <v>45891</v>
      </c>
      <c r="K121" s="182" t="n">
        <v>45898</v>
      </c>
      <c r="L121" s="20" t="n">
        <v>1</v>
      </c>
    </row>
    <row r="122" customFormat="false" ht="36.65" hidden="false" customHeight="true" outlineLevel="0" collapsed="false">
      <c r="A122" s="170" t="n">
        <f aca="false">+A121+1</f>
        <v>102</v>
      </c>
      <c r="B122" s="179" t="s">
        <v>190</v>
      </c>
      <c r="C122" s="180" t="n">
        <v>45887</v>
      </c>
      <c r="D122" s="179" t="s">
        <v>191</v>
      </c>
      <c r="E122" s="181" t="s">
        <v>186</v>
      </c>
      <c r="F122" s="179" t="s">
        <v>187</v>
      </c>
      <c r="G122" s="181" t="s">
        <v>422</v>
      </c>
      <c r="H122" s="181" t="s">
        <v>189</v>
      </c>
      <c r="I122" s="181" t="s">
        <v>20</v>
      </c>
      <c r="J122" s="180" t="n">
        <v>45887</v>
      </c>
      <c r="K122" s="182" t="n">
        <v>45911</v>
      </c>
      <c r="L122" s="20" t="n">
        <v>1</v>
      </c>
    </row>
    <row r="123" customFormat="false" ht="36.65" hidden="false" customHeight="true" outlineLevel="0" collapsed="false">
      <c r="A123" s="170" t="n">
        <f aca="false">+A122+1</f>
        <v>103</v>
      </c>
      <c r="B123" s="179" t="s">
        <v>190</v>
      </c>
      <c r="C123" s="180" t="n">
        <v>45898</v>
      </c>
      <c r="D123" s="179"/>
      <c r="E123" s="181"/>
      <c r="F123" s="179"/>
      <c r="G123" s="181" t="s">
        <v>423</v>
      </c>
      <c r="H123" s="181" t="s">
        <v>189</v>
      </c>
      <c r="I123" s="181" t="s">
        <v>20</v>
      </c>
      <c r="J123" s="180" t="n">
        <v>45905</v>
      </c>
      <c r="K123" s="182" t="n">
        <v>45911</v>
      </c>
      <c r="L123" s="20" t="n">
        <v>1</v>
      </c>
    </row>
    <row r="124" customFormat="false" ht="36.65" hidden="false" customHeight="true" outlineLevel="0" collapsed="false">
      <c r="A124" s="170" t="n">
        <f aca="false">+A123+1</f>
        <v>104</v>
      </c>
      <c r="B124" s="179" t="s">
        <v>190</v>
      </c>
      <c r="C124" s="180" t="n">
        <v>45936</v>
      </c>
      <c r="D124" s="179" t="s">
        <v>144</v>
      </c>
      <c r="E124" s="181" t="s">
        <v>391</v>
      </c>
      <c r="F124" s="179" t="s">
        <v>424</v>
      </c>
      <c r="G124" s="181" t="s">
        <v>425</v>
      </c>
      <c r="H124" s="181" t="s">
        <v>189</v>
      </c>
      <c r="I124" s="181" t="s">
        <v>20</v>
      </c>
      <c r="J124" s="180" t="n">
        <v>45936</v>
      </c>
      <c r="K124" s="180" t="n">
        <v>45940</v>
      </c>
      <c r="L124" s="20" t="n">
        <v>1</v>
      </c>
    </row>
    <row r="125" customFormat="false" ht="36.65" hidden="false" customHeight="true" outlineLevel="0" collapsed="false">
      <c r="A125" s="170" t="n">
        <f aca="false">+A124+1</f>
        <v>105</v>
      </c>
      <c r="B125" s="179" t="n">
        <v>4</v>
      </c>
      <c r="C125" s="180" t="n">
        <v>45936</v>
      </c>
      <c r="D125" s="179" t="s">
        <v>191</v>
      </c>
      <c r="E125" s="181" t="s">
        <v>426</v>
      </c>
      <c r="F125" s="179" t="s">
        <v>201</v>
      </c>
      <c r="G125" s="181" t="s">
        <v>427</v>
      </c>
      <c r="H125" s="181" t="s">
        <v>189</v>
      </c>
      <c r="I125" s="181" t="s">
        <v>20</v>
      </c>
      <c r="J125" s="180" t="n">
        <v>45936</v>
      </c>
      <c r="K125" s="180" t="n">
        <v>45936</v>
      </c>
      <c r="L125" s="20" t="n">
        <v>1</v>
      </c>
    </row>
    <row r="126" customFormat="false" ht="36.65" hidden="false" customHeight="true" outlineLevel="0" collapsed="false">
      <c r="A126" s="170" t="n">
        <f aca="false">+A125+1</f>
        <v>106</v>
      </c>
      <c r="B126" s="179" t="s">
        <v>190</v>
      </c>
      <c r="C126" s="180" t="n">
        <v>45936</v>
      </c>
      <c r="D126" s="179" t="s">
        <v>144</v>
      </c>
      <c r="E126" s="181" t="s">
        <v>428</v>
      </c>
      <c r="F126" s="179" t="s">
        <v>201</v>
      </c>
      <c r="G126" s="181" t="s">
        <v>429</v>
      </c>
      <c r="H126" s="181" t="s">
        <v>189</v>
      </c>
      <c r="I126" s="181" t="s">
        <v>20</v>
      </c>
      <c r="J126" s="180" t="n">
        <v>45936</v>
      </c>
      <c r="K126" s="180" t="n">
        <v>45936</v>
      </c>
      <c r="L126" s="20" t="n">
        <v>1</v>
      </c>
    </row>
    <row r="127" customFormat="false" ht="36.65" hidden="false" customHeight="true" outlineLevel="0" collapsed="false">
      <c r="A127" s="170" t="n">
        <f aca="false">+A126+1</f>
        <v>107</v>
      </c>
      <c r="B127" s="179" t="s">
        <v>190</v>
      </c>
      <c r="C127" s="180" t="n">
        <v>45936</v>
      </c>
      <c r="D127" s="179" t="s">
        <v>190</v>
      </c>
      <c r="E127" s="181" t="s">
        <v>430</v>
      </c>
      <c r="F127" s="179" t="s">
        <v>229</v>
      </c>
      <c r="G127" s="181" t="s">
        <v>431</v>
      </c>
      <c r="H127" s="181" t="s">
        <v>189</v>
      </c>
      <c r="I127" s="181" t="s">
        <v>20</v>
      </c>
      <c r="J127" s="180" t="n">
        <v>45936</v>
      </c>
      <c r="K127" s="182" t="n">
        <v>45940</v>
      </c>
      <c r="L127" s="20" t="n">
        <v>1</v>
      </c>
    </row>
    <row r="128" customFormat="false" ht="36.65" hidden="false" customHeight="true" outlineLevel="0" collapsed="false">
      <c r="A128" s="170" t="n">
        <f aca="false">+A127+1</f>
        <v>108</v>
      </c>
      <c r="B128" s="179" t="n">
        <v>7</v>
      </c>
      <c r="C128" s="180" t="n">
        <v>45947</v>
      </c>
      <c r="D128" s="179" t="s">
        <v>144</v>
      </c>
      <c r="E128" s="181" t="s">
        <v>432</v>
      </c>
      <c r="F128" s="179" t="s">
        <v>201</v>
      </c>
      <c r="G128" s="181" t="s">
        <v>433</v>
      </c>
      <c r="H128" s="181" t="s">
        <v>189</v>
      </c>
      <c r="I128" s="181" t="s">
        <v>20</v>
      </c>
      <c r="J128" s="180" t="n">
        <v>45947</v>
      </c>
      <c r="K128" s="182" t="n">
        <v>45947</v>
      </c>
      <c r="L128" s="20" t="n">
        <v>1</v>
      </c>
    </row>
    <row r="129" customFormat="false" ht="36.65" hidden="false" customHeight="true" outlineLevel="0" collapsed="false">
      <c r="A129" s="170" t="n">
        <f aca="false">+A128+1</f>
        <v>109</v>
      </c>
      <c r="B129" s="181" t="s">
        <v>434</v>
      </c>
      <c r="C129" s="180" t="n">
        <v>45947</v>
      </c>
      <c r="D129" s="179" t="s">
        <v>144</v>
      </c>
      <c r="E129" s="181" t="s">
        <v>432</v>
      </c>
      <c r="F129" s="179" t="s">
        <v>201</v>
      </c>
      <c r="G129" s="181" t="s">
        <v>435</v>
      </c>
      <c r="H129" s="181" t="s">
        <v>189</v>
      </c>
      <c r="I129" s="181" t="s">
        <v>20</v>
      </c>
      <c r="J129" s="180" t="n">
        <v>45947</v>
      </c>
      <c r="K129" s="182" t="n">
        <v>45947</v>
      </c>
      <c r="L129" s="20" t="n">
        <v>1</v>
      </c>
    </row>
    <row r="130" customFormat="false" ht="36.65" hidden="false" customHeight="true" outlineLevel="0" collapsed="false">
      <c r="A130" s="170" t="n">
        <f aca="false">+A129+1</f>
        <v>110</v>
      </c>
      <c r="B130" s="179" t="n">
        <v>5</v>
      </c>
      <c r="C130" s="180" t="n">
        <v>45947</v>
      </c>
      <c r="D130" s="179" t="s">
        <v>144</v>
      </c>
      <c r="E130" s="181" t="s">
        <v>436</v>
      </c>
      <c r="F130" s="179" t="s">
        <v>201</v>
      </c>
      <c r="G130" s="181" t="s">
        <v>437</v>
      </c>
      <c r="H130" s="181" t="s">
        <v>189</v>
      </c>
      <c r="I130" s="181" t="s">
        <v>20</v>
      </c>
      <c r="J130" s="180" t="n">
        <v>45947</v>
      </c>
      <c r="K130" s="182" t="n">
        <v>45947</v>
      </c>
      <c r="L130" s="20" t="n">
        <v>1</v>
      </c>
    </row>
    <row r="131" customFormat="false" ht="36.65" hidden="false" customHeight="true" outlineLevel="0" collapsed="false">
      <c r="A131" s="170" t="n">
        <f aca="false">+A130+1</f>
        <v>111</v>
      </c>
      <c r="B131" s="179" t="s">
        <v>190</v>
      </c>
      <c r="C131" s="180" t="n">
        <v>45891</v>
      </c>
      <c r="D131" s="179" t="s">
        <v>144</v>
      </c>
      <c r="E131" s="181" t="s">
        <v>438</v>
      </c>
      <c r="F131" s="179" t="s">
        <v>439</v>
      </c>
      <c r="G131" s="181" t="s">
        <v>440</v>
      </c>
      <c r="H131" s="181" t="s">
        <v>189</v>
      </c>
      <c r="I131" s="181" t="s">
        <v>441</v>
      </c>
      <c r="J131" s="180" t="n">
        <v>45891</v>
      </c>
      <c r="K131" s="182" t="n">
        <v>45954</v>
      </c>
      <c r="L131" s="20" t="n">
        <v>1</v>
      </c>
    </row>
    <row r="132" customFormat="false" ht="36.65" hidden="false" customHeight="true" outlineLevel="0" collapsed="false">
      <c r="A132" s="170" t="n">
        <f aca="false">+A131+1</f>
        <v>112</v>
      </c>
      <c r="B132" s="179" t="s">
        <v>190</v>
      </c>
      <c r="C132" s="180" t="n">
        <v>45898</v>
      </c>
      <c r="D132" s="179" t="s">
        <v>144</v>
      </c>
      <c r="E132" s="181" t="s">
        <v>442</v>
      </c>
      <c r="F132" s="179" t="s">
        <v>187</v>
      </c>
      <c r="G132" s="181" t="s">
        <v>443</v>
      </c>
      <c r="H132" s="181" t="s">
        <v>189</v>
      </c>
      <c r="I132" s="181" t="s">
        <v>379</v>
      </c>
      <c r="J132" s="180" t="n">
        <v>45903</v>
      </c>
      <c r="K132" s="182" t="n">
        <v>45954</v>
      </c>
      <c r="L132" s="20" t="n">
        <v>1</v>
      </c>
    </row>
    <row r="133" customFormat="false" ht="36.65" hidden="false" customHeight="true" outlineLevel="0" collapsed="false">
      <c r="A133" s="170" t="n">
        <f aca="false">+A132+1</f>
        <v>113</v>
      </c>
      <c r="B133" s="179" t="s">
        <v>190</v>
      </c>
      <c r="C133" s="180" t="n">
        <v>45954</v>
      </c>
      <c r="D133" s="179" t="s">
        <v>144</v>
      </c>
      <c r="E133" s="181" t="s">
        <v>444</v>
      </c>
      <c r="F133" s="179" t="s">
        <v>201</v>
      </c>
      <c r="G133" s="181" t="s">
        <v>445</v>
      </c>
      <c r="H133" s="181" t="s">
        <v>189</v>
      </c>
      <c r="I133" s="181" t="s">
        <v>20</v>
      </c>
      <c r="J133" s="180" t="n">
        <v>45954</v>
      </c>
      <c r="K133" s="180" t="n">
        <v>45954</v>
      </c>
      <c r="L133" s="20" t="n">
        <v>1</v>
      </c>
    </row>
    <row r="134" customFormat="false" ht="36.65" hidden="false" customHeight="true" outlineLevel="0" collapsed="false">
      <c r="A134" s="170" t="n">
        <f aca="false">+A133+1</f>
        <v>114</v>
      </c>
      <c r="B134" s="179" t="s">
        <v>190</v>
      </c>
      <c r="C134" s="180" t="n">
        <v>45954</v>
      </c>
      <c r="D134" s="179" t="s">
        <v>144</v>
      </c>
      <c r="E134" s="181" t="s">
        <v>444</v>
      </c>
      <c r="F134" s="179" t="s">
        <v>201</v>
      </c>
      <c r="G134" s="181" t="s">
        <v>446</v>
      </c>
      <c r="H134" s="181" t="s">
        <v>189</v>
      </c>
      <c r="I134" s="181" t="s">
        <v>20</v>
      </c>
      <c r="J134" s="180" t="n">
        <v>45954</v>
      </c>
      <c r="K134" s="180" t="n">
        <v>45954</v>
      </c>
      <c r="L134" s="20" t="n">
        <v>1</v>
      </c>
    </row>
    <row r="135" customFormat="false" ht="36.65" hidden="false" customHeight="true" outlineLevel="0" collapsed="false">
      <c r="A135" s="170" t="n">
        <f aca="false">+A134+1</f>
        <v>115</v>
      </c>
      <c r="B135" s="179" t="s">
        <v>190</v>
      </c>
      <c r="C135" s="180" t="n">
        <v>45954</v>
      </c>
      <c r="D135" s="179" t="s">
        <v>364</v>
      </c>
      <c r="E135" s="181" t="s">
        <v>444</v>
      </c>
      <c r="F135" s="179" t="s">
        <v>201</v>
      </c>
      <c r="G135" s="181" t="s">
        <v>447</v>
      </c>
      <c r="H135" s="181" t="s">
        <v>189</v>
      </c>
      <c r="I135" s="181" t="s">
        <v>20</v>
      </c>
      <c r="J135" s="180" t="n">
        <v>45954</v>
      </c>
      <c r="K135" s="180" t="n">
        <v>45954</v>
      </c>
      <c r="L135" s="20" t="n">
        <v>1</v>
      </c>
    </row>
    <row r="136" customFormat="false" ht="36.65" hidden="false" customHeight="true" outlineLevel="0" collapsed="false">
      <c r="A136" s="170" t="n">
        <f aca="false">+A135+1</f>
        <v>116</v>
      </c>
      <c r="B136" s="179" t="s">
        <v>448</v>
      </c>
      <c r="C136" s="180" t="n">
        <v>45954</v>
      </c>
      <c r="D136" s="179" t="s">
        <v>364</v>
      </c>
      <c r="E136" s="181" t="s">
        <v>449</v>
      </c>
      <c r="F136" s="179" t="s">
        <v>201</v>
      </c>
      <c r="G136" s="181" t="s">
        <v>450</v>
      </c>
      <c r="H136" s="181" t="s">
        <v>189</v>
      </c>
      <c r="I136" s="181" t="s">
        <v>20</v>
      </c>
      <c r="J136" s="180" t="n">
        <v>45954</v>
      </c>
      <c r="K136" s="180" t="n">
        <v>45954</v>
      </c>
      <c r="L136" s="20" t="n">
        <v>1</v>
      </c>
    </row>
    <row r="137" customFormat="false" ht="36.65" hidden="false" customHeight="true" outlineLevel="0" collapsed="false">
      <c r="A137" s="170" t="n">
        <f aca="false">+A136+1</f>
        <v>117</v>
      </c>
      <c r="B137" s="179" t="n">
        <v>5</v>
      </c>
      <c r="C137" s="180" t="n">
        <v>45954</v>
      </c>
      <c r="D137" s="179" t="s">
        <v>364</v>
      </c>
      <c r="E137" s="181" t="s">
        <v>451</v>
      </c>
      <c r="F137" s="179" t="s">
        <v>201</v>
      </c>
      <c r="G137" s="181" t="s">
        <v>452</v>
      </c>
      <c r="H137" s="181" t="s">
        <v>189</v>
      </c>
      <c r="I137" s="181" t="s">
        <v>20</v>
      </c>
      <c r="J137" s="180" t="n">
        <v>45954</v>
      </c>
      <c r="K137" s="180" t="n">
        <v>45954</v>
      </c>
      <c r="L137" s="20" t="n">
        <v>1</v>
      </c>
    </row>
    <row r="138" customFormat="false" ht="36.65" hidden="false" customHeight="true" outlineLevel="0" collapsed="false">
      <c r="A138" s="170" t="n">
        <f aca="false">+A137+1</f>
        <v>118</v>
      </c>
      <c r="B138" s="179" t="s">
        <v>453</v>
      </c>
      <c r="C138" s="180" t="n">
        <v>45954</v>
      </c>
      <c r="D138" s="179" t="s">
        <v>144</v>
      </c>
      <c r="E138" s="181" t="s">
        <v>454</v>
      </c>
      <c r="F138" s="179" t="s">
        <v>187</v>
      </c>
      <c r="G138" s="181" t="s">
        <v>455</v>
      </c>
      <c r="H138" s="181" t="s">
        <v>189</v>
      </c>
      <c r="I138" s="181" t="s">
        <v>14</v>
      </c>
      <c r="J138" s="180" t="n">
        <v>45954</v>
      </c>
      <c r="K138" s="180" t="n">
        <v>45954</v>
      </c>
      <c r="L138" s="20" t="n">
        <v>1</v>
      </c>
    </row>
    <row r="139" customFormat="false" ht="36.65" hidden="false" customHeight="true" outlineLevel="0" collapsed="false">
      <c r="A139" s="170" t="n">
        <f aca="false">+A138+1</f>
        <v>119</v>
      </c>
      <c r="B139" s="179" t="s">
        <v>190</v>
      </c>
      <c r="C139" s="180" t="n">
        <v>45954</v>
      </c>
      <c r="D139" s="179" t="s">
        <v>144</v>
      </c>
      <c r="E139" s="181" t="s">
        <v>391</v>
      </c>
      <c r="F139" s="179" t="s">
        <v>387</v>
      </c>
      <c r="G139" s="181" t="s">
        <v>456</v>
      </c>
      <c r="H139" s="181" t="s">
        <v>189</v>
      </c>
      <c r="I139" s="181" t="s">
        <v>20</v>
      </c>
      <c r="J139" s="180" t="n">
        <v>45954</v>
      </c>
      <c r="K139" s="180" t="n">
        <v>45954</v>
      </c>
      <c r="L139" s="20" t="n">
        <v>1</v>
      </c>
    </row>
    <row r="140" customFormat="false" ht="36.65" hidden="false" customHeight="true" outlineLevel="0" collapsed="false">
      <c r="A140" s="170" t="n">
        <f aca="false">+A139+1</f>
        <v>120</v>
      </c>
      <c r="B140" s="193" t="s">
        <v>457</v>
      </c>
      <c r="C140" s="180" t="n">
        <v>45964</v>
      </c>
      <c r="D140" s="179" t="s">
        <v>191</v>
      </c>
      <c r="E140" s="181" t="s">
        <v>458</v>
      </c>
      <c r="F140" s="179" t="s">
        <v>201</v>
      </c>
      <c r="G140" s="181" t="s">
        <v>459</v>
      </c>
      <c r="H140" s="181" t="s">
        <v>189</v>
      </c>
      <c r="I140" s="181" t="s">
        <v>20</v>
      </c>
      <c r="J140" s="180" t="n">
        <v>45964</v>
      </c>
      <c r="K140" s="180" t="n">
        <v>45967</v>
      </c>
      <c r="L140" s="20" t="n">
        <v>1</v>
      </c>
    </row>
    <row r="141" customFormat="false" ht="36.65" hidden="false" customHeight="true" outlineLevel="0" collapsed="false">
      <c r="A141" s="170" t="n">
        <f aca="false">+A140+1</f>
        <v>121</v>
      </c>
      <c r="B141" s="193" t="s">
        <v>190</v>
      </c>
      <c r="C141" s="180" t="n">
        <v>45964</v>
      </c>
      <c r="D141" s="179" t="s">
        <v>144</v>
      </c>
      <c r="E141" s="181" t="s">
        <v>460</v>
      </c>
      <c r="F141" s="179" t="s">
        <v>187</v>
      </c>
      <c r="G141" s="181" t="s">
        <v>461</v>
      </c>
      <c r="H141" s="181" t="s">
        <v>189</v>
      </c>
      <c r="I141" s="181" t="s">
        <v>20</v>
      </c>
      <c r="J141" s="180" t="n">
        <v>45967</v>
      </c>
      <c r="K141" s="180" t="n">
        <v>45967</v>
      </c>
      <c r="L141" s="20" t="n">
        <v>1</v>
      </c>
    </row>
    <row r="142" customFormat="false" ht="36.65" hidden="false" customHeight="true" outlineLevel="0" collapsed="false">
      <c r="A142" s="170" t="n">
        <f aca="false">+A141+1</f>
        <v>122</v>
      </c>
      <c r="B142" s="193" t="s">
        <v>195</v>
      </c>
      <c r="C142" s="180" t="n">
        <v>45964</v>
      </c>
      <c r="D142" s="179" t="s">
        <v>137</v>
      </c>
      <c r="E142" s="181" t="s">
        <v>462</v>
      </c>
      <c r="F142" s="179" t="s">
        <v>201</v>
      </c>
      <c r="G142" s="181" t="s">
        <v>463</v>
      </c>
      <c r="H142" s="181" t="s">
        <v>189</v>
      </c>
      <c r="I142" s="181" t="s">
        <v>20</v>
      </c>
      <c r="J142" s="180" t="n">
        <v>45964</v>
      </c>
      <c r="K142" s="180" t="n">
        <v>45964</v>
      </c>
      <c r="L142" s="20" t="n">
        <v>1</v>
      </c>
    </row>
    <row r="143" customFormat="false" ht="36.65" hidden="false" customHeight="true" outlineLevel="0" collapsed="false">
      <c r="A143" s="170" t="n">
        <f aca="false">+A142+1</f>
        <v>123</v>
      </c>
      <c r="B143" s="193" t="s">
        <v>195</v>
      </c>
      <c r="C143" s="180" t="n">
        <v>45964</v>
      </c>
      <c r="D143" s="179" t="s">
        <v>137</v>
      </c>
      <c r="E143" s="181" t="s">
        <v>462</v>
      </c>
      <c r="F143" s="179" t="s">
        <v>201</v>
      </c>
      <c r="G143" s="181" t="s">
        <v>464</v>
      </c>
      <c r="H143" s="181" t="s">
        <v>189</v>
      </c>
      <c r="I143" s="181" t="s">
        <v>20</v>
      </c>
      <c r="J143" s="180" t="n">
        <v>45964</v>
      </c>
      <c r="K143" s="180" t="n">
        <v>45964</v>
      </c>
      <c r="L143" s="20" t="n">
        <v>1</v>
      </c>
    </row>
    <row r="144" customFormat="false" ht="36.65" hidden="false" customHeight="true" outlineLevel="0" collapsed="false">
      <c r="A144" s="170" t="n">
        <f aca="false">+A143+1</f>
        <v>124</v>
      </c>
      <c r="B144" s="179" t="s">
        <v>190</v>
      </c>
      <c r="C144" s="180" t="n">
        <v>45975</v>
      </c>
      <c r="D144" s="179" t="s">
        <v>191</v>
      </c>
      <c r="E144" s="181" t="s">
        <v>465</v>
      </c>
      <c r="F144" s="179" t="s">
        <v>193</v>
      </c>
      <c r="G144" s="181" t="s">
        <v>466</v>
      </c>
      <c r="H144" s="181" t="s">
        <v>189</v>
      </c>
      <c r="I144" s="181" t="s">
        <v>26</v>
      </c>
      <c r="J144" s="180" t="n">
        <v>45980</v>
      </c>
      <c r="K144" s="182" t="n">
        <v>44519</v>
      </c>
      <c r="L144" s="20" t="n">
        <v>1</v>
      </c>
    </row>
    <row r="145" customFormat="false" ht="36.65" hidden="false" customHeight="true" outlineLevel="0" collapsed="false">
      <c r="A145" s="170"/>
      <c r="B145" s="179" t="s">
        <v>190</v>
      </c>
      <c r="C145" s="180" t="n">
        <v>45975</v>
      </c>
      <c r="D145" s="179" t="s">
        <v>191</v>
      </c>
      <c r="E145" s="181" t="s">
        <v>192</v>
      </c>
      <c r="F145" s="179" t="s">
        <v>193</v>
      </c>
      <c r="G145" s="181" t="s">
        <v>467</v>
      </c>
      <c r="H145" s="181" t="s">
        <v>189</v>
      </c>
      <c r="I145" s="181" t="s">
        <v>20</v>
      </c>
      <c r="J145" s="180" t="n">
        <v>45978</v>
      </c>
      <c r="K145" s="182" t="n">
        <v>45996</v>
      </c>
      <c r="L145" s="20" t="n">
        <v>1</v>
      </c>
    </row>
    <row r="146" customFormat="false" ht="36.65" hidden="false" customHeight="true" outlineLevel="0" collapsed="false">
      <c r="A146" s="170"/>
      <c r="B146" s="179" t="s">
        <v>190</v>
      </c>
      <c r="C146" s="180" t="n">
        <v>45985</v>
      </c>
      <c r="D146" s="179" t="s">
        <v>191</v>
      </c>
      <c r="E146" s="181" t="s">
        <v>444</v>
      </c>
      <c r="F146" s="179" t="s">
        <v>201</v>
      </c>
      <c r="G146" s="181" t="s">
        <v>468</v>
      </c>
      <c r="H146" s="181" t="s">
        <v>189</v>
      </c>
      <c r="I146" s="181" t="s">
        <v>26</v>
      </c>
      <c r="J146" s="180" t="n">
        <v>45986</v>
      </c>
      <c r="K146" s="182" t="n">
        <v>46000</v>
      </c>
      <c r="L146" s="20" t="n">
        <v>1</v>
      </c>
    </row>
    <row r="147" customFormat="false" ht="36.65" hidden="false" customHeight="true" outlineLevel="0" collapsed="false">
      <c r="A147" s="170"/>
      <c r="B147" s="179" t="s">
        <v>199</v>
      </c>
      <c r="C147" s="180" t="n">
        <v>45985</v>
      </c>
      <c r="D147" s="179" t="s">
        <v>137</v>
      </c>
      <c r="E147" s="181" t="s">
        <v>200</v>
      </c>
      <c r="F147" s="179" t="s">
        <v>201</v>
      </c>
      <c r="G147" s="181" t="s">
        <v>469</v>
      </c>
      <c r="H147" s="181" t="s">
        <v>189</v>
      </c>
      <c r="I147" s="181" t="s">
        <v>20</v>
      </c>
      <c r="J147" s="180" t="n">
        <v>45988</v>
      </c>
      <c r="K147" s="182" t="n">
        <v>45996</v>
      </c>
      <c r="L147" s="20" t="n">
        <v>1</v>
      </c>
    </row>
    <row r="148" customFormat="false" ht="36.65" hidden="false" customHeight="true" outlineLevel="0" collapsed="false">
      <c r="A148" s="170"/>
      <c r="B148" s="179" t="s">
        <v>185</v>
      </c>
      <c r="C148" s="180" t="n">
        <v>45992</v>
      </c>
      <c r="D148" s="179" t="s">
        <v>470</v>
      </c>
      <c r="E148" s="181" t="s">
        <v>471</v>
      </c>
      <c r="F148" s="179" t="s">
        <v>201</v>
      </c>
      <c r="G148" s="181" t="s">
        <v>472</v>
      </c>
      <c r="H148" s="181" t="s">
        <v>189</v>
      </c>
      <c r="I148" s="181" t="s">
        <v>20</v>
      </c>
      <c r="J148" s="180" t="n">
        <v>45992</v>
      </c>
      <c r="K148" s="182" t="n">
        <v>45992</v>
      </c>
      <c r="L148" s="20" t="n">
        <v>1</v>
      </c>
    </row>
    <row r="149" customFormat="false" ht="36.65" hidden="false" customHeight="true" outlineLevel="0" collapsed="false">
      <c r="A149" s="170"/>
      <c r="B149" s="179" t="s">
        <v>190</v>
      </c>
      <c r="C149" s="180" t="n">
        <v>45992</v>
      </c>
      <c r="D149" s="179" t="s">
        <v>191</v>
      </c>
      <c r="E149" s="181" t="s">
        <v>444</v>
      </c>
      <c r="F149" s="179" t="s">
        <v>201</v>
      </c>
      <c r="G149" s="181" t="s">
        <v>473</v>
      </c>
      <c r="H149" s="181" t="s">
        <v>189</v>
      </c>
      <c r="I149" s="181" t="s">
        <v>20</v>
      </c>
      <c r="J149" s="180" t="n">
        <v>45995</v>
      </c>
      <c r="K149" s="182" t="n">
        <v>45996</v>
      </c>
      <c r="L149" s="20" t="n">
        <v>1</v>
      </c>
    </row>
    <row r="150" customFormat="false" ht="36.65" hidden="false" customHeight="true" outlineLevel="0" collapsed="false">
      <c r="A150" s="170"/>
      <c r="B150" s="179" t="s">
        <v>250</v>
      </c>
      <c r="C150" s="180" t="n">
        <v>45992</v>
      </c>
      <c r="D150" s="179" t="s">
        <v>191</v>
      </c>
      <c r="E150" s="181" t="s">
        <v>444</v>
      </c>
      <c r="F150" s="179" t="s">
        <v>369</v>
      </c>
      <c r="G150" s="181" t="s">
        <v>474</v>
      </c>
      <c r="H150" s="181" t="s">
        <v>189</v>
      </c>
      <c r="I150" s="181" t="s">
        <v>20</v>
      </c>
      <c r="J150" s="180" t="n">
        <v>45994</v>
      </c>
      <c r="K150" s="182" t="n">
        <v>45994</v>
      </c>
      <c r="L150" s="20" t="n">
        <v>1</v>
      </c>
    </row>
    <row r="151" customFormat="false" ht="36.65" hidden="false" customHeight="true" outlineLevel="0" collapsed="false">
      <c r="A151" s="170"/>
      <c r="B151" s="179" t="s">
        <v>475</v>
      </c>
      <c r="C151" s="180" t="n">
        <v>46000</v>
      </c>
      <c r="D151" s="179" t="s">
        <v>470</v>
      </c>
      <c r="E151" s="181" t="s">
        <v>419</v>
      </c>
      <c r="F151" s="179" t="s">
        <v>201</v>
      </c>
      <c r="G151" s="181" t="s">
        <v>476</v>
      </c>
      <c r="H151" s="181" t="s">
        <v>189</v>
      </c>
      <c r="I151" s="181" t="s">
        <v>20</v>
      </c>
      <c r="J151" s="180" t="n">
        <v>46003</v>
      </c>
      <c r="K151" s="182" t="n">
        <v>46003</v>
      </c>
      <c r="L151" s="20" t="n">
        <v>1</v>
      </c>
    </row>
    <row r="152" customFormat="false" ht="36.65" hidden="false" customHeight="true" outlineLevel="0" collapsed="false">
      <c r="A152" s="170"/>
      <c r="B152" s="179" t="s">
        <v>475</v>
      </c>
      <c r="C152" s="180" t="n">
        <v>46000</v>
      </c>
      <c r="D152" s="179" t="s">
        <v>470</v>
      </c>
      <c r="E152" s="181" t="s">
        <v>419</v>
      </c>
      <c r="F152" s="179" t="s">
        <v>201</v>
      </c>
      <c r="G152" s="181" t="s">
        <v>477</v>
      </c>
      <c r="H152" s="181" t="s">
        <v>189</v>
      </c>
      <c r="I152" s="181" t="s">
        <v>20</v>
      </c>
      <c r="J152" s="180" t="n">
        <v>46004</v>
      </c>
      <c r="K152" s="182" t="n">
        <v>46004</v>
      </c>
      <c r="L152" s="20" t="n">
        <v>1</v>
      </c>
    </row>
    <row r="153" customFormat="false" ht="36.65" hidden="false" customHeight="true" outlineLevel="0" collapsed="false">
      <c r="A153" s="170"/>
      <c r="B153" s="179" t="s">
        <v>232</v>
      </c>
      <c r="C153" s="180" t="n">
        <v>46000</v>
      </c>
      <c r="D153" s="179" t="s">
        <v>144</v>
      </c>
      <c r="E153" s="181" t="s">
        <v>444</v>
      </c>
      <c r="F153" s="179" t="s">
        <v>201</v>
      </c>
      <c r="G153" s="181" t="s">
        <v>478</v>
      </c>
      <c r="H153" s="181" t="s">
        <v>189</v>
      </c>
      <c r="I153" s="181" t="s">
        <v>20</v>
      </c>
      <c r="J153" s="180" t="n">
        <v>46004</v>
      </c>
      <c r="K153" s="182" t="n">
        <v>46004</v>
      </c>
      <c r="L153" s="20" t="n">
        <v>1</v>
      </c>
    </row>
    <row r="154" customFormat="false" ht="36.65" hidden="false" customHeight="true" outlineLevel="0" collapsed="false">
      <c r="A154" s="170"/>
      <c r="B154" s="179" t="s">
        <v>232</v>
      </c>
      <c r="C154" s="180" t="n">
        <v>46000</v>
      </c>
      <c r="D154" s="179" t="s">
        <v>144</v>
      </c>
      <c r="E154" s="181" t="s">
        <v>444</v>
      </c>
      <c r="F154" s="179" t="s">
        <v>201</v>
      </c>
      <c r="G154" s="181" t="s">
        <v>479</v>
      </c>
      <c r="H154" s="181" t="s">
        <v>189</v>
      </c>
      <c r="I154" s="181" t="s">
        <v>20</v>
      </c>
      <c r="J154" s="180" t="n">
        <v>46004</v>
      </c>
      <c r="K154" s="182" t="n">
        <v>46004</v>
      </c>
      <c r="L154" s="20" t="n">
        <v>1</v>
      </c>
    </row>
    <row r="155" customFormat="false" ht="36.65" hidden="false" customHeight="true" outlineLevel="0" collapsed="false">
      <c r="A155" s="170"/>
      <c r="B155" s="179" t="s">
        <v>190</v>
      </c>
      <c r="C155" s="180" t="n">
        <v>45975</v>
      </c>
      <c r="D155" s="179" t="s">
        <v>191</v>
      </c>
      <c r="E155" s="181" t="s">
        <v>444</v>
      </c>
      <c r="F155" s="179" t="s">
        <v>193</v>
      </c>
      <c r="G155" s="181" t="s">
        <v>480</v>
      </c>
      <c r="H155" s="181" t="s">
        <v>189</v>
      </c>
      <c r="I155" s="181" t="s">
        <v>26</v>
      </c>
      <c r="J155" s="180" t="n">
        <v>45980</v>
      </c>
      <c r="K155" s="182" t="n">
        <v>46007</v>
      </c>
      <c r="L155" s="20" t="n">
        <v>1</v>
      </c>
    </row>
    <row r="156" customFormat="false" ht="36.65" hidden="false" customHeight="true" outlineLevel="0" collapsed="false">
      <c r="A156" s="170"/>
      <c r="B156" s="179" t="s">
        <v>195</v>
      </c>
      <c r="C156" s="180" t="n">
        <v>45985</v>
      </c>
      <c r="D156" s="179" t="s">
        <v>144</v>
      </c>
      <c r="E156" s="181" t="s">
        <v>196</v>
      </c>
      <c r="F156" s="179" t="s">
        <v>197</v>
      </c>
      <c r="G156" s="181" t="s">
        <v>481</v>
      </c>
      <c r="H156" s="181" t="s">
        <v>189</v>
      </c>
      <c r="I156" s="181" t="s">
        <v>26</v>
      </c>
      <c r="J156" s="180" t="n">
        <v>45989</v>
      </c>
      <c r="K156" s="182" t="n">
        <v>46011</v>
      </c>
      <c r="L156" s="20" t="n">
        <v>1</v>
      </c>
    </row>
    <row r="157" customFormat="false" ht="36.65" hidden="false" customHeight="true" outlineLevel="0" collapsed="false">
      <c r="A157" s="170"/>
      <c r="B157" s="179" t="s">
        <v>195</v>
      </c>
      <c r="C157" s="180" t="n">
        <v>45992</v>
      </c>
      <c r="D157" s="179" t="s">
        <v>191</v>
      </c>
      <c r="E157" s="181" t="s">
        <v>444</v>
      </c>
      <c r="F157" s="179" t="s">
        <v>201</v>
      </c>
      <c r="G157" s="181" t="s">
        <v>482</v>
      </c>
      <c r="H157" s="181" t="s">
        <v>189</v>
      </c>
      <c r="I157" s="181" t="s">
        <v>20</v>
      </c>
      <c r="J157" s="180" t="n">
        <v>45996</v>
      </c>
      <c r="K157" s="182" t="n">
        <v>46007</v>
      </c>
      <c r="L157" s="20" t="n">
        <v>1</v>
      </c>
    </row>
    <row r="158" customFormat="false" ht="36.65" hidden="false" customHeight="true" outlineLevel="0" collapsed="false">
      <c r="A158" s="170"/>
      <c r="B158" s="179" t="s">
        <v>190</v>
      </c>
      <c r="C158" s="180" t="n">
        <v>46000</v>
      </c>
      <c r="D158" s="179" t="s">
        <v>144</v>
      </c>
      <c r="E158" s="181" t="s">
        <v>444</v>
      </c>
      <c r="F158" s="179" t="s">
        <v>187</v>
      </c>
      <c r="G158" s="181" t="s">
        <v>483</v>
      </c>
      <c r="H158" s="181" t="s">
        <v>189</v>
      </c>
      <c r="I158" s="181" t="s">
        <v>379</v>
      </c>
      <c r="J158" s="180" t="n">
        <v>46002</v>
      </c>
      <c r="K158" s="182" t="n">
        <v>46009</v>
      </c>
      <c r="L158" s="20" t="n">
        <v>1</v>
      </c>
    </row>
    <row r="159" customFormat="false" ht="15.75" hidden="false" customHeight="true" outlineLevel="0" collapsed="false">
      <c r="A159" s="170"/>
      <c r="B159" s="170"/>
      <c r="C159" s="170"/>
      <c r="E159" s="170"/>
      <c r="F159" s="170"/>
      <c r="G159" s="170"/>
      <c r="H159" s="170"/>
      <c r="I159" s="170"/>
      <c r="J159" s="170"/>
      <c r="K159" s="170"/>
      <c r="L159" s="170"/>
    </row>
    <row r="160" customFormat="false" ht="15.75" hidden="false" customHeight="true" outlineLevel="0" collapsed="false">
      <c r="A160" s="170"/>
      <c r="B160" s="170"/>
      <c r="C160" s="170"/>
      <c r="E160" s="170"/>
      <c r="F160" s="170"/>
      <c r="G160" s="170"/>
      <c r="H160" s="170"/>
      <c r="I160" s="170"/>
      <c r="J160" s="170"/>
      <c r="K160" s="170"/>
      <c r="L160" s="170"/>
    </row>
    <row r="161" customFormat="false" ht="15.75" hidden="false" customHeight="true" outlineLevel="0" collapsed="false">
      <c r="A161" s="170"/>
      <c r="B161" s="170"/>
      <c r="C161" s="170"/>
      <c r="E161" s="170"/>
      <c r="F161" s="170"/>
      <c r="G161" s="170"/>
      <c r="H161" s="170"/>
      <c r="I161" s="170"/>
      <c r="J161" s="170"/>
      <c r="K161" s="170"/>
      <c r="L161" s="170"/>
    </row>
    <row r="162" customFormat="false" ht="15.75" hidden="false" customHeight="true" outlineLevel="0" collapsed="false">
      <c r="A162" s="170"/>
      <c r="B162" s="170"/>
      <c r="C162" s="170"/>
      <c r="E162" s="170"/>
      <c r="F162" s="170"/>
      <c r="G162" s="170"/>
      <c r="H162" s="170"/>
      <c r="I162" s="170"/>
      <c r="J162" s="170"/>
      <c r="K162" s="170"/>
      <c r="L162" s="170"/>
    </row>
    <row r="163" customFormat="false" ht="15.75" hidden="false" customHeight="true" outlineLevel="0" collapsed="false">
      <c r="A163" s="170"/>
      <c r="B163" s="170"/>
      <c r="C163" s="170"/>
      <c r="E163" s="170"/>
      <c r="F163" s="170"/>
      <c r="G163" s="170"/>
      <c r="H163" s="170"/>
      <c r="I163" s="170"/>
      <c r="J163" s="170"/>
      <c r="K163" s="170"/>
      <c r="L163" s="170"/>
    </row>
    <row r="164" customFormat="false" ht="15.75" hidden="false" customHeight="true" outlineLevel="0" collapsed="false">
      <c r="A164" s="170"/>
      <c r="B164" s="170"/>
      <c r="C164" s="170"/>
      <c r="E164" s="170"/>
      <c r="F164" s="170"/>
      <c r="G164" s="170"/>
      <c r="H164" s="170"/>
      <c r="I164" s="170"/>
      <c r="J164" s="170"/>
      <c r="K164" s="170"/>
      <c r="L164" s="170"/>
    </row>
    <row r="165" customFormat="false" ht="15.75" hidden="false" customHeight="true" outlineLevel="0" collapsed="false">
      <c r="A165" s="170"/>
      <c r="B165" s="170"/>
      <c r="C165" s="170"/>
      <c r="E165" s="170"/>
      <c r="F165" s="170"/>
      <c r="G165" s="170"/>
      <c r="H165" s="170"/>
      <c r="I165" s="170"/>
      <c r="J165" s="170"/>
      <c r="K165" s="170"/>
      <c r="L165" s="170"/>
    </row>
    <row r="166" customFormat="false" ht="15.75" hidden="false" customHeight="true" outlineLevel="0" collapsed="false">
      <c r="A166" s="170"/>
      <c r="B166" s="170"/>
      <c r="C166" s="170"/>
      <c r="E166" s="170"/>
      <c r="F166" s="170"/>
      <c r="G166" s="170"/>
      <c r="H166" s="170"/>
      <c r="I166" s="170"/>
      <c r="J166" s="170"/>
      <c r="K166" s="170"/>
      <c r="L166" s="170"/>
    </row>
    <row r="167" customFormat="false" ht="15.75" hidden="false" customHeight="true" outlineLevel="0" collapsed="false">
      <c r="A167" s="170"/>
      <c r="B167" s="170"/>
      <c r="C167" s="170"/>
      <c r="E167" s="170"/>
      <c r="F167" s="170"/>
      <c r="G167" s="170"/>
      <c r="H167" s="170"/>
      <c r="I167" s="170"/>
      <c r="J167" s="170"/>
      <c r="K167" s="170"/>
      <c r="L167" s="170"/>
    </row>
    <row r="168" customFormat="false" ht="15.75" hidden="false" customHeight="true" outlineLevel="0" collapsed="false">
      <c r="A168" s="170"/>
      <c r="B168" s="170"/>
      <c r="C168" s="170"/>
      <c r="E168" s="170"/>
      <c r="F168" s="170"/>
      <c r="G168" s="170"/>
      <c r="H168" s="170"/>
      <c r="I168" s="170"/>
      <c r="J168" s="170"/>
      <c r="K168" s="170"/>
      <c r="L168" s="170"/>
    </row>
    <row r="169" customFormat="false" ht="15.75" hidden="false" customHeight="true" outlineLevel="0" collapsed="false">
      <c r="A169" s="170"/>
      <c r="B169" s="170"/>
      <c r="C169" s="170"/>
      <c r="E169" s="170"/>
      <c r="F169" s="170"/>
      <c r="G169" s="170"/>
      <c r="H169" s="170"/>
      <c r="I169" s="170"/>
      <c r="J169" s="170"/>
      <c r="K169" s="170"/>
      <c r="L169" s="170"/>
    </row>
    <row r="170" customFormat="false" ht="15.75" hidden="false" customHeight="true" outlineLevel="0" collapsed="false">
      <c r="A170" s="170"/>
      <c r="B170" s="170"/>
      <c r="C170" s="170"/>
      <c r="E170" s="170"/>
      <c r="F170" s="170"/>
      <c r="G170" s="170"/>
      <c r="H170" s="170"/>
      <c r="I170" s="170"/>
      <c r="J170" s="170"/>
      <c r="K170" s="170"/>
      <c r="L170" s="170"/>
    </row>
    <row r="171" customFormat="false" ht="15.75" hidden="false" customHeight="true" outlineLevel="0" collapsed="false">
      <c r="A171" s="170"/>
      <c r="B171" s="170"/>
      <c r="C171" s="170"/>
      <c r="E171" s="170"/>
      <c r="F171" s="170"/>
      <c r="G171" s="170"/>
      <c r="H171" s="170"/>
      <c r="I171" s="170"/>
      <c r="J171" s="170"/>
      <c r="K171" s="170"/>
      <c r="L171" s="170"/>
    </row>
    <row r="172" customFormat="false" ht="15.75" hidden="false" customHeight="true" outlineLevel="0" collapsed="false">
      <c r="A172" s="170"/>
      <c r="B172" s="170"/>
      <c r="C172" s="170"/>
      <c r="E172" s="170"/>
      <c r="F172" s="170"/>
      <c r="G172" s="170"/>
      <c r="H172" s="170"/>
      <c r="I172" s="170"/>
      <c r="J172" s="170"/>
      <c r="K172" s="170"/>
      <c r="L172" s="170"/>
    </row>
    <row r="173" customFormat="false" ht="15.75" hidden="false" customHeight="true" outlineLevel="0" collapsed="false">
      <c r="A173" s="170"/>
      <c r="B173" s="170"/>
      <c r="C173" s="170"/>
      <c r="E173" s="170"/>
      <c r="F173" s="170"/>
      <c r="G173" s="170"/>
      <c r="H173" s="170"/>
      <c r="I173" s="170"/>
      <c r="J173" s="170"/>
      <c r="K173" s="170"/>
      <c r="L173" s="170"/>
    </row>
    <row r="174" customFormat="false" ht="15.75" hidden="false" customHeight="true" outlineLevel="0" collapsed="false">
      <c r="A174" s="170"/>
      <c r="B174" s="170"/>
      <c r="C174" s="170"/>
      <c r="E174" s="170"/>
      <c r="F174" s="170"/>
      <c r="G174" s="170"/>
      <c r="H174" s="170"/>
      <c r="I174" s="170"/>
      <c r="J174" s="170"/>
      <c r="K174" s="170"/>
      <c r="L174" s="170"/>
    </row>
    <row r="175" customFormat="false" ht="15.75" hidden="false" customHeight="true" outlineLevel="0" collapsed="false">
      <c r="A175" s="170"/>
      <c r="B175" s="170"/>
      <c r="C175" s="170"/>
      <c r="E175" s="170"/>
      <c r="F175" s="170"/>
      <c r="G175" s="170"/>
      <c r="H175" s="170"/>
      <c r="I175" s="170"/>
      <c r="J175" s="170"/>
      <c r="K175" s="170"/>
      <c r="L175" s="170"/>
    </row>
    <row r="176" customFormat="false" ht="15.75" hidden="false" customHeight="true" outlineLevel="0" collapsed="false">
      <c r="A176" s="170"/>
      <c r="B176" s="170"/>
      <c r="C176" s="170"/>
      <c r="E176" s="170"/>
      <c r="F176" s="170"/>
      <c r="G176" s="170"/>
      <c r="H176" s="170"/>
      <c r="I176" s="170"/>
      <c r="J176" s="170"/>
      <c r="K176" s="170"/>
      <c r="L176" s="170"/>
    </row>
    <row r="177" customFormat="false" ht="15.75" hidden="false" customHeight="true" outlineLevel="0" collapsed="false">
      <c r="A177" s="170"/>
      <c r="B177" s="170"/>
      <c r="C177" s="170"/>
      <c r="E177" s="170"/>
      <c r="F177" s="170"/>
      <c r="G177" s="170"/>
      <c r="H177" s="170"/>
      <c r="I177" s="170"/>
      <c r="J177" s="170"/>
      <c r="K177" s="170"/>
      <c r="L177" s="170"/>
    </row>
    <row r="178" customFormat="false" ht="15.75" hidden="false" customHeight="true" outlineLevel="0" collapsed="false">
      <c r="A178" s="170"/>
      <c r="B178" s="170"/>
      <c r="C178" s="170"/>
      <c r="E178" s="170"/>
      <c r="F178" s="170"/>
      <c r="G178" s="170"/>
      <c r="H178" s="170"/>
      <c r="I178" s="170"/>
      <c r="J178" s="170"/>
      <c r="K178" s="170"/>
      <c r="L178" s="170"/>
    </row>
    <row r="179" customFormat="false" ht="15.75" hidden="false" customHeight="true" outlineLevel="0" collapsed="false">
      <c r="A179" s="170"/>
      <c r="B179" s="170"/>
      <c r="C179" s="170"/>
      <c r="E179" s="170"/>
      <c r="F179" s="170"/>
      <c r="G179" s="170"/>
      <c r="H179" s="170"/>
      <c r="I179" s="170"/>
      <c r="J179" s="170"/>
      <c r="K179" s="170"/>
      <c r="L179" s="170"/>
    </row>
    <row r="180" customFormat="false" ht="15.75" hidden="false" customHeight="true" outlineLevel="0" collapsed="false">
      <c r="A180" s="170"/>
      <c r="B180" s="170"/>
      <c r="C180" s="170"/>
      <c r="E180" s="170"/>
      <c r="F180" s="170"/>
      <c r="G180" s="170"/>
      <c r="H180" s="170"/>
      <c r="I180" s="170"/>
      <c r="J180" s="170"/>
      <c r="K180" s="170"/>
      <c r="L180" s="170"/>
    </row>
    <row r="181" customFormat="false" ht="15.75" hidden="false" customHeight="true" outlineLevel="0" collapsed="false">
      <c r="A181" s="170"/>
      <c r="B181" s="170"/>
      <c r="C181" s="170"/>
      <c r="E181" s="170"/>
      <c r="F181" s="170"/>
      <c r="G181" s="170"/>
      <c r="H181" s="170"/>
      <c r="I181" s="170"/>
      <c r="J181" s="170"/>
      <c r="K181" s="170"/>
      <c r="L181" s="170"/>
    </row>
    <row r="182" customFormat="false" ht="15.75" hidden="false" customHeight="true" outlineLevel="0" collapsed="false">
      <c r="A182" s="170"/>
      <c r="B182" s="170"/>
      <c r="C182" s="170"/>
      <c r="E182" s="170"/>
      <c r="F182" s="170"/>
      <c r="G182" s="170"/>
      <c r="H182" s="170"/>
      <c r="I182" s="170"/>
      <c r="J182" s="170"/>
      <c r="K182" s="170"/>
      <c r="L182" s="170"/>
    </row>
    <row r="183" customFormat="false" ht="15.75" hidden="false" customHeight="true" outlineLevel="0" collapsed="false">
      <c r="A183" s="170"/>
      <c r="B183" s="170"/>
      <c r="C183" s="170"/>
      <c r="E183" s="170"/>
      <c r="F183" s="170"/>
      <c r="G183" s="170"/>
      <c r="H183" s="170"/>
      <c r="I183" s="170"/>
      <c r="J183" s="170"/>
      <c r="K183" s="170"/>
      <c r="L183" s="170"/>
    </row>
    <row r="184" customFormat="false" ht="15.75" hidden="false" customHeight="true" outlineLevel="0" collapsed="false">
      <c r="A184" s="170"/>
      <c r="B184" s="170"/>
      <c r="C184" s="170"/>
      <c r="E184" s="170"/>
      <c r="F184" s="170"/>
      <c r="G184" s="170"/>
      <c r="H184" s="170"/>
      <c r="I184" s="170"/>
      <c r="J184" s="170"/>
      <c r="K184" s="170"/>
      <c r="L184" s="170"/>
    </row>
    <row r="185" customFormat="false" ht="15.75" hidden="false" customHeight="true" outlineLevel="0" collapsed="false">
      <c r="A185" s="170"/>
      <c r="B185" s="170"/>
      <c r="C185" s="170"/>
      <c r="E185" s="170"/>
      <c r="F185" s="170"/>
      <c r="G185" s="170"/>
      <c r="H185" s="170"/>
      <c r="I185" s="170"/>
      <c r="J185" s="170"/>
      <c r="K185" s="170"/>
      <c r="L185" s="170"/>
    </row>
    <row r="186" customFormat="false" ht="15.75" hidden="false" customHeight="true" outlineLevel="0" collapsed="false">
      <c r="A186" s="170"/>
      <c r="B186" s="170"/>
      <c r="C186" s="170"/>
      <c r="E186" s="170"/>
      <c r="F186" s="170"/>
      <c r="G186" s="170"/>
      <c r="H186" s="170"/>
      <c r="I186" s="170"/>
      <c r="J186" s="170"/>
      <c r="K186" s="170"/>
      <c r="L186" s="170"/>
    </row>
    <row r="187" customFormat="false" ht="15.75" hidden="false" customHeight="true" outlineLevel="0" collapsed="false">
      <c r="A187" s="170"/>
      <c r="B187" s="170"/>
      <c r="C187" s="170"/>
      <c r="E187" s="170"/>
      <c r="F187" s="170"/>
      <c r="G187" s="170"/>
      <c r="H187" s="170"/>
      <c r="I187" s="170"/>
      <c r="J187" s="170"/>
      <c r="K187" s="170"/>
      <c r="L187" s="170"/>
    </row>
    <row r="188" customFormat="false" ht="15.75" hidden="false" customHeight="true" outlineLevel="0" collapsed="false">
      <c r="A188" s="170"/>
      <c r="B188" s="170"/>
      <c r="C188" s="170"/>
      <c r="E188" s="170"/>
      <c r="F188" s="170"/>
      <c r="G188" s="170"/>
      <c r="H188" s="170"/>
      <c r="I188" s="170"/>
      <c r="J188" s="170"/>
      <c r="K188" s="170"/>
      <c r="L188" s="170"/>
    </row>
    <row r="189" customFormat="false" ht="15.75" hidden="false" customHeight="true" outlineLevel="0" collapsed="false">
      <c r="A189" s="170"/>
      <c r="B189" s="170"/>
      <c r="C189" s="170"/>
      <c r="E189" s="170"/>
      <c r="F189" s="170"/>
      <c r="G189" s="170"/>
      <c r="H189" s="170"/>
      <c r="I189" s="170"/>
      <c r="J189" s="170"/>
      <c r="K189" s="170"/>
      <c r="L189" s="170"/>
    </row>
    <row r="190" customFormat="false" ht="15.75" hidden="false" customHeight="true" outlineLevel="0" collapsed="false">
      <c r="A190" s="170"/>
      <c r="B190" s="170"/>
      <c r="C190" s="170"/>
      <c r="E190" s="170"/>
      <c r="F190" s="170"/>
      <c r="G190" s="170"/>
      <c r="H190" s="170"/>
      <c r="I190" s="170"/>
      <c r="J190" s="170"/>
      <c r="K190" s="170"/>
      <c r="L190" s="170"/>
    </row>
    <row r="191" customFormat="false" ht="15.75" hidden="false" customHeight="true" outlineLevel="0" collapsed="false">
      <c r="A191" s="170"/>
      <c r="B191" s="170"/>
      <c r="C191" s="170"/>
      <c r="E191" s="170"/>
      <c r="F191" s="170"/>
      <c r="G191" s="170"/>
      <c r="H191" s="170"/>
      <c r="I191" s="170"/>
      <c r="J191" s="170"/>
      <c r="K191" s="170"/>
      <c r="L191" s="170"/>
    </row>
    <row r="192" customFormat="false" ht="15.75" hidden="false" customHeight="true" outlineLevel="0" collapsed="false">
      <c r="A192" s="170"/>
      <c r="B192" s="170"/>
      <c r="C192" s="170"/>
      <c r="E192" s="170"/>
      <c r="F192" s="170"/>
      <c r="G192" s="170"/>
      <c r="H192" s="170"/>
      <c r="I192" s="170"/>
      <c r="J192" s="170"/>
      <c r="K192" s="170"/>
      <c r="L192" s="170"/>
    </row>
    <row r="193" customFormat="false" ht="15.75" hidden="false" customHeight="true" outlineLevel="0" collapsed="false">
      <c r="A193" s="170"/>
      <c r="B193" s="170"/>
      <c r="C193" s="170"/>
      <c r="E193" s="170"/>
      <c r="F193" s="170"/>
      <c r="G193" s="170"/>
      <c r="H193" s="170"/>
      <c r="I193" s="170"/>
      <c r="J193" s="170"/>
      <c r="K193" s="170"/>
      <c r="L193" s="170"/>
    </row>
    <row r="194" customFormat="false" ht="15.75" hidden="false" customHeight="true" outlineLevel="0" collapsed="false">
      <c r="A194" s="170"/>
      <c r="B194" s="170"/>
      <c r="C194" s="170"/>
      <c r="E194" s="170"/>
      <c r="F194" s="170"/>
      <c r="G194" s="170"/>
      <c r="H194" s="170"/>
      <c r="I194" s="170"/>
      <c r="J194" s="170"/>
      <c r="K194" s="170"/>
      <c r="L194" s="170"/>
    </row>
    <row r="195" customFormat="false" ht="15.75" hidden="false" customHeight="true" outlineLevel="0" collapsed="false">
      <c r="A195" s="170"/>
      <c r="B195" s="170"/>
      <c r="C195" s="170"/>
      <c r="E195" s="170"/>
      <c r="F195" s="170"/>
      <c r="G195" s="170"/>
      <c r="H195" s="170"/>
      <c r="I195" s="170"/>
      <c r="J195" s="170"/>
      <c r="K195" s="170"/>
      <c r="L195" s="170"/>
    </row>
    <row r="196" customFormat="false" ht="15.75" hidden="false" customHeight="true" outlineLevel="0" collapsed="false">
      <c r="A196" s="170"/>
      <c r="B196" s="170"/>
      <c r="C196" s="170"/>
      <c r="E196" s="170"/>
      <c r="F196" s="170"/>
      <c r="G196" s="170"/>
      <c r="H196" s="170"/>
      <c r="I196" s="170"/>
      <c r="J196" s="170"/>
      <c r="K196" s="170"/>
      <c r="L196" s="170"/>
    </row>
    <row r="197" customFormat="false" ht="15.75" hidden="false" customHeight="true" outlineLevel="0" collapsed="false">
      <c r="A197" s="170"/>
      <c r="B197" s="170"/>
      <c r="C197" s="170"/>
      <c r="E197" s="170"/>
      <c r="F197" s="170"/>
      <c r="G197" s="170"/>
      <c r="H197" s="170"/>
      <c r="I197" s="170"/>
      <c r="J197" s="170"/>
      <c r="K197" s="170"/>
      <c r="L197" s="170"/>
    </row>
    <row r="198" customFormat="false" ht="15.75" hidden="false" customHeight="true" outlineLevel="0" collapsed="false">
      <c r="A198" s="170"/>
      <c r="B198" s="170"/>
      <c r="C198" s="170"/>
      <c r="E198" s="170"/>
      <c r="F198" s="170"/>
      <c r="G198" s="170"/>
      <c r="H198" s="170"/>
      <c r="I198" s="170"/>
      <c r="J198" s="170"/>
      <c r="K198" s="170"/>
      <c r="L198" s="170"/>
    </row>
    <row r="199" customFormat="false" ht="15.75" hidden="false" customHeight="true" outlineLevel="0" collapsed="false">
      <c r="A199" s="170"/>
      <c r="B199" s="170"/>
      <c r="C199" s="170"/>
      <c r="E199" s="170"/>
      <c r="F199" s="170"/>
      <c r="G199" s="170"/>
      <c r="H199" s="170"/>
      <c r="I199" s="170"/>
      <c r="J199" s="170"/>
      <c r="K199" s="170"/>
      <c r="L199" s="170"/>
    </row>
    <row r="200" customFormat="false" ht="15.75" hidden="false" customHeight="true" outlineLevel="0" collapsed="false">
      <c r="A200" s="170"/>
      <c r="B200" s="170"/>
      <c r="C200" s="170"/>
      <c r="E200" s="170"/>
      <c r="F200" s="170"/>
      <c r="G200" s="170"/>
      <c r="H200" s="170"/>
      <c r="I200" s="170"/>
      <c r="J200" s="170"/>
      <c r="K200" s="170"/>
      <c r="L200" s="170"/>
    </row>
    <row r="201" customFormat="false" ht="15.75" hidden="false" customHeight="true" outlineLevel="0" collapsed="false">
      <c r="A201" s="170"/>
      <c r="B201" s="170"/>
      <c r="C201" s="170"/>
      <c r="E201" s="170"/>
      <c r="F201" s="170"/>
      <c r="G201" s="170"/>
      <c r="H201" s="170"/>
      <c r="I201" s="170"/>
      <c r="J201" s="170"/>
      <c r="K201" s="170"/>
      <c r="L201" s="170"/>
    </row>
    <row r="202" customFormat="false" ht="15.75" hidden="false" customHeight="true" outlineLevel="0" collapsed="false">
      <c r="A202" s="170"/>
      <c r="B202" s="170"/>
      <c r="C202" s="170"/>
      <c r="E202" s="170"/>
      <c r="F202" s="170"/>
      <c r="G202" s="170"/>
      <c r="H202" s="170"/>
      <c r="I202" s="170"/>
      <c r="J202" s="170"/>
      <c r="K202" s="170"/>
      <c r="L202" s="170"/>
    </row>
    <row r="203" customFormat="false" ht="15.75" hidden="false" customHeight="true" outlineLevel="0" collapsed="false">
      <c r="A203" s="170"/>
      <c r="B203" s="170"/>
      <c r="C203" s="170"/>
      <c r="E203" s="170"/>
      <c r="F203" s="170"/>
      <c r="G203" s="170"/>
      <c r="H203" s="170"/>
      <c r="I203" s="170"/>
      <c r="J203" s="170"/>
      <c r="K203" s="170"/>
      <c r="L203" s="170"/>
    </row>
    <row r="204" customFormat="false" ht="15.75" hidden="false" customHeight="true" outlineLevel="0" collapsed="false">
      <c r="A204" s="170"/>
      <c r="B204" s="170"/>
      <c r="C204" s="170"/>
      <c r="E204" s="170"/>
      <c r="F204" s="170"/>
      <c r="G204" s="170"/>
      <c r="H204" s="170"/>
      <c r="I204" s="170"/>
      <c r="J204" s="170"/>
      <c r="K204" s="170"/>
      <c r="L204" s="170"/>
    </row>
    <row r="205" customFormat="false" ht="15.75" hidden="false" customHeight="true" outlineLevel="0" collapsed="false">
      <c r="A205" s="170"/>
      <c r="B205" s="170"/>
      <c r="C205" s="170"/>
      <c r="E205" s="170"/>
      <c r="F205" s="170"/>
      <c r="G205" s="170"/>
      <c r="H205" s="170"/>
      <c r="I205" s="170"/>
      <c r="J205" s="170"/>
      <c r="K205" s="170"/>
      <c r="L205" s="170"/>
    </row>
    <row r="206" customFormat="false" ht="15.75" hidden="false" customHeight="true" outlineLevel="0" collapsed="false">
      <c r="A206" s="170"/>
      <c r="B206" s="170"/>
      <c r="C206" s="170"/>
      <c r="E206" s="170"/>
      <c r="F206" s="170"/>
      <c r="G206" s="170"/>
      <c r="H206" s="170"/>
      <c r="I206" s="170"/>
      <c r="J206" s="170"/>
      <c r="K206" s="170"/>
      <c r="L206" s="170"/>
    </row>
    <row r="207" customFormat="false" ht="15.75" hidden="false" customHeight="true" outlineLevel="0" collapsed="false">
      <c r="A207" s="170"/>
      <c r="B207" s="170"/>
      <c r="C207" s="170"/>
      <c r="E207" s="170"/>
      <c r="F207" s="170"/>
      <c r="G207" s="170"/>
      <c r="H207" s="170"/>
      <c r="I207" s="170"/>
      <c r="J207" s="170"/>
      <c r="K207" s="170"/>
      <c r="L207" s="170"/>
    </row>
    <row r="208" customFormat="false" ht="15.75" hidden="false" customHeight="true" outlineLevel="0" collapsed="false">
      <c r="A208" s="170"/>
      <c r="B208" s="170"/>
      <c r="C208" s="170"/>
      <c r="E208" s="170"/>
      <c r="F208" s="170"/>
      <c r="G208" s="170"/>
      <c r="H208" s="170"/>
      <c r="I208" s="170"/>
      <c r="J208" s="170"/>
      <c r="K208" s="170"/>
      <c r="L208" s="170"/>
    </row>
    <row r="209" customFormat="false" ht="15.75" hidden="false" customHeight="true" outlineLevel="0" collapsed="false">
      <c r="A209" s="170"/>
      <c r="B209" s="170"/>
      <c r="C209" s="170"/>
      <c r="E209" s="170"/>
      <c r="F209" s="170"/>
      <c r="G209" s="170"/>
      <c r="H209" s="170"/>
      <c r="I209" s="170"/>
      <c r="J209" s="170"/>
      <c r="K209" s="170"/>
      <c r="L209" s="170"/>
    </row>
    <row r="210" customFormat="false" ht="15.75" hidden="false" customHeight="true" outlineLevel="0" collapsed="false">
      <c r="A210" s="170"/>
      <c r="B210" s="170"/>
      <c r="C210" s="170"/>
      <c r="E210" s="170"/>
      <c r="F210" s="170"/>
      <c r="G210" s="170"/>
      <c r="H210" s="170"/>
      <c r="I210" s="170"/>
      <c r="J210" s="170"/>
      <c r="K210" s="170"/>
      <c r="L210" s="170"/>
    </row>
    <row r="211" customFormat="false" ht="15.75" hidden="false" customHeight="true" outlineLevel="0" collapsed="false">
      <c r="A211" s="170"/>
      <c r="B211" s="170"/>
      <c r="C211" s="170"/>
      <c r="E211" s="170"/>
      <c r="F211" s="170"/>
      <c r="G211" s="170"/>
      <c r="H211" s="170"/>
      <c r="I211" s="170"/>
      <c r="J211" s="170"/>
      <c r="K211" s="170"/>
      <c r="L211" s="170"/>
    </row>
    <row r="212" customFormat="false" ht="15.75" hidden="false" customHeight="true" outlineLevel="0" collapsed="false">
      <c r="A212" s="170"/>
      <c r="B212" s="170"/>
      <c r="C212" s="170"/>
      <c r="E212" s="170"/>
      <c r="F212" s="170"/>
      <c r="G212" s="170"/>
      <c r="H212" s="170"/>
      <c r="I212" s="170"/>
      <c r="J212" s="170"/>
      <c r="K212" s="170"/>
      <c r="L212" s="170"/>
    </row>
    <row r="213" customFormat="false" ht="15.75" hidden="false" customHeight="true" outlineLevel="0" collapsed="false">
      <c r="A213" s="170"/>
      <c r="B213" s="170"/>
      <c r="C213" s="170"/>
      <c r="E213" s="170"/>
      <c r="F213" s="170"/>
      <c r="G213" s="170"/>
      <c r="H213" s="170"/>
      <c r="I213" s="170"/>
      <c r="J213" s="170"/>
      <c r="K213" s="170"/>
      <c r="L213" s="170"/>
    </row>
    <row r="214" customFormat="false" ht="15.75" hidden="false" customHeight="true" outlineLevel="0" collapsed="false">
      <c r="A214" s="170"/>
      <c r="B214" s="170"/>
      <c r="C214" s="170"/>
      <c r="E214" s="170"/>
      <c r="F214" s="170"/>
      <c r="G214" s="170"/>
      <c r="H214" s="170"/>
      <c r="I214" s="170"/>
      <c r="J214" s="170"/>
      <c r="K214" s="170"/>
      <c r="L214" s="170"/>
    </row>
    <row r="215" customFormat="false" ht="15.75" hidden="false" customHeight="true" outlineLevel="0" collapsed="false">
      <c r="A215" s="170"/>
      <c r="B215" s="170"/>
      <c r="C215" s="170"/>
      <c r="E215" s="170"/>
      <c r="F215" s="170"/>
      <c r="G215" s="170"/>
      <c r="H215" s="170"/>
      <c r="I215" s="170"/>
      <c r="J215" s="170"/>
      <c r="K215" s="170"/>
      <c r="L215" s="170"/>
    </row>
    <row r="216" customFormat="false" ht="15.75" hidden="false" customHeight="true" outlineLevel="0" collapsed="false">
      <c r="A216" s="170"/>
      <c r="B216" s="170"/>
      <c r="C216" s="170"/>
      <c r="E216" s="170"/>
      <c r="F216" s="170"/>
      <c r="G216" s="170"/>
      <c r="H216" s="170"/>
      <c r="I216" s="170"/>
      <c r="J216" s="170"/>
      <c r="K216" s="170"/>
      <c r="L216" s="170"/>
    </row>
    <row r="217" customFormat="false" ht="15.75" hidden="false" customHeight="true" outlineLevel="0" collapsed="false">
      <c r="A217" s="170"/>
      <c r="B217" s="170"/>
      <c r="C217" s="170"/>
      <c r="E217" s="170"/>
      <c r="F217" s="170"/>
      <c r="G217" s="170"/>
      <c r="H217" s="170"/>
      <c r="I217" s="170"/>
      <c r="J217" s="170"/>
      <c r="K217" s="170"/>
      <c r="L217" s="170"/>
    </row>
    <row r="218" customFormat="false" ht="15.75" hidden="false" customHeight="true" outlineLevel="0" collapsed="false">
      <c r="A218" s="170"/>
      <c r="B218" s="170"/>
      <c r="C218" s="170"/>
      <c r="E218" s="170"/>
      <c r="F218" s="170"/>
      <c r="G218" s="170"/>
      <c r="H218" s="170"/>
      <c r="I218" s="170"/>
      <c r="J218" s="170"/>
      <c r="K218" s="170"/>
      <c r="L218" s="170"/>
    </row>
    <row r="219" customFormat="false" ht="15.75" hidden="false" customHeight="true" outlineLevel="0" collapsed="false">
      <c r="A219" s="170"/>
      <c r="B219" s="170"/>
      <c r="C219" s="170"/>
      <c r="E219" s="170"/>
      <c r="F219" s="170"/>
      <c r="G219" s="170"/>
      <c r="H219" s="170"/>
      <c r="I219" s="170"/>
      <c r="J219" s="170"/>
      <c r="K219" s="170"/>
      <c r="L219" s="170"/>
    </row>
    <row r="220" customFormat="false" ht="15.75" hidden="false" customHeight="true" outlineLevel="0" collapsed="false">
      <c r="A220" s="170"/>
      <c r="B220" s="170"/>
      <c r="C220" s="170"/>
      <c r="E220" s="170"/>
      <c r="F220" s="170"/>
      <c r="G220" s="170"/>
      <c r="H220" s="170"/>
      <c r="I220" s="170"/>
      <c r="J220" s="170"/>
      <c r="K220" s="170"/>
      <c r="L220" s="170"/>
    </row>
    <row r="221" customFormat="false" ht="15.75" hidden="false" customHeight="true" outlineLevel="0" collapsed="false">
      <c r="A221" s="170"/>
      <c r="B221" s="170"/>
      <c r="C221" s="170"/>
      <c r="E221" s="170"/>
      <c r="F221" s="170"/>
      <c r="G221" s="170"/>
      <c r="H221" s="170"/>
      <c r="I221" s="170"/>
      <c r="J221" s="170"/>
      <c r="K221" s="170"/>
      <c r="L221" s="170"/>
    </row>
    <row r="222" customFormat="false" ht="15.75" hidden="false" customHeight="true" outlineLevel="0" collapsed="false">
      <c r="A222" s="170"/>
      <c r="B222" s="170"/>
      <c r="C222" s="170"/>
      <c r="E222" s="170"/>
      <c r="F222" s="170"/>
      <c r="G222" s="170"/>
      <c r="H222" s="170"/>
      <c r="I222" s="170"/>
      <c r="J222" s="170"/>
      <c r="K222" s="170"/>
      <c r="L222" s="170"/>
    </row>
    <row r="223" customFormat="false" ht="15.75" hidden="false" customHeight="true" outlineLevel="0" collapsed="false">
      <c r="A223" s="170"/>
      <c r="B223" s="170"/>
      <c r="C223" s="170"/>
      <c r="E223" s="170"/>
      <c r="F223" s="170"/>
      <c r="G223" s="170"/>
      <c r="H223" s="170"/>
      <c r="I223" s="170"/>
      <c r="J223" s="170"/>
      <c r="K223" s="170"/>
      <c r="L223" s="170"/>
    </row>
    <row r="224" customFormat="false" ht="15.75" hidden="false" customHeight="true" outlineLevel="0" collapsed="false">
      <c r="A224" s="170"/>
      <c r="B224" s="170"/>
      <c r="C224" s="170"/>
      <c r="E224" s="170"/>
      <c r="F224" s="170"/>
      <c r="G224" s="170"/>
      <c r="H224" s="170"/>
      <c r="I224" s="170"/>
      <c r="J224" s="170"/>
      <c r="K224" s="170"/>
      <c r="L224" s="170"/>
    </row>
    <row r="225" customFormat="false" ht="15.75" hidden="false" customHeight="true" outlineLevel="0" collapsed="false">
      <c r="A225" s="170"/>
      <c r="B225" s="170"/>
      <c r="C225" s="170"/>
      <c r="E225" s="170"/>
      <c r="F225" s="170"/>
      <c r="G225" s="170"/>
      <c r="H225" s="170"/>
      <c r="I225" s="170"/>
      <c r="J225" s="170"/>
      <c r="K225" s="170"/>
      <c r="L225" s="170"/>
    </row>
    <row r="226" customFormat="false" ht="15.75" hidden="false" customHeight="true" outlineLevel="0" collapsed="false">
      <c r="A226" s="170"/>
      <c r="B226" s="170"/>
      <c r="C226" s="170"/>
      <c r="E226" s="170"/>
      <c r="F226" s="170"/>
      <c r="G226" s="170"/>
      <c r="H226" s="170"/>
      <c r="I226" s="170"/>
      <c r="J226" s="170"/>
      <c r="K226" s="170"/>
      <c r="L226" s="170"/>
    </row>
    <row r="227" customFormat="false" ht="15.75" hidden="false" customHeight="true" outlineLevel="0" collapsed="false">
      <c r="A227" s="170"/>
      <c r="B227" s="170"/>
      <c r="C227" s="170"/>
      <c r="E227" s="170"/>
      <c r="F227" s="170"/>
      <c r="G227" s="170"/>
      <c r="H227" s="170"/>
      <c r="I227" s="170"/>
      <c r="J227" s="170"/>
      <c r="K227" s="170"/>
      <c r="L227" s="170"/>
    </row>
    <row r="228" customFormat="false" ht="15.75" hidden="false" customHeight="true" outlineLevel="0" collapsed="false">
      <c r="A228" s="170"/>
      <c r="B228" s="170"/>
      <c r="C228" s="170"/>
      <c r="E228" s="170"/>
      <c r="F228" s="170"/>
      <c r="G228" s="170"/>
      <c r="H228" s="170"/>
      <c r="I228" s="170"/>
      <c r="J228" s="170"/>
      <c r="K228" s="170"/>
      <c r="L228" s="170"/>
    </row>
    <row r="229" customFormat="false" ht="15.75" hidden="false" customHeight="true" outlineLevel="0" collapsed="false">
      <c r="A229" s="170"/>
      <c r="B229" s="170"/>
      <c r="C229" s="170"/>
      <c r="E229" s="170"/>
      <c r="F229" s="170"/>
      <c r="G229" s="170"/>
      <c r="H229" s="170"/>
      <c r="I229" s="170"/>
      <c r="J229" s="170"/>
      <c r="K229" s="170"/>
      <c r="L229" s="170"/>
    </row>
    <row r="230" customFormat="false" ht="15.75" hidden="false" customHeight="true" outlineLevel="0" collapsed="false">
      <c r="A230" s="170"/>
      <c r="B230" s="170"/>
      <c r="C230" s="170"/>
      <c r="E230" s="170"/>
      <c r="F230" s="170"/>
      <c r="G230" s="170"/>
      <c r="H230" s="170"/>
      <c r="I230" s="170"/>
      <c r="J230" s="170"/>
      <c r="K230" s="170"/>
      <c r="L230" s="170"/>
    </row>
    <row r="231" customFormat="false" ht="15.75" hidden="false" customHeight="true" outlineLevel="0" collapsed="false">
      <c r="A231" s="170"/>
      <c r="B231" s="170"/>
      <c r="C231" s="170"/>
      <c r="E231" s="170"/>
      <c r="F231" s="170"/>
      <c r="G231" s="170"/>
      <c r="H231" s="170"/>
      <c r="I231" s="170"/>
      <c r="J231" s="170"/>
      <c r="K231" s="170"/>
      <c r="L231" s="170"/>
    </row>
    <row r="232" customFormat="false" ht="15.75" hidden="false" customHeight="true" outlineLevel="0" collapsed="false">
      <c r="A232" s="170"/>
      <c r="B232" s="170"/>
      <c r="C232" s="170"/>
      <c r="E232" s="170"/>
      <c r="F232" s="170"/>
      <c r="G232" s="170"/>
      <c r="H232" s="170"/>
      <c r="I232" s="170"/>
      <c r="J232" s="170"/>
      <c r="K232" s="170"/>
      <c r="L232" s="170"/>
    </row>
    <row r="233" customFormat="false" ht="15.75" hidden="false" customHeight="true" outlineLevel="0" collapsed="false">
      <c r="A233" s="170"/>
      <c r="B233" s="170"/>
      <c r="C233" s="170"/>
      <c r="E233" s="170"/>
      <c r="F233" s="170"/>
      <c r="G233" s="170"/>
      <c r="H233" s="170"/>
      <c r="I233" s="170"/>
      <c r="J233" s="170"/>
      <c r="K233" s="170"/>
      <c r="L233" s="170"/>
    </row>
    <row r="234" customFormat="false" ht="15.75" hidden="false" customHeight="true" outlineLevel="0" collapsed="false">
      <c r="A234" s="170"/>
      <c r="B234" s="170"/>
      <c r="C234" s="170"/>
      <c r="E234" s="170"/>
      <c r="F234" s="170"/>
      <c r="G234" s="170"/>
      <c r="H234" s="170"/>
      <c r="I234" s="170"/>
      <c r="J234" s="170"/>
      <c r="K234" s="170"/>
      <c r="L234" s="170"/>
    </row>
    <row r="235" customFormat="false" ht="15.75" hidden="false" customHeight="true" outlineLevel="0" collapsed="false">
      <c r="A235" s="170"/>
      <c r="B235" s="170"/>
      <c r="C235" s="170"/>
      <c r="E235" s="170"/>
      <c r="F235" s="170"/>
      <c r="G235" s="170"/>
      <c r="H235" s="170"/>
      <c r="I235" s="170"/>
      <c r="J235" s="170"/>
      <c r="K235" s="170"/>
      <c r="L235" s="170"/>
    </row>
    <row r="236" customFormat="false" ht="15.75" hidden="false" customHeight="true" outlineLevel="0" collapsed="false">
      <c r="A236" s="170"/>
      <c r="B236" s="170"/>
      <c r="C236" s="170"/>
      <c r="E236" s="170"/>
      <c r="F236" s="170"/>
      <c r="G236" s="170"/>
      <c r="H236" s="170"/>
      <c r="I236" s="170"/>
      <c r="J236" s="170"/>
      <c r="K236" s="170"/>
      <c r="L236" s="170"/>
    </row>
    <row r="237" customFormat="false" ht="15.75" hidden="false" customHeight="true" outlineLevel="0" collapsed="false">
      <c r="A237" s="170"/>
      <c r="B237" s="170"/>
      <c r="C237" s="170"/>
      <c r="E237" s="170"/>
      <c r="F237" s="170"/>
      <c r="G237" s="170"/>
      <c r="H237" s="170"/>
      <c r="I237" s="170"/>
      <c r="J237" s="170"/>
      <c r="K237" s="170"/>
      <c r="L237" s="170"/>
    </row>
    <row r="238" customFormat="false" ht="15.75" hidden="false" customHeight="true" outlineLevel="0" collapsed="false">
      <c r="A238" s="170"/>
      <c r="B238" s="170"/>
      <c r="C238" s="170"/>
      <c r="E238" s="170"/>
      <c r="F238" s="170"/>
      <c r="G238" s="170"/>
      <c r="H238" s="170"/>
      <c r="I238" s="170"/>
      <c r="J238" s="170"/>
      <c r="K238" s="170"/>
      <c r="L238" s="170"/>
    </row>
    <row r="239" customFormat="false" ht="15.75" hidden="false" customHeight="true" outlineLevel="0" collapsed="false">
      <c r="A239" s="170"/>
      <c r="B239" s="170"/>
      <c r="C239" s="170"/>
      <c r="E239" s="170"/>
      <c r="F239" s="170"/>
      <c r="G239" s="170"/>
      <c r="H239" s="170"/>
      <c r="I239" s="170"/>
      <c r="J239" s="170"/>
      <c r="K239" s="170"/>
      <c r="L239" s="170"/>
    </row>
    <row r="240" customFormat="false" ht="15.75" hidden="false" customHeight="true" outlineLevel="0" collapsed="false">
      <c r="A240" s="170"/>
      <c r="B240" s="170"/>
      <c r="C240" s="170"/>
      <c r="E240" s="170"/>
      <c r="F240" s="170"/>
      <c r="G240" s="170"/>
      <c r="H240" s="170"/>
      <c r="I240" s="170"/>
      <c r="J240" s="170"/>
      <c r="K240" s="170"/>
      <c r="L240" s="170"/>
    </row>
    <row r="241" customFormat="false" ht="15.75" hidden="false" customHeight="true" outlineLevel="0" collapsed="false">
      <c r="A241" s="170"/>
      <c r="B241" s="170"/>
      <c r="C241" s="170"/>
      <c r="E241" s="170"/>
      <c r="F241" s="170"/>
      <c r="G241" s="170"/>
      <c r="H241" s="170"/>
      <c r="I241" s="170"/>
      <c r="J241" s="170"/>
      <c r="K241" s="170"/>
      <c r="L241" s="170"/>
    </row>
    <row r="242" customFormat="false" ht="15.75" hidden="false" customHeight="true" outlineLevel="0" collapsed="false">
      <c r="A242" s="170"/>
      <c r="B242" s="170"/>
      <c r="C242" s="170"/>
      <c r="E242" s="170"/>
      <c r="F242" s="170"/>
      <c r="G242" s="170"/>
      <c r="H242" s="170"/>
      <c r="I242" s="170"/>
      <c r="J242" s="170"/>
      <c r="K242" s="170"/>
      <c r="L242" s="170"/>
    </row>
    <row r="243" customFormat="false" ht="15.75" hidden="false" customHeight="true" outlineLevel="0" collapsed="false">
      <c r="A243" s="170"/>
      <c r="B243" s="170"/>
      <c r="C243" s="170"/>
      <c r="E243" s="170"/>
      <c r="F243" s="170"/>
      <c r="G243" s="170"/>
      <c r="H243" s="170"/>
      <c r="I243" s="170"/>
      <c r="J243" s="170"/>
      <c r="K243" s="170"/>
      <c r="L243" s="170"/>
    </row>
    <row r="244" customFormat="false" ht="15.75" hidden="false" customHeight="true" outlineLevel="0" collapsed="false">
      <c r="A244" s="170"/>
      <c r="B244" s="170"/>
      <c r="C244" s="170"/>
      <c r="E244" s="170"/>
      <c r="F244" s="170"/>
      <c r="G244" s="170"/>
      <c r="H244" s="170"/>
      <c r="I244" s="170"/>
      <c r="J244" s="170"/>
      <c r="K244" s="170"/>
      <c r="L244" s="170"/>
    </row>
    <row r="245" customFormat="false" ht="15.75" hidden="false" customHeight="true" outlineLevel="0" collapsed="false">
      <c r="A245" s="170"/>
      <c r="B245" s="170"/>
      <c r="C245" s="170"/>
      <c r="E245" s="170"/>
      <c r="F245" s="170"/>
      <c r="G245" s="170"/>
      <c r="H245" s="170"/>
      <c r="I245" s="170"/>
      <c r="J245" s="170"/>
      <c r="K245" s="170"/>
      <c r="L245" s="170"/>
    </row>
    <row r="246" customFormat="false" ht="15.75" hidden="false" customHeight="true" outlineLevel="0" collapsed="false">
      <c r="A246" s="170"/>
      <c r="B246" s="170"/>
      <c r="C246" s="170"/>
      <c r="E246" s="170"/>
      <c r="F246" s="170"/>
      <c r="G246" s="170"/>
      <c r="H246" s="170"/>
      <c r="I246" s="170"/>
      <c r="J246" s="170"/>
      <c r="K246" s="170"/>
      <c r="L246" s="170"/>
    </row>
    <row r="247" customFormat="false" ht="15.75" hidden="false" customHeight="true" outlineLevel="0" collapsed="false">
      <c r="A247" s="170"/>
      <c r="B247" s="170"/>
      <c r="C247" s="170"/>
      <c r="E247" s="170"/>
      <c r="F247" s="170"/>
      <c r="G247" s="170"/>
      <c r="H247" s="170"/>
      <c r="I247" s="170"/>
      <c r="J247" s="170"/>
      <c r="K247" s="170"/>
      <c r="L247" s="170"/>
    </row>
    <row r="248" customFormat="false" ht="15.75" hidden="false" customHeight="true" outlineLevel="0" collapsed="false">
      <c r="A248" s="170"/>
      <c r="B248" s="170"/>
      <c r="C248" s="170"/>
      <c r="E248" s="170"/>
      <c r="F248" s="170"/>
      <c r="G248" s="170"/>
      <c r="H248" s="170"/>
      <c r="I248" s="170"/>
      <c r="J248" s="170"/>
      <c r="K248" s="170"/>
      <c r="L248" s="170"/>
    </row>
    <row r="249" customFormat="false" ht="15.75" hidden="false" customHeight="true" outlineLevel="0" collapsed="false">
      <c r="A249" s="170"/>
      <c r="B249" s="170"/>
      <c r="C249" s="170"/>
      <c r="E249" s="170"/>
      <c r="F249" s="170"/>
      <c r="G249" s="170"/>
      <c r="H249" s="170"/>
      <c r="I249" s="170"/>
      <c r="J249" s="170"/>
      <c r="K249" s="170"/>
      <c r="L249" s="170"/>
    </row>
    <row r="250" customFormat="false" ht="15.75" hidden="false" customHeight="true" outlineLevel="0" collapsed="false">
      <c r="A250" s="170"/>
      <c r="B250" s="170"/>
      <c r="C250" s="170"/>
      <c r="E250" s="170"/>
      <c r="F250" s="170"/>
      <c r="G250" s="170"/>
      <c r="H250" s="170"/>
      <c r="I250" s="170"/>
      <c r="J250" s="170"/>
      <c r="K250" s="170"/>
      <c r="L250" s="170"/>
    </row>
    <row r="251" customFormat="false" ht="15.75" hidden="false" customHeight="true" outlineLevel="0" collapsed="false">
      <c r="A251" s="170"/>
      <c r="B251" s="170"/>
      <c r="C251" s="170"/>
      <c r="E251" s="170"/>
      <c r="F251" s="170"/>
      <c r="G251" s="170"/>
      <c r="H251" s="170"/>
      <c r="I251" s="170"/>
      <c r="J251" s="170"/>
      <c r="K251" s="170"/>
      <c r="L251" s="170"/>
    </row>
    <row r="252" customFormat="false" ht="15.75" hidden="false" customHeight="true" outlineLevel="0" collapsed="false">
      <c r="A252" s="170"/>
      <c r="B252" s="170"/>
      <c r="C252" s="170"/>
      <c r="E252" s="170"/>
      <c r="F252" s="170"/>
      <c r="G252" s="170"/>
      <c r="H252" s="170"/>
      <c r="I252" s="170"/>
      <c r="J252" s="170"/>
      <c r="K252" s="170"/>
      <c r="L252" s="170"/>
    </row>
    <row r="253" customFormat="false" ht="15.75" hidden="false" customHeight="true" outlineLevel="0" collapsed="false">
      <c r="A253" s="170"/>
      <c r="B253" s="170"/>
      <c r="C253" s="170"/>
      <c r="E253" s="170"/>
      <c r="F253" s="170"/>
      <c r="G253" s="170"/>
      <c r="H253" s="170"/>
      <c r="I253" s="170"/>
      <c r="J253" s="170"/>
      <c r="K253" s="170"/>
      <c r="L253" s="170"/>
    </row>
    <row r="254" customFormat="false" ht="15.75" hidden="false" customHeight="true" outlineLevel="0" collapsed="false">
      <c r="A254" s="170"/>
      <c r="B254" s="170"/>
      <c r="C254" s="170"/>
      <c r="E254" s="170"/>
      <c r="F254" s="170"/>
      <c r="G254" s="170"/>
      <c r="H254" s="170"/>
      <c r="I254" s="170"/>
      <c r="J254" s="170"/>
      <c r="K254" s="170"/>
      <c r="L254" s="170"/>
    </row>
    <row r="255" customFormat="false" ht="15.75" hidden="false" customHeight="true" outlineLevel="0" collapsed="false">
      <c r="A255" s="170"/>
      <c r="B255" s="170"/>
      <c r="C255" s="170"/>
      <c r="E255" s="170"/>
      <c r="F255" s="170"/>
      <c r="G255" s="170"/>
      <c r="H255" s="170"/>
      <c r="I255" s="170"/>
      <c r="J255" s="170"/>
      <c r="K255" s="170"/>
      <c r="L255" s="170"/>
    </row>
    <row r="256" customFormat="false" ht="15.75" hidden="false" customHeight="true" outlineLevel="0" collapsed="false">
      <c r="A256" s="170"/>
      <c r="B256" s="170"/>
      <c r="C256" s="170"/>
      <c r="E256" s="170"/>
      <c r="F256" s="170"/>
      <c r="G256" s="170"/>
      <c r="H256" s="170"/>
      <c r="I256" s="170"/>
      <c r="J256" s="170"/>
      <c r="K256" s="170"/>
      <c r="L256" s="170"/>
    </row>
    <row r="257" customFormat="false" ht="15.75" hidden="false" customHeight="true" outlineLevel="0" collapsed="false">
      <c r="A257" s="170"/>
      <c r="B257" s="170"/>
      <c r="C257" s="170"/>
      <c r="E257" s="170"/>
      <c r="F257" s="170"/>
      <c r="G257" s="170"/>
      <c r="H257" s="170"/>
      <c r="I257" s="170"/>
      <c r="J257" s="170"/>
      <c r="K257" s="170"/>
      <c r="L257" s="170"/>
    </row>
    <row r="258" customFormat="false" ht="15.75" hidden="false" customHeight="true" outlineLevel="0" collapsed="false">
      <c r="A258" s="170"/>
      <c r="B258" s="170"/>
      <c r="C258" s="170"/>
      <c r="E258" s="170"/>
      <c r="F258" s="170"/>
      <c r="G258" s="170"/>
      <c r="H258" s="170"/>
      <c r="I258" s="170"/>
      <c r="J258" s="170"/>
      <c r="K258" s="170"/>
      <c r="L258" s="170"/>
    </row>
    <row r="259" customFormat="false" ht="15.75" hidden="false" customHeight="true" outlineLevel="0" collapsed="false">
      <c r="A259" s="170"/>
      <c r="B259" s="170"/>
      <c r="C259" s="170"/>
      <c r="E259" s="170"/>
      <c r="F259" s="170"/>
      <c r="G259" s="170"/>
      <c r="H259" s="170"/>
      <c r="I259" s="170"/>
      <c r="J259" s="170"/>
      <c r="K259" s="170"/>
      <c r="L259" s="170"/>
    </row>
    <row r="260" customFormat="false" ht="15.75" hidden="false" customHeight="true" outlineLevel="0" collapsed="false">
      <c r="A260" s="170"/>
      <c r="B260" s="170"/>
      <c r="C260" s="170"/>
      <c r="E260" s="170"/>
      <c r="F260" s="170"/>
      <c r="G260" s="170"/>
      <c r="H260" s="170"/>
      <c r="I260" s="170"/>
      <c r="J260" s="170"/>
      <c r="K260" s="170"/>
      <c r="L260" s="170"/>
    </row>
    <row r="261" customFormat="false" ht="15.75" hidden="false" customHeight="true" outlineLevel="0" collapsed="false">
      <c r="A261" s="170"/>
      <c r="B261" s="170"/>
      <c r="C261" s="170"/>
      <c r="E261" s="170"/>
      <c r="F261" s="170"/>
      <c r="G261" s="170"/>
      <c r="H261" s="170"/>
      <c r="I261" s="170"/>
      <c r="J261" s="170"/>
      <c r="K261" s="170"/>
      <c r="L261" s="170"/>
    </row>
    <row r="262" customFormat="false" ht="15.75" hidden="false" customHeight="true" outlineLevel="0" collapsed="false">
      <c r="A262" s="170"/>
      <c r="B262" s="170"/>
      <c r="C262" s="170"/>
      <c r="E262" s="170"/>
      <c r="F262" s="170"/>
      <c r="G262" s="170"/>
      <c r="H262" s="170"/>
      <c r="I262" s="170"/>
      <c r="J262" s="170"/>
      <c r="K262" s="170"/>
      <c r="L262" s="170"/>
    </row>
    <row r="263" customFormat="false" ht="15.75" hidden="false" customHeight="true" outlineLevel="0" collapsed="false">
      <c r="A263" s="170"/>
      <c r="B263" s="170"/>
      <c r="C263" s="170"/>
      <c r="E263" s="170"/>
      <c r="F263" s="170"/>
      <c r="G263" s="170"/>
      <c r="H263" s="170"/>
      <c r="I263" s="170"/>
      <c r="J263" s="170"/>
      <c r="K263" s="170"/>
      <c r="L263" s="170"/>
    </row>
    <row r="264" customFormat="false" ht="15.75" hidden="false" customHeight="true" outlineLevel="0" collapsed="false">
      <c r="A264" s="170"/>
      <c r="B264" s="170"/>
      <c r="C264" s="170"/>
      <c r="E264" s="170"/>
      <c r="F264" s="170"/>
      <c r="G264" s="170"/>
      <c r="H264" s="170"/>
      <c r="I264" s="170"/>
      <c r="J264" s="170"/>
      <c r="K264" s="170"/>
      <c r="L264" s="170"/>
    </row>
    <row r="265" customFormat="false" ht="15.75" hidden="false" customHeight="true" outlineLevel="0" collapsed="false">
      <c r="A265" s="170"/>
      <c r="B265" s="170"/>
      <c r="C265" s="170"/>
      <c r="E265" s="170"/>
      <c r="F265" s="170"/>
      <c r="G265" s="170"/>
      <c r="H265" s="170"/>
      <c r="I265" s="170"/>
      <c r="J265" s="170"/>
      <c r="K265" s="170"/>
      <c r="L265" s="170"/>
    </row>
    <row r="266" customFormat="false" ht="15.75" hidden="false" customHeight="true" outlineLevel="0" collapsed="false">
      <c r="A266" s="170"/>
      <c r="B266" s="170"/>
      <c r="C266" s="170"/>
      <c r="E266" s="170"/>
      <c r="F266" s="170"/>
      <c r="G266" s="170"/>
      <c r="H266" s="170"/>
      <c r="I266" s="170"/>
      <c r="J266" s="170"/>
      <c r="K266" s="170"/>
      <c r="L266" s="170"/>
    </row>
    <row r="267" customFormat="false" ht="15.75" hidden="false" customHeight="true" outlineLevel="0" collapsed="false">
      <c r="A267" s="170"/>
      <c r="B267" s="170"/>
      <c r="C267" s="170"/>
      <c r="E267" s="170"/>
      <c r="F267" s="170"/>
      <c r="G267" s="170"/>
      <c r="H267" s="170"/>
      <c r="I267" s="170"/>
      <c r="J267" s="170"/>
      <c r="K267" s="170"/>
      <c r="L267" s="170"/>
    </row>
    <row r="268" customFormat="false" ht="15.75" hidden="false" customHeight="true" outlineLevel="0" collapsed="false">
      <c r="A268" s="170"/>
      <c r="B268" s="170"/>
      <c r="C268" s="170"/>
      <c r="E268" s="170"/>
      <c r="F268" s="170"/>
      <c r="G268" s="170"/>
      <c r="H268" s="170"/>
      <c r="I268" s="170"/>
      <c r="J268" s="170"/>
      <c r="K268" s="170"/>
      <c r="L268" s="170"/>
    </row>
    <row r="269" customFormat="false" ht="15.75" hidden="false" customHeight="true" outlineLevel="0" collapsed="false">
      <c r="A269" s="170"/>
      <c r="B269" s="170"/>
      <c r="C269" s="170"/>
      <c r="E269" s="170"/>
      <c r="F269" s="170"/>
      <c r="G269" s="170"/>
      <c r="H269" s="170"/>
      <c r="I269" s="170"/>
      <c r="J269" s="170"/>
      <c r="K269" s="170"/>
      <c r="L269" s="170"/>
    </row>
    <row r="270" customFormat="false" ht="15.75" hidden="false" customHeight="true" outlineLevel="0" collapsed="false">
      <c r="A270" s="170"/>
      <c r="B270" s="170"/>
      <c r="C270" s="170"/>
      <c r="E270" s="170"/>
      <c r="F270" s="170"/>
      <c r="G270" s="170"/>
      <c r="H270" s="170"/>
      <c r="I270" s="170"/>
      <c r="J270" s="170"/>
      <c r="K270" s="170"/>
      <c r="L270" s="170"/>
    </row>
    <row r="271" customFormat="false" ht="15.75" hidden="false" customHeight="true" outlineLevel="0" collapsed="false">
      <c r="A271" s="170"/>
      <c r="B271" s="170"/>
      <c r="C271" s="170"/>
      <c r="E271" s="170"/>
      <c r="F271" s="170"/>
      <c r="G271" s="170"/>
      <c r="H271" s="170"/>
      <c r="I271" s="170"/>
      <c r="J271" s="170"/>
      <c r="K271" s="170"/>
      <c r="L271" s="170"/>
    </row>
    <row r="272" customFormat="false" ht="15.75" hidden="false" customHeight="true" outlineLevel="0" collapsed="false">
      <c r="A272" s="170"/>
      <c r="B272" s="170"/>
      <c r="C272" s="170"/>
      <c r="E272" s="170"/>
      <c r="F272" s="170"/>
      <c r="G272" s="170"/>
      <c r="H272" s="170"/>
      <c r="I272" s="170"/>
      <c r="J272" s="170"/>
      <c r="K272" s="170"/>
      <c r="L272" s="170"/>
    </row>
    <row r="273" customFormat="false" ht="15.75" hidden="false" customHeight="true" outlineLevel="0" collapsed="false">
      <c r="A273" s="170"/>
      <c r="B273" s="170"/>
      <c r="C273" s="170"/>
      <c r="E273" s="170"/>
      <c r="F273" s="170"/>
      <c r="G273" s="170"/>
      <c r="H273" s="170"/>
      <c r="I273" s="170"/>
      <c r="J273" s="170"/>
      <c r="K273" s="170"/>
      <c r="L273" s="170"/>
    </row>
    <row r="274" customFormat="false" ht="15.75" hidden="false" customHeight="true" outlineLevel="0" collapsed="false">
      <c r="A274" s="170"/>
      <c r="B274" s="170"/>
      <c r="C274" s="170"/>
      <c r="E274" s="170"/>
      <c r="F274" s="170"/>
      <c r="G274" s="170"/>
      <c r="H274" s="170"/>
      <c r="I274" s="170"/>
      <c r="J274" s="170"/>
      <c r="K274" s="170"/>
      <c r="L274" s="170"/>
    </row>
    <row r="275" customFormat="false" ht="15.75" hidden="false" customHeight="true" outlineLevel="0" collapsed="false">
      <c r="A275" s="170"/>
      <c r="B275" s="170"/>
      <c r="C275" s="170"/>
      <c r="E275" s="170"/>
      <c r="F275" s="170"/>
      <c r="G275" s="170"/>
      <c r="H275" s="170"/>
      <c r="I275" s="170"/>
      <c r="J275" s="170"/>
      <c r="K275" s="170"/>
      <c r="L275" s="170"/>
    </row>
    <row r="276" customFormat="false" ht="15.75" hidden="false" customHeight="true" outlineLevel="0" collapsed="false">
      <c r="A276" s="170"/>
      <c r="B276" s="170"/>
      <c r="C276" s="170"/>
      <c r="E276" s="170"/>
      <c r="F276" s="170"/>
      <c r="G276" s="170"/>
      <c r="H276" s="170"/>
      <c r="I276" s="170"/>
      <c r="J276" s="170"/>
      <c r="K276" s="170"/>
      <c r="L276" s="170"/>
    </row>
    <row r="277" customFormat="false" ht="15.75" hidden="false" customHeight="true" outlineLevel="0" collapsed="false">
      <c r="A277" s="170"/>
      <c r="B277" s="170"/>
      <c r="C277" s="170"/>
      <c r="E277" s="170"/>
      <c r="F277" s="170"/>
      <c r="G277" s="170"/>
      <c r="H277" s="170"/>
      <c r="I277" s="170"/>
      <c r="J277" s="170"/>
      <c r="K277" s="170"/>
      <c r="L277" s="170"/>
    </row>
    <row r="278" customFormat="false" ht="15.75" hidden="false" customHeight="true" outlineLevel="0" collapsed="false">
      <c r="A278" s="170"/>
      <c r="B278" s="170"/>
      <c r="C278" s="170"/>
      <c r="E278" s="170"/>
      <c r="F278" s="170"/>
      <c r="G278" s="170"/>
      <c r="H278" s="170"/>
      <c r="I278" s="170"/>
      <c r="J278" s="170"/>
      <c r="K278" s="170"/>
      <c r="L278" s="170"/>
    </row>
    <row r="279" customFormat="false" ht="15.75" hidden="false" customHeight="true" outlineLevel="0" collapsed="false">
      <c r="A279" s="170"/>
      <c r="B279" s="170"/>
      <c r="C279" s="170"/>
      <c r="E279" s="170"/>
      <c r="F279" s="170"/>
      <c r="G279" s="170"/>
      <c r="H279" s="170"/>
      <c r="I279" s="170"/>
      <c r="J279" s="170"/>
      <c r="K279" s="170"/>
      <c r="L279" s="170"/>
    </row>
    <row r="280" customFormat="false" ht="15.75" hidden="false" customHeight="true" outlineLevel="0" collapsed="false">
      <c r="A280" s="170"/>
      <c r="B280" s="170"/>
      <c r="C280" s="170"/>
      <c r="E280" s="170"/>
      <c r="F280" s="170"/>
      <c r="G280" s="170"/>
      <c r="H280" s="170"/>
      <c r="I280" s="170"/>
      <c r="J280" s="170"/>
      <c r="K280" s="170"/>
      <c r="L280" s="170"/>
    </row>
    <row r="281" customFormat="false" ht="15.75" hidden="false" customHeight="true" outlineLevel="0" collapsed="false">
      <c r="A281" s="170"/>
      <c r="B281" s="170"/>
      <c r="C281" s="170"/>
      <c r="E281" s="170"/>
      <c r="F281" s="170"/>
      <c r="G281" s="170"/>
      <c r="H281" s="170"/>
      <c r="I281" s="170"/>
      <c r="J281" s="170"/>
      <c r="K281" s="170"/>
      <c r="L281" s="170"/>
    </row>
    <row r="282" customFormat="false" ht="15.75" hidden="false" customHeight="true" outlineLevel="0" collapsed="false">
      <c r="A282" s="170"/>
      <c r="B282" s="170"/>
      <c r="C282" s="170"/>
      <c r="E282" s="170"/>
      <c r="F282" s="170"/>
      <c r="G282" s="170"/>
      <c r="H282" s="170"/>
      <c r="I282" s="170"/>
      <c r="J282" s="170"/>
      <c r="K282" s="170"/>
      <c r="L282" s="170"/>
    </row>
    <row r="283" customFormat="false" ht="15.75" hidden="false" customHeight="true" outlineLevel="0" collapsed="false">
      <c r="A283" s="170"/>
      <c r="B283" s="170"/>
      <c r="C283" s="170"/>
      <c r="E283" s="170"/>
      <c r="F283" s="170"/>
      <c r="G283" s="170"/>
      <c r="H283" s="170"/>
      <c r="I283" s="170"/>
      <c r="J283" s="170"/>
      <c r="K283" s="170"/>
      <c r="L283" s="170"/>
    </row>
    <row r="284" customFormat="false" ht="15.75" hidden="false" customHeight="true" outlineLevel="0" collapsed="false">
      <c r="A284" s="170"/>
      <c r="B284" s="170"/>
      <c r="C284" s="170"/>
      <c r="E284" s="170"/>
      <c r="F284" s="170"/>
      <c r="G284" s="170"/>
      <c r="H284" s="170"/>
      <c r="I284" s="170"/>
      <c r="J284" s="170"/>
      <c r="K284" s="170"/>
      <c r="L284" s="170"/>
    </row>
    <row r="285" customFormat="false" ht="15.75" hidden="false" customHeight="true" outlineLevel="0" collapsed="false">
      <c r="A285" s="170"/>
      <c r="B285" s="170"/>
      <c r="C285" s="170"/>
      <c r="E285" s="170"/>
      <c r="F285" s="170"/>
      <c r="G285" s="170"/>
      <c r="H285" s="170"/>
      <c r="I285" s="170"/>
      <c r="J285" s="170"/>
      <c r="K285" s="170"/>
      <c r="L285" s="170"/>
    </row>
    <row r="286" customFormat="false" ht="15.75" hidden="false" customHeight="true" outlineLevel="0" collapsed="false">
      <c r="A286" s="170"/>
      <c r="B286" s="170"/>
      <c r="C286" s="170"/>
      <c r="E286" s="170"/>
      <c r="F286" s="170"/>
      <c r="G286" s="170"/>
      <c r="H286" s="170"/>
      <c r="I286" s="170"/>
      <c r="J286" s="170"/>
      <c r="K286" s="170"/>
      <c r="L286" s="170"/>
    </row>
    <row r="287" customFormat="false" ht="15.75" hidden="false" customHeight="true" outlineLevel="0" collapsed="false">
      <c r="A287" s="170"/>
      <c r="B287" s="170"/>
      <c r="C287" s="170"/>
      <c r="E287" s="170"/>
      <c r="F287" s="170"/>
      <c r="G287" s="170"/>
      <c r="H287" s="170"/>
      <c r="I287" s="170"/>
      <c r="J287" s="170"/>
      <c r="K287" s="170"/>
      <c r="L287" s="170"/>
    </row>
    <row r="288" customFormat="false" ht="15.75" hidden="false" customHeight="true" outlineLevel="0" collapsed="false">
      <c r="A288" s="170"/>
      <c r="B288" s="170"/>
      <c r="C288" s="170"/>
      <c r="E288" s="170"/>
      <c r="F288" s="170"/>
      <c r="G288" s="170"/>
      <c r="H288" s="170"/>
      <c r="I288" s="170"/>
      <c r="J288" s="170"/>
      <c r="K288" s="170"/>
      <c r="L288" s="170"/>
    </row>
    <row r="289" customFormat="false" ht="15.75" hidden="false" customHeight="true" outlineLevel="0" collapsed="false">
      <c r="A289" s="170"/>
      <c r="B289" s="170"/>
      <c r="C289" s="170"/>
      <c r="E289" s="170"/>
      <c r="F289" s="170"/>
      <c r="G289" s="170"/>
      <c r="H289" s="170"/>
      <c r="I289" s="170"/>
      <c r="J289" s="170"/>
      <c r="K289" s="170"/>
      <c r="L289" s="170"/>
    </row>
    <row r="290" customFormat="false" ht="15.75" hidden="false" customHeight="true" outlineLevel="0" collapsed="false">
      <c r="A290" s="170"/>
      <c r="B290" s="170"/>
      <c r="C290" s="170"/>
      <c r="E290" s="170"/>
      <c r="F290" s="170"/>
      <c r="G290" s="170"/>
      <c r="H290" s="170"/>
      <c r="I290" s="170"/>
      <c r="J290" s="170"/>
      <c r="K290" s="170"/>
      <c r="L290" s="170"/>
    </row>
    <row r="291" customFormat="false" ht="15.75" hidden="false" customHeight="true" outlineLevel="0" collapsed="false">
      <c r="A291" s="170"/>
      <c r="B291" s="170"/>
      <c r="C291" s="170"/>
      <c r="E291" s="170"/>
      <c r="F291" s="170"/>
      <c r="G291" s="170"/>
      <c r="H291" s="170"/>
      <c r="I291" s="170"/>
      <c r="J291" s="170"/>
      <c r="K291" s="170"/>
      <c r="L291" s="170"/>
    </row>
    <row r="292" customFormat="false" ht="15.75" hidden="false" customHeight="true" outlineLevel="0" collapsed="false">
      <c r="A292" s="170"/>
      <c r="B292" s="170"/>
      <c r="C292" s="170"/>
      <c r="E292" s="170"/>
      <c r="F292" s="170"/>
      <c r="G292" s="170"/>
      <c r="H292" s="170"/>
      <c r="I292" s="170"/>
      <c r="J292" s="170"/>
      <c r="K292" s="170"/>
      <c r="L292" s="170"/>
    </row>
    <row r="293" customFormat="false" ht="15.75" hidden="false" customHeight="true" outlineLevel="0" collapsed="false">
      <c r="A293" s="170"/>
      <c r="B293" s="170"/>
      <c r="C293" s="170"/>
      <c r="E293" s="170"/>
      <c r="F293" s="170"/>
      <c r="G293" s="170"/>
      <c r="H293" s="170"/>
      <c r="I293" s="170"/>
      <c r="J293" s="170"/>
      <c r="K293" s="170"/>
      <c r="L293" s="170"/>
    </row>
    <row r="294" customFormat="false" ht="15.75" hidden="false" customHeight="true" outlineLevel="0" collapsed="false">
      <c r="A294" s="170"/>
      <c r="B294" s="170"/>
      <c r="C294" s="170"/>
      <c r="E294" s="170"/>
      <c r="F294" s="170"/>
      <c r="G294" s="170"/>
      <c r="H294" s="170"/>
      <c r="I294" s="170"/>
      <c r="J294" s="170"/>
      <c r="K294" s="170"/>
      <c r="L294" s="170"/>
    </row>
    <row r="295" customFormat="false" ht="15.75" hidden="false" customHeight="true" outlineLevel="0" collapsed="false">
      <c r="A295" s="170"/>
      <c r="B295" s="170"/>
      <c r="C295" s="170"/>
      <c r="E295" s="170"/>
      <c r="F295" s="170"/>
      <c r="G295" s="170"/>
      <c r="H295" s="170"/>
      <c r="I295" s="170"/>
      <c r="J295" s="170"/>
      <c r="K295" s="170"/>
      <c r="L295" s="170"/>
    </row>
    <row r="296" customFormat="false" ht="15.75" hidden="false" customHeight="true" outlineLevel="0" collapsed="false">
      <c r="A296" s="170"/>
      <c r="B296" s="170"/>
      <c r="C296" s="170"/>
      <c r="E296" s="170"/>
      <c r="F296" s="170"/>
      <c r="G296" s="170"/>
      <c r="H296" s="170"/>
      <c r="I296" s="170"/>
      <c r="J296" s="170"/>
      <c r="K296" s="170"/>
      <c r="L296" s="170"/>
    </row>
    <row r="297" customFormat="false" ht="15.75" hidden="false" customHeight="true" outlineLevel="0" collapsed="false">
      <c r="A297" s="170"/>
      <c r="B297" s="170"/>
      <c r="C297" s="170"/>
      <c r="E297" s="170"/>
      <c r="F297" s="170"/>
      <c r="G297" s="170"/>
      <c r="H297" s="170"/>
      <c r="I297" s="170"/>
      <c r="J297" s="170"/>
      <c r="K297" s="170"/>
      <c r="L297" s="170"/>
    </row>
    <row r="298" customFormat="false" ht="15.75" hidden="false" customHeight="true" outlineLevel="0" collapsed="false">
      <c r="A298" s="170"/>
      <c r="B298" s="170"/>
      <c r="C298" s="170"/>
      <c r="E298" s="170"/>
      <c r="F298" s="170"/>
      <c r="G298" s="170"/>
      <c r="H298" s="170"/>
      <c r="I298" s="170"/>
      <c r="J298" s="170"/>
      <c r="K298" s="170"/>
      <c r="L298" s="170"/>
    </row>
    <row r="299" customFormat="false" ht="15.75" hidden="false" customHeight="true" outlineLevel="0" collapsed="false">
      <c r="A299" s="170"/>
      <c r="B299" s="170"/>
      <c r="C299" s="170"/>
      <c r="E299" s="170"/>
      <c r="F299" s="170"/>
      <c r="G299" s="170"/>
      <c r="H299" s="170"/>
      <c r="I299" s="170"/>
      <c r="J299" s="170"/>
      <c r="K299" s="170"/>
      <c r="L299" s="170"/>
    </row>
    <row r="300" customFormat="false" ht="15.75" hidden="false" customHeight="true" outlineLevel="0" collapsed="false">
      <c r="A300" s="170"/>
      <c r="B300" s="170"/>
      <c r="C300" s="170"/>
      <c r="E300" s="170"/>
      <c r="F300" s="170"/>
      <c r="G300" s="170"/>
      <c r="H300" s="170"/>
      <c r="I300" s="170"/>
      <c r="J300" s="170"/>
      <c r="K300" s="170"/>
      <c r="L300" s="170"/>
    </row>
    <row r="301" customFormat="false" ht="15.75" hidden="false" customHeight="true" outlineLevel="0" collapsed="false">
      <c r="A301" s="170"/>
      <c r="B301" s="170"/>
      <c r="C301" s="170"/>
      <c r="E301" s="170"/>
      <c r="F301" s="170"/>
      <c r="G301" s="170"/>
      <c r="H301" s="170"/>
      <c r="I301" s="170"/>
      <c r="J301" s="170"/>
      <c r="K301" s="170"/>
      <c r="L301" s="170"/>
    </row>
    <row r="302" customFormat="false" ht="15.75" hidden="false" customHeight="true" outlineLevel="0" collapsed="false">
      <c r="A302" s="170"/>
      <c r="B302" s="170"/>
      <c r="C302" s="170"/>
      <c r="E302" s="170"/>
      <c r="F302" s="170"/>
      <c r="G302" s="170"/>
      <c r="H302" s="170"/>
      <c r="I302" s="170"/>
      <c r="J302" s="170"/>
      <c r="K302" s="170"/>
      <c r="L302" s="170"/>
    </row>
    <row r="303" customFormat="false" ht="15.75" hidden="false" customHeight="true" outlineLevel="0" collapsed="false">
      <c r="A303" s="170"/>
      <c r="B303" s="170"/>
      <c r="C303" s="170"/>
      <c r="E303" s="170"/>
      <c r="F303" s="170"/>
      <c r="G303" s="170"/>
      <c r="H303" s="170"/>
      <c r="I303" s="170"/>
      <c r="J303" s="170"/>
      <c r="K303" s="170"/>
      <c r="L303" s="170"/>
    </row>
    <row r="304" customFormat="false" ht="15.75" hidden="false" customHeight="true" outlineLevel="0" collapsed="false">
      <c r="A304" s="170"/>
      <c r="B304" s="170"/>
      <c r="C304" s="170"/>
      <c r="E304" s="170"/>
      <c r="F304" s="170"/>
      <c r="G304" s="170"/>
      <c r="H304" s="170"/>
      <c r="I304" s="170"/>
      <c r="J304" s="170"/>
      <c r="K304" s="170"/>
      <c r="L304" s="170"/>
    </row>
    <row r="305" customFormat="false" ht="15.75" hidden="false" customHeight="true" outlineLevel="0" collapsed="false">
      <c r="A305" s="170"/>
      <c r="B305" s="170"/>
      <c r="C305" s="170"/>
      <c r="E305" s="170"/>
      <c r="F305" s="170"/>
      <c r="G305" s="170"/>
      <c r="H305" s="170"/>
      <c r="I305" s="170"/>
      <c r="J305" s="170"/>
      <c r="K305" s="170"/>
      <c r="L305" s="170"/>
    </row>
    <row r="306" customFormat="false" ht="15.75" hidden="false" customHeight="true" outlineLevel="0" collapsed="false">
      <c r="A306" s="170"/>
      <c r="B306" s="170"/>
      <c r="C306" s="170"/>
      <c r="E306" s="170"/>
      <c r="F306" s="170"/>
      <c r="G306" s="170"/>
      <c r="H306" s="170"/>
      <c r="I306" s="170"/>
      <c r="J306" s="170"/>
      <c r="K306" s="170"/>
      <c r="L306" s="170"/>
    </row>
    <row r="307" customFormat="false" ht="15.75" hidden="false" customHeight="true" outlineLevel="0" collapsed="false">
      <c r="A307" s="170"/>
      <c r="B307" s="170"/>
      <c r="C307" s="170"/>
      <c r="E307" s="170"/>
      <c r="F307" s="170"/>
      <c r="G307" s="170"/>
      <c r="H307" s="170"/>
      <c r="I307" s="170"/>
      <c r="J307" s="170"/>
      <c r="K307" s="170"/>
      <c r="L307" s="170"/>
    </row>
    <row r="308" customFormat="false" ht="15.75" hidden="false" customHeight="true" outlineLevel="0" collapsed="false">
      <c r="A308" s="170"/>
      <c r="B308" s="170"/>
      <c r="C308" s="170"/>
      <c r="E308" s="170"/>
      <c r="F308" s="170"/>
      <c r="G308" s="170"/>
      <c r="H308" s="170"/>
      <c r="I308" s="170"/>
      <c r="J308" s="170"/>
      <c r="K308" s="170"/>
      <c r="L308" s="170"/>
    </row>
    <row r="309" customFormat="false" ht="15.75" hidden="false" customHeight="true" outlineLevel="0" collapsed="false">
      <c r="A309" s="170"/>
      <c r="B309" s="170"/>
      <c r="C309" s="170"/>
      <c r="E309" s="170"/>
      <c r="F309" s="170"/>
      <c r="G309" s="170"/>
      <c r="H309" s="170"/>
      <c r="I309" s="170"/>
      <c r="J309" s="170"/>
      <c r="K309" s="170"/>
      <c r="L309" s="170"/>
    </row>
    <row r="310" customFormat="false" ht="15.75" hidden="false" customHeight="true" outlineLevel="0" collapsed="false">
      <c r="A310" s="170"/>
      <c r="B310" s="170"/>
      <c r="C310" s="170"/>
      <c r="E310" s="170"/>
      <c r="F310" s="170"/>
      <c r="G310" s="170"/>
      <c r="H310" s="170"/>
      <c r="I310" s="170"/>
      <c r="J310" s="170"/>
      <c r="K310" s="170"/>
      <c r="L310" s="170"/>
    </row>
    <row r="311" customFormat="false" ht="15.75" hidden="false" customHeight="true" outlineLevel="0" collapsed="false">
      <c r="A311" s="170"/>
      <c r="B311" s="170"/>
      <c r="C311" s="170"/>
      <c r="E311" s="170"/>
      <c r="F311" s="170"/>
      <c r="G311" s="170"/>
      <c r="H311" s="170"/>
      <c r="I311" s="170"/>
      <c r="J311" s="170"/>
      <c r="K311" s="170"/>
      <c r="L311" s="170"/>
    </row>
    <row r="312" customFormat="false" ht="15.75" hidden="false" customHeight="true" outlineLevel="0" collapsed="false">
      <c r="A312" s="170"/>
      <c r="B312" s="170"/>
      <c r="C312" s="170"/>
      <c r="E312" s="170"/>
      <c r="F312" s="170"/>
      <c r="G312" s="170"/>
      <c r="H312" s="170"/>
      <c r="I312" s="170"/>
      <c r="J312" s="170"/>
      <c r="K312" s="170"/>
      <c r="L312" s="170"/>
    </row>
    <row r="313" customFormat="false" ht="15.75" hidden="false" customHeight="true" outlineLevel="0" collapsed="false">
      <c r="A313" s="170"/>
      <c r="B313" s="170"/>
      <c r="C313" s="170"/>
      <c r="E313" s="170"/>
      <c r="F313" s="170"/>
      <c r="G313" s="170"/>
      <c r="H313" s="170"/>
      <c r="I313" s="170"/>
      <c r="J313" s="170"/>
      <c r="K313" s="170"/>
      <c r="L313" s="170"/>
    </row>
    <row r="314" customFormat="false" ht="15.75" hidden="false" customHeight="true" outlineLevel="0" collapsed="false">
      <c r="A314" s="170"/>
      <c r="B314" s="170"/>
      <c r="C314" s="170"/>
      <c r="E314" s="170"/>
      <c r="F314" s="170"/>
      <c r="G314" s="170"/>
      <c r="H314" s="170"/>
      <c r="I314" s="170"/>
      <c r="J314" s="170"/>
      <c r="K314" s="170"/>
      <c r="L314" s="170"/>
    </row>
    <row r="315" customFormat="false" ht="15.75" hidden="false" customHeight="true" outlineLevel="0" collapsed="false">
      <c r="A315" s="170"/>
      <c r="B315" s="170"/>
      <c r="C315" s="170"/>
      <c r="E315" s="170"/>
      <c r="F315" s="170"/>
      <c r="G315" s="170"/>
      <c r="H315" s="170"/>
      <c r="I315" s="170"/>
      <c r="J315" s="170"/>
      <c r="K315" s="170"/>
      <c r="L315" s="170"/>
    </row>
    <row r="316" customFormat="false" ht="15.75" hidden="false" customHeight="true" outlineLevel="0" collapsed="false">
      <c r="A316" s="170"/>
      <c r="B316" s="170"/>
      <c r="C316" s="170"/>
      <c r="E316" s="170"/>
      <c r="F316" s="170"/>
      <c r="G316" s="170"/>
      <c r="H316" s="170"/>
      <c r="I316" s="170"/>
      <c r="J316" s="170"/>
      <c r="K316" s="170"/>
      <c r="L316" s="170"/>
    </row>
    <row r="317" customFormat="false" ht="15.75" hidden="false" customHeight="true" outlineLevel="0" collapsed="false">
      <c r="A317" s="170"/>
      <c r="B317" s="170"/>
      <c r="C317" s="170"/>
      <c r="E317" s="170"/>
      <c r="F317" s="170"/>
      <c r="G317" s="170"/>
      <c r="H317" s="170"/>
      <c r="I317" s="170"/>
      <c r="J317" s="170"/>
      <c r="K317" s="170"/>
      <c r="L317" s="170"/>
    </row>
    <row r="318" customFormat="false" ht="15.75" hidden="false" customHeight="true" outlineLevel="0" collapsed="false">
      <c r="A318" s="170"/>
      <c r="B318" s="170"/>
      <c r="C318" s="170"/>
      <c r="E318" s="170"/>
      <c r="F318" s="170"/>
      <c r="G318" s="170"/>
      <c r="H318" s="170"/>
      <c r="I318" s="170"/>
      <c r="J318" s="170"/>
      <c r="K318" s="170"/>
      <c r="L318" s="170"/>
    </row>
    <row r="319" customFormat="false" ht="15.75" hidden="false" customHeight="true" outlineLevel="0" collapsed="false">
      <c r="A319" s="170"/>
      <c r="B319" s="170"/>
      <c r="C319" s="170"/>
      <c r="E319" s="170"/>
      <c r="F319" s="170"/>
      <c r="G319" s="170"/>
      <c r="H319" s="170"/>
      <c r="I319" s="170"/>
      <c r="J319" s="170"/>
      <c r="K319" s="170"/>
      <c r="L319" s="170"/>
    </row>
    <row r="320" customFormat="false" ht="15.75" hidden="false" customHeight="true" outlineLevel="0" collapsed="false">
      <c r="A320" s="170"/>
      <c r="B320" s="170"/>
      <c r="C320" s="170"/>
      <c r="E320" s="170"/>
      <c r="F320" s="170"/>
      <c r="G320" s="170"/>
      <c r="H320" s="170"/>
      <c r="I320" s="170"/>
      <c r="J320" s="170"/>
      <c r="K320" s="170"/>
      <c r="L320" s="170"/>
    </row>
    <row r="321" customFormat="false" ht="15.75" hidden="false" customHeight="true" outlineLevel="0" collapsed="false">
      <c r="A321" s="170"/>
      <c r="B321" s="170"/>
      <c r="C321" s="170"/>
      <c r="E321" s="170"/>
      <c r="F321" s="170"/>
      <c r="G321" s="170"/>
      <c r="H321" s="170"/>
      <c r="I321" s="170"/>
      <c r="J321" s="170"/>
      <c r="K321" s="170"/>
      <c r="L321" s="170"/>
    </row>
    <row r="322" customFormat="false" ht="15.75" hidden="false" customHeight="true" outlineLevel="0" collapsed="false">
      <c r="A322" s="170"/>
      <c r="B322" s="170"/>
      <c r="C322" s="170"/>
      <c r="E322" s="170"/>
      <c r="F322" s="170"/>
      <c r="G322" s="170"/>
      <c r="H322" s="170"/>
      <c r="I322" s="170"/>
      <c r="J322" s="170"/>
      <c r="K322" s="170"/>
      <c r="L322" s="170"/>
    </row>
    <row r="323" customFormat="false" ht="15.75" hidden="false" customHeight="true" outlineLevel="0" collapsed="false">
      <c r="A323" s="170"/>
      <c r="B323" s="170"/>
      <c r="C323" s="170"/>
      <c r="E323" s="170"/>
      <c r="F323" s="170"/>
      <c r="G323" s="170"/>
      <c r="H323" s="170"/>
      <c r="I323" s="170"/>
      <c r="J323" s="170"/>
      <c r="K323" s="170"/>
      <c r="L323" s="170"/>
    </row>
    <row r="324" customFormat="false" ht="15.75" hidden="false" customHeight="true" outlineLevel="0" collapsed="false">
      <c r="A324" s="170"/>
      <c r="B324" s="170"/>
      <c r="C324" s="170"/>
      <c r="E324" s="170"/>
      <c r="F324" s="170"/>
      <c r="G324" s="170"/>
      <c r="H324" s="170"/>
      <c r="I324" s="170"/>
      <c r="J324" s="170"/>
      <c r="K324" s="170"/>
      <c r="L324" s="170"/>
    </row>
    <row r="325" customFormat="false" ht="15.75" hidden="false" customHeight="true" outlineLevel="0" collapsed="false">
      <c r="A325" s="170"/>
      <c r="B325" s="170"/>
      <c r="C325" s="170"/>
      <c r="E325" s="170"/>
      <c r="F325" s="170"/>
      <c r="G325" s="170"/>
      <c r="H325" s="170"/>
      <c r="I325" s="170"/>
      <c r="J325" s="170"/>
      <c r="K325" s="170"/>
      <c r="L325" s="170"/>
    </row>
    <row r="326" customFormat="false" ht="15.75" hidden="false" customHeight="true" outlineLevel="0" collapsed="false">
      <c r="A326" s="170"/>
      <c r="B326" s="170"/>
      <c r="C326" s="170"/>
      <c r="E326" s="170"/>
      <c r="F326" s="170"/>
      <c r="G326" s="170"/>
      <c r="H326" s="170"/>
      <c r="I326" s="170"/>
      <c r="J326" s="170"/>
      <c r="K326" s="170"/>
      <c r="L326" s="170"/>
    </row>
    <row r="327" customFormat="false" ht="15.75" hidden="false" customHeight="true" outlineLevel="0" collapsed="false">
      <c r="A327" s="170"/>
      <c r="B327" s="170"/>
      <c r="C327" s="170"/>
      <c r="E327" s="170"/>
      <c r="F327" s="170"/>
      <c r="G327" s="170"/>
      <c r="H327" s="170"/>
      <c r="I327" s="170"/>
      <c r="J327" s="170"/>
      <c r="K327" s="170"/>
      <c r="L327" s="170"/>
    </row>
    <row r="328" customFormat="false" ht="15.75" hidden="false" customHeight="true" outlineLevel="0" collapsed="false">
      <c r="A328" s="170"/>
      <c r="B328" s="170"/>
      <c r="C328" s="170"/>
      <c r="E328" s="170"/>
      <c r="F328" s="170"/>
      <c r="G328" s="170"/>
      <c r="H328" s="170"/>
      <c r="I328" s="170"/>
      <c r="J328" s="170"/>
      <c r="K328" s="170"/>
      <c r="L328" s="170"/>
    </row>
    <row r="329" customFormat="false" ht="15.75" hidden="false" customHeight="true" outlineLevel="0" collapsed="false">
      <c r="A329" s="170"/>
      <c r="B329" s="170"/>
      <c r="C329" s="170"/>
      <c r="E329" s="170"/>
      <c r="F329" s="170"/>
      <c r="G329" s="170"/>
      <c r="H329" s="170"/>
      <c r="I329" s="170"/>
      <c r="J329" s="170"/>
      <c r="K329" s="170"/>
      <c r="L329" s="170"/>
    </row>
    <row r="330" customFormat="false" ht="15.75" hidden="false" customHeight="true" outlineLevel="0" collapsed="false">
      <c r="A330" s="170"/>
      <c r="B330" s="170"/>
      <c r="C330" s="170"/>
      <c r="E330" s="170"/>
      <c r="F330" s="170"/>
      <c r="G330" s="170"/>
      <c r="H330" s="170"/>
      <c r="I330" s="170"/>
      <c r="J330" s="170"/>
      <c r="K330" s="170"/>
      <c r="L330" s="170"/>
    </row>
    <row r="331" customFormat="false" ht="15.75" hidden="false" customHeight="true" outlineLevel="0" collapsed="false">
      <c r="A331" s="170"/>
      <c r="B331" s="170"/>
      <c r="C331" s="170"/>
      <c r="E331" s="170"/>
      <c r="F331" s="170"/>
      <c r="G331" s="170"/>
      <c r="H331" s="170"/>
      <c r="I331" s="170"/>
      <c r="J331" s="170"/>
      <c r="K331" s="170"/>
      <c r="L331" s="170"/>
    </row>
    <row r="332" customFormat="false" ht="15.75" hidden="false" customHeight="true" outlineLevel="0" collapsed="false">
      <c r="A332" s="170"/>
      <c r="B332" s="170"/>
      <c r="C332" s="170"/>
      <c r="E332" s="170"/>
      <c r="F332" s="170"/>
      <c r="G332" s="170"/>
      <c r="H332" s="170"/>
      <c r="I332" s="170"/>
      <c r="J332" s="170"/>
      <c r="K332" s="170"/>
      <c r="L332" s="170"/>
    </row>
    <row r="333" customFormat="false" ht="15.75" hidden="false" customHeight="true" outlineLevel="0" collapsed="false">
      <c r="A333" s="170"/>
      <c r="B333" s="170"/>
      <c r="C333" s="170"/>
      <c r="E333" s="170"/>
      <c r="F333" s="170"/>
      <c r="G333" s="170"/>
      <c r="H333" s="170"/>
      <c r="I333" s="170"/>
      <c r="J333" s="170"/>
      <c r="K333" s="170"/>
      <c r="L333" s="170"/>
    </row>
    <row r="334" customFormat="false" ht="15.75" hidden="false" customHeight="true" outlineLevel="0" collapsed="false">
      <c r="A334" s="170"/>
      <c r="B334" s="170"/>
      <c r="C334" s="170"/>
      <c r="E334" s="170"/>
      <c r="F334" s="170"/>
      <c r="G334" s="170"/>
      <c r="H334" s="170"/>
      <c r="I334" s="170"/>
      <c r="J334" s="170"/>
      <c r="K334" s="170"/>
      <c r="L334" s="170"/>
    </row>
    <row r="335" customFormat="false" ht="15.75" hidden="false" customHeight="true" outlineLevel="0" collapsed="false">
      <c r="A335" s="170"/>
      <c r="B335" s="170"/>
      <c r="C335" s="170"/>
      <c r="E335" s="170"/>
      <c r="F335" s="170"/>
      <c r="G335" s="170"/>
      <c r="H335" s="170"/>
      <c r="I335" s="170"/>
      <c r="J335" s="170"/>
      <c r="K335" s="170"/>
      <c r="L335" s="170"/>
    </row>
    <row r="336" customFormat="false" ht="15.75" hidden="false" customHeight="true" outlineLevel="0" collapsed="false">
      <c r="A336" s="170"/>
      <c r="B336" s="170"/>
      <c r="C336" s="170"/>
      <c r="E336" s="170"/>
      <c r="F336" s="170"/>
      <c r="G336" s="170"/>
      <c r="H336" s="170"/>
      <c r="I336" s="170"/>
      <c r="J336" s="170"/>
      <c r="K336" s="170"/>
      <c r="L336" s="170"/>
    </row>
    <row r="337" customFormat="false" ht="15.75" hidden="false" customHeight="true" outlineLevel="0" collapsed="false">
      <c r="A337" s="170"/>
      <c r="B337" s="170"/>
      <c r="C337" s="170"/>
      <c r="E337" s="170"/>
      <c r="F337" s="170"/>
      <c r="G337" s="170"/>
      <c r="H337" s="170"/>
      <c r="I337" s="170"/>
      <c r="J337" s="170"/>
      <c r="K337" s="170"/>
      <c r="L337" s="170"/>
    </row>
    <row r="338" customFormat="false" ht="15.75" hidden="false" customHeight="true" outlineLevel="0" collapsed="false">
      <c r="A338" s="170"/>
      <c r="B338" s="170"/>
      <c r="C338" s="170"/>
      <c r="E338" s="170"/>
      <c r="F338" s="170"/>
      <c r="G338" s="170"/>
      <c r="H338" s="170"/>
      <c r="I338" s="170"/>
      <c r="J338" s="170"/>
      <c r="K338" s="170"/>
      <c r="L338" s="170"/>
    </row>
    <row r="339" customFormat="false" ht="15.75" hidden="false" customHeight="true" outlineLevel="0" collapsed="false">
      <c r="A339" s="170"/>
      <c r="B339" s="170"/>
      <c r="C339" s="170"/>
      <c r="E339" s="170"/>
      <c r="F339" s="170"/>
      <c r="G339" s="170"/>
      <c r="H339" s="170"/>
      <c r="I339" s="170"/>
      <c r="J339" s="170"/>
      <c r="K339" s="170"/>
      <c r="L339" s="170"/>
    </row>
    <row r="340" customFormat="false" ht="15.75" hidden="false" customHeight="true" outlineLevel="0" collapsed="false">
      <c r="A340" s="170"/>
      <c r="B340" s="170"/>
      <c r="C340" s="170"/>
      <c r="E340" s="170"/>
      <c r="F340" s="170"/>
      <c r="G340" s="170"/>
      <c r="H340" s="170"/>
      <c r="I340" s="170"/>
      <c r="J340" s="170"/>
      <c r="K340" s="170"/>
      <c r="L340" s="170"/>
    </row>
    <row r="341" customFormat="false" ht="15.75" hidden="false" customHeight="true" outlineLevel="0" collapsed="false">
      <c r="A341" s="170"/>
      <c r="B341" s="170"/>
      <c r="C341" s="170"/>
      <c r="E341" s="170"/>
      <c r="F341" s="170"/>
      <c r="G341" s="170"/>
      <c r="H341" s="170"/>
      <c r="I341" s="170"/>
      <c r="J341" s="170"/>
      <c r="K341" s="170"/>
      <c r="L341" s="170"/>
    </row>
    <row r="342" customFormat="false" ht="15.75" hidden="false" customHeight="true" outlineLevel="0" collapsed="false">
      <c r="A342" s="170"/>
      <c r="B342" s="170"/>
      <c r="C342" s="170"/>
      <c r="E342" s="170"/>
      <c r="F342" s="170"/>
      <c r="G342" s="170"/>
      <c r="H342" s="170"/>
      <c r="I342" s="170"/>
      <c r="J342" s="170"/>
      <c r="K342" s="170"/>
      <c r="L342" s="170"/>
    </row>
    <row r="343" customFormat="false" ht="15.75" hidden="false" customHeight="true" outlineLevel="0" collapsed="false">
      <c r="A343" s="170"/>
      <c r="B343" s="170"/>
      <c r="C343" s="170"/>
      <c r="E343" s="170"/>
      <c r="F343" s="170"/>
      <c r="G343" s="170"/>
      <c r="H343" s="170"/>
      <c r="I343" s="170"/>
      <c r="J343" s="170"/>
      <c r="K343" s="170"/>
      <c r="L343" s="170"/>
    </row>
    <row r="344" customFormat="false" ht="15.75" hidden="false" customHeight="true" outlineLevel="0" collapsed="false">
      <c r="A344" s="170"/>
      <c r="B344" s="170"/>
      <c r="C344" s="170"/>
      <c r="E344" s="170"/>
      <c r="F344" s="170"/>
      <c r="G344" s="170"/>
      <c r="H344" s="170"/>
      <c r="I344" s="170"/>
      <c r="J344" s="170"/>
      <c r="K344" s="170"/>
      <c r="L344" s="170"/>
    </row>
    <row r="345" customFormat="false" ht="15.75" hidden="false" customHeight="true" outlineLevel="0" collapsed="false">
      <c r="A345" s="170"/>
      <c r="B345" s="170"/>
      <c r="C345" s="170"/>
      <c r="E345" s="170"/>
      <c r="F345" s="170"/>
      <c r="G345" s="170"/>
      <c r="H345" s="170"/>
      <c r="I345" s="170"/>
      <c r="J345" s="170"/>
      <c r="K345" s="170"/>
      <c r="L345" s="170"/>
    </row>
    <row r="346" customFormat="false" ht="15.75" hidden="false" customHeight="true" outlineLevel="0" collapsed="false">
      <c r="A346" s="170"/>
      <c r="B346" s="170"/>
      <c r="C346" s="170"/>
      <c r="E346" s="170"/>
      <c r="F346" s="170"/>
      <c r="G346" s="170"/>
      <c r="H346" s="170"/>
      <c r="I346" s="170"/>
      <c r="J346" s="170"/>
      <c r="K346" s="170"/>
      <c r="L346" s="170"/>
    </row>
    <row r="347" customFormat="false" ht="15.75" hidden="false" customHeight="true" outlineLevel="0" collapsed="false">
      <c r="A347" s="170"/>
      <c r="B347" s="170"/>
      <c r="C347" s="170"/>
      <c r="E347" s="170"/>
      <c r="F347" s="170"/>
      <c r="G347" s="170"/>
      <c r="H347" s="170"/>
      <c r="I347" s="170"/>
      <c r="J347" s="170"/>
      <c r="K347" s="170"/>
      <c r="L347" s="170"/>
    </row>
    <row r="348" customFormat="false" ht="15.75" hidden="false" customHeight="true" outlineLevel="0" collapsed="false">
      <c r="A348" s="170"/>
      <c r="B348" s="170"/>
      <c r="C348" s="170"/>
      <c r="E348" s="170"/>
      <c r="F348" s="170"/>
      <c r="G348" s="170"/>
      <c r="H348" s="170"/>
      <c r="I348" s="170"/>
      <c r="J348" s="170"/>
      <c r="K348" s="170"/>
      <c r="L348" s="170"/>
    </row>
    <row r="349" customFormat="false" ht="15.75" hidden="false" customHeight="true" outlineLevel="0" collapsed="false">
      <c r="A349" s="170"/>
      <c r="B349" s="170"/>
      <c r="C349" s="170"/>
      <c r="E349" s="170"/>
      <c r="F349" s="170"/>
      <c r="G349" s="170"/>
      <c r="H349" s="170"/>
      <c r="I349" s="170"/>
      <c r="J349" s="170"/>
      <c r="K349" s="170"/>
      <c r="L349" s="170"/>
    </row>
    <row r="350" customFormat="false" ht="15.75" hidden="false" customHeight="true" outlineLevel="0" collapsed="false">
      <c r="A350" s="170"/>
      <c r="B350" s="170"/>
      <c r="C350" s="170"/>
      <c r="E350" s="170"/>
      <c r="F350" s="170"/>
      <c r="G350" s="170"/>
      <c r="H350" s="170"/>
      <c r="I350" s="170"/>
      <c r="J350" s="170"/>
      <c r="K350" s="170"/>
      <c r="L350" s="170"/>
    </row>
    <row r="351" customFormat="false" ht="15.75" hidden="false" customHeight="true" outlineLevel="0" collapsed="false">
      <c r="A351" s="170"/>
      <c r="B351" s="170"/>
      <c r="C351" s="170"/>
      <c r="E351" s="170"/>
      <c r="F351" s="170"/>
      <c r="G351" s="170"/>
      <c r="H351" s="170"/>
      <c r="I351" s="170"/>
      <c r="J351" s="170"/>
      <c r="K351" s="170"/>
      <c r="L351" s="170"/>
    </row>
    <row r="352" customFormat="false" ht="15.75" hidden="false" customHeight="true" outlineLevel="0" collapsed="false">
      <c r="A352" s="170"/>
      <c r="B352" s="170"/>
      <c r="C352" s="170"/>
      <c r="E352" s="170"/>
      <c r="F352" s="170"/>
      <c r="G352" s="170"/>
      <c r="H352" s="170"/>
      <c r="I352" s="170"/>
      <c r="J352" s="170"/>
      <c r="K352" s="170"/>
      <c r="L352" s="170"/>
    </row>
    <row r="353" customFormat="false" ht="15.75" hidden="false" customHeight="true" outlineLevel="0" collapsed="false">
      <c r="A353" s="170"/>
      <c r="B353" s="170"/>
      <c r="C353" s="170"/>
      <c r="E353" s="170"/>
      <c r="F353" s="170"/>
      <c r="G353" s="170"/>
      <c r="H353" s="170"/>
      <c r="I353" s="170"/>
      <c r="J353" s="170"/>
      <c r="K353" s="170"/>
      <c r="L353" s="170"/>
    </row>
    <row r="354" customFormat="false" ht="15.75" hidden="false" customHeight="true" outlineLevel="0" collapsed="false">
      <c r="A354" s="170"/>
      <c r="B354" s="170"/>
      <c r="C354" s="170"/>
      <c r="E354" s="170"/>
      <c r="F354" s="170"/>
      <c r="G354" s="170"/>
      <c r="H354" s="170"/>
      <c r="I354" s="170"/>
      <c r="J354" s="170"/>
      <c r="K354" s="170"/>
      <c r="L354" s="170"/>
    </row>
    <row r="355" customFormat="false" ht="15.75" hidden="false" customHeight="true" outlineLevel="0" collapsed="false">
      <c r="A355" s="170"/>
      <c r="B355" s="170"/>
      <c r="C355" s="170"/>
      <c r="E355" s="170"/>
      <c r="F355" s="170"/>
      <c r="G355" s="170"/>
      <c r="H355" s="170"/>
      <c r="I355" s="170"/>
      <c r="J355" s="170"/>
      <c r="K355" s="170"/>
      <c r="L355" s="170"/>
    </row>
    <row r="356" customFormat="false" ht="15.75" hidden="false" customHeight="true" outlineLevel="0" collapsed="false">
      <c r="A356" s="170"/>
      <c r="B356" s="170"/>
      <c r="C356" s="170"/>
      <c r="E356" s="170"/>
      <c r="F356" s="170"/>
      <c r="G356" s="170"/>
      <c r="H356" s="170"/>
      <c r="I356" s="170"/>
      <c r="J356" s="170"/>
      <c r="K356" s="170"/>
      <c r="L356" s="170"/>
    </row>
    <row r="357" customFormat="false" ht="15.75" hidden="false" customHeight="true" outlineLevel="0" collapsed="false">
      <c r="A357" s="170"/>
      <c r="B357" s="170"/>
      <c r="C357" s="170"/>
      <c r="E357" s="170"/>
      <c r="F357" s="170"/>
      <c r="G357" s="170"/>
      <c r="H357" s="170"/>
      <c r="I357" s="170"/>
      <c r="J357" s="170"/>
      <c r="K357" s="170"/>
      <c r="L357" s="170"/>
    </row>
    <row r="358" customFormat="false" ht="15.75" hidden="false" customHeight="true" outlineLevel="0" collapsed="false">
      <c r="A358" s="170"/>
      <c r="B358" s="170"/>
      <c r="C358" s="170"/>
      <c r="E358" s="170"/>
      <c r="F358" s="170"/>
      <c r="G358" s="170"/>
      <c r="H358" s="170"/>
      <c r="I358" s="170"/>
      <c r="J358" s="170"/>
      <c r="K358" s="170"/>
      <c r="L358" s="170"/>
    </row>
    <row r="359" customFormat="false" ht="15.75" hidden="false" customHeight="true" outlineLevel="0" collapsed="false">
      <c r="A359" s="170"/>
      <c r="B359" s="170"/>
      <c r="C359" s="170"/>
      <c r="E359" s="170"/>
      <c r="F359" s="170"/>
      <c r="G359" s="170"/>
      <c r="H359" s="170"/>
      <c r="I359" s="170"/>
      <c r="J359" s="170"/>
      <c r="K359" s="170"/>
      <c r="L359" s="170"/>
    </row>
    <row r="360" customFormat="false" ht="15.75" hidden="false" customHeight="true" outlineLevel="0" collapsed="false">
      <c r="A360" s="170"/>
      <c r="B360" s="170"/>
      <c r="C360" s="170"/>
      <c r="E360" s="170"/>
      <c r="F360" s="170"/>
      <c r="G360" s="170"/>
      <c r="H360" s="170"/>
      <c r="I360" s="170"/>
      <c r="J360" s="170"/>
      <c r="K360" s="170"/>
      <c r="L360" s="170"/>
    </row>
    <row r="361" customFormat="false" ht="15.75" hidden="false" customHeight="true" outlineLevel="0" collapsed="false">
      <c r="A361" s="170"/>
      <c r="B361" s="170"/>
      <c r="C361" s="170"/>
      <c r="E361" s="170"/>
      <c r="F361" s="170"/>
      <c r="G361" s="170"/>
      <c r="H361" s="170"/>
      <c r="I361" s="170"/>
      <c r="J361" s="170"/>
      <c r="K361" s="170"/>
      <c r="L361" s="170"/>
    </row>
    <row r="362" customFormat="false" ht="15.75" hidden="false" customHeight="true" outlineLevel="0" collapsed="false">
      <c r="A362" s="170"/>
      <c r="B362" s="170"/>
      <c r="C362" s="170"/>
      <c r="E362" s="170"/>
      <c r="F362" s="170"/>
      <c r="G362" s="170"/>
      <c r="H362" s="170"/>
      <c r="I362" s="170"/>
      <c r="J362" s="170"/>
      <c r="K362" s="170"/>
      <c r="L362" s="170"/>
    </row>
    <row r="363" customFormat="false" ht="15.75" hidden="false" customHeight="true" outlineLevel="0" collapsed="false">
      <c r="A363" s="170"/>
      <c r="B363" s="170"/>
      <c r="C363" s="170"/>
      <c r="E363" s="170"/>
      <c r="F363" s="170"/>
      <c r="G363" s="170"/>
      <c r="H363" s="170"/>
      <c r="I363" s="170"/>
      <c r="J363" s="170"/>
      <c r="K363" s="170"/>
      <c r="L363" s="170"/>
    </row>
    <row r="364" customFormat="false" ht="15.75" hidden="false" customHeight="true" outlineLevel="0" collapsed="false">
      <c r="A364" s="170"/>
      <c r="B364" s="170"/>
      <c r="C364" s="170"/>
      <c r="E364" s="170"/>
      <c r="F364" s="170"/>
      <c r="G364" s="170"/>
      <c r="H364" s="170"/>
      <c r="I364" s="170"/>
      <c r="J364" s="170"/>
      <c r="K364" s="170"/>
      <c r="L364" s="170"/>
    </row>
    <row r="365" customFormat="false" ht="15.75" hidden="false" customHeight="true" outlineLevel="0" collapsed="false">
      <c r="A365" s="170"/>
      <c r="B365" s="170"/>
      <c r="C365" s="170"/>
      <c r="E365" s="170"/>
      <c r="F365" s="170"/>
      <c r="G365" s="170"/>
      <c r="H365" s="170"/>
      <c r="I365" s="170"/>
      <c r="J365" s="170"/>
      <c r="K365" s="170"/>
      <c r="L365" s="170"/>
    </row>
    <row r="366" customFormat="false" ht="15.75" hidden="false" customHeight="true" outlineLevel="0" collapsed="false">
      <c r="A366" s="170"/>
      <c r="B366" s="170"/>
      <c r="C366" s="170"/>
      <c r="E366" s="170"/>
      <c r="F366" s="170"/>
      <c r="G366" s="170"/>
      <c r="H366" s="170"/>
      <c r="I366" s="170"/>
      <c r="J366" s="170"/>
      <c r="K366" s="170"/>
      <c r="L366" s="170"/>
    </row>
    <row r="367" customFormat="false" ht="15.75" hidden="false" customHeight="true" outlineLevel="0" collapsed="false">
      <c r="A367" s="170"/>
      <c r="B367" s="170"/>
      <c r="C367" s="170"/>
      <c r="E367" s="170"/>
      <c r="F367" s="170"/>
      <c r="G367" s="170"/>
      <c r="H367" s="170"/>
      <c r="I367" s="170"/>
      <c r="J367" s="170"/>
      <c r="K367" s="170"/>
      <c r="L367" s="170"/>
    </row>
    <row r="368" customFormat="false" ht="15.75" hidden="false" customHeight="true" outlineLevel="0" collapsed="false">
      <c r="A368" s="170"/>
      <c r="B368" s="170"/>
      <c r="C368" s="170"/>
      <c r="E368" s="170"/>
      <c r="F368" s="170"/>
      <c r="G368" s="170"/>
      <c r="H368" s="170"/>
      <c r="I368" s="170"/>
      <c r="J368" s="170"/>
      <c r="K368" s="170"/>
      <c r="L368" s="170"/>
    </row>
    <row r="369" customFormat="false" ht="15.75" hidden="false" customHeight="true" outlineLevel="0" collapsed="false">
      <c r="A369" s="170"/>
      <c r="B369" s="170"/>
      <c r="C369" s="170"/>
      <c r="E369" s="170"/>
      <c r="F369" s="170"/>
      <c r="G369" s="170"/>
      <c r="H369" s="170"/>
      <c r="I369" s="170"/>
      <c r="J369" s="170"/>
      <c r="K369" s="170"/>
      <c r="L369" s="170"/>
    </row>
    <row r="370" customFormat="false" ht="15.75" hidden="false" customHeight="true" outlineLevel="0" collapsed="false">
      <c r="A370" s="170"/>
      <c r="B370" s="170"/>
      <c r="C370" s="170"/>
      <c r="E370" s="170"/>
      <c r="F370" s="170"/>
      <c r="G370" s="170"/>
      <c r="H370" s="170"/>
      <c r="I370" s="170"/>
      <c r="J370" s="170"/>
      <c r="K370" s="170"/>
      <c r="L370" s="170"/>
    </row>
    <row r="371" customFormat="false" ht="15.75" hidden="false" customHeight="true" outlineLevel="0" collapsed="false">
      <c r="A371" s="170"/>
      <c r="B371" s="170"/>
      <c r="C371" s="170"/>
      <c r="E371" s="170"/>
      <c r="F371" s="170"/>
      <c r="G371" s="170"/>
      <c r="H371" s="170"/>
      <c r="I371" s="170"/>
      <c r="J371" s="170"/>
      <c r="K371" s="170"/>
      <c r="L371" s="170"/>
    </row>
    <row r="372" customFormat="false" ht="15.75" hidden="false" customHeight="true" outlineLevel="0" collapsed="false">
      <c r="A372" s="170"/>
      <c r="B372" s="170"/>
      <c r="C372" s="170"/>
      <c r="E372" s="170"/>
      <c r="F372" s="170"/>
      <c r="G372" s="170"/>
      <c r="H372" s="170"/>
      <c r="I372" s="170"/>
      <c r="J372" s="170"/>
      <c r="K372" s="170"/>
      <c r="L372" s="170"/>
    </row>
    <row r="373" customFormat="false" ht="15.75" hidden="false" customHeight="true" outlineLevel="0" collapsed="false">
      <c r="A373" s="170"/>
      <c r="B373" s="170"/>
      <c r="C373" s="170"/>
      <c r="E373" s="170"/>
      <c r="F373" s="170"/>
      <c r="G373" s="170"/>
      <c r="H373" s="170"/>
      <c r="I373" s="170"/>
      <c r="J373" s="170"/>
      <c r="K373" s="170"/>
      <c r="L373" s="170"/>
    </row>
    <row r="374" customFormat="false" ht="15.75" hidden="false" customHeight="true" outlineLevel="0" collapsed="false">
      <c r="A374" s="170"/>
      <c r="B374" s="170"/>
      <c r="C374" s="170"/>
      <c r="E374" s="170"/>
      <c r="F374" s="170"/>
      <c r="G374" s="170"/>
      <c r="H374" s="170"/>
      <c r="I374" s="170"/>
      <c r="J374" s="170"/>
      <c r="K374" s="170"/>
      <c r="L374" s="170"/>
    </row>
    <row r="375" customFormat="false" ht="15.75" hidden="false" customHeight="true" outlineLevel="0" collapsed="false">
      <c r="A375" s="170"/>
      <c r="B375" s="170"/>
      <c r="C375" s="170"/>
      <c r="E375" s="170"/>
      <c r="F375" s="170"/>
      <c r="G375" s="170"/>
      <c r="H375" s="170"/>
      <c r="I375" s="170"/>
      <c r="J375" s="170"/>
      <c r="K375" s="170"/>
      <c r="L375" s="170"/>
    </row>
    <row r="376" customFormat="false" ht="15.75" hidden="false" customHeight="true" outlineLevel="0" collapsed="false">
      <c r="A376" s="170"/>
      <c r="B376" s="170"/>
      <c r="C376" s="170"/>
      <c r="E376" s="170"/>
      <c r="F376" s="170"/>
      <c r="G376" s="170"/>
      <c r="H376" s="170"/>
      <c r="I376" s="170"/>
      <c r="J376" s="170"/>
      <c r="K376" s="170"/>
      <c r="L376" s="170"/>
    </row>
    <row r="377" customFormat="false" ht="15.75" hidden="false" customHeight="true" outlineLevel="0" collapsed="false">
      <c r="A377" s="170"/>
      <c r="B377" s="170"/>
      <c r="C377" s="170"/>
      <c r="E377" s="170"/>
      <c r="F377" s="170"/>
      <c r="G377" s="170"/>
      <c r="H377" s="170"/>
      <c r="I377" s="170"/>
      <c r="J377" s="170"/>
      <c r="K377" s="170"/>
      <c r="L377" s="170"/>
    </row>
    <row r="378" customFormat="false" ht="15.75" hidden="false" customHeight="true" outlineLevel="0" collapsed="false">
      <c r="A378" s="170"/>
      <c r="B378" s="170"/>
      <c r="C378" s="170"/>
      <c r="E378" s="170"/>
      <c r="F378" s="170"/>
      <c r="G378" s="170"/>
      <c r="H378" s="170"/>
      <c r="I378" s="170"/>
      <c r="J378" s="170"/>
      <c r="K378" s="170"/>
      <c r="L378" s="170"/>
    </row>
    <row r="379" customFormat="false" ht="15.75" hidden="false" customHeight="true" outlineLevel="0" collapsed="false">
      <c r="A379" s="170"/>
      <c r="B379" s="170"/>
      <c r="C379" s="170"/>
      <c r="E379" s="170"/>
      <c r="F379" s="170"/>
      <c r="G379" s="170"/>
      <c r="H379" s="170"/>
      <c r="I379" s="170"/>
      <c r="J379" s="170"/>
      <c r="K379" s="170"/>
      <c r="L379" s="170"/>
    </row>
    <row r="380" customFormat="false" ht="15.75" hidden="false" customHeight="true" outlineLevel="0" collapsed="false">
      <c r="A380" s="170"/>
      <c r="B380" s="170"/>
      <c r="C380" s="170"/>
      <c r="E380" s="170"/>
      <c r="F380" s="170"/>
      <c r="G380" s="170"/>
      <c r="H380" s="170"/>
      <c r="I380" s="170"/>
      <c r="J380" s="170"/>
      <c r="K380" s="170"/>
      <c r="L380" s="170"/>
    </row>
    <row r="381" customFormat="false" ht="15.75" hidden="false" customHeight="true" outlineLevel="0" collapsed="false">
      <c r="A381" s="170"/>
      <c r="B381" s="170"/>
      <c r="C381" s="170"/>
      <c r="E381" s="170"/>
      <c r="F381" s="170"/>
      <c r="G381" s="170"/>
      <c r="H381" s="170"/>
      <c r="I381" s="170"/>
      <c r="J381" s="170"/>
      <c r="K381" s="170"/>
      <c r="L381" s="170"/>
    </row>
    <row r="382" customFormat="false" ht="15.75" hidden="false" customHeight="true" outlineLevel="0" collapsed="false">
      <c r="A382" s="170"/>
      <c r="B382" s="170"/>
      <c r="C382" s="170"/>
      <c r="E382" s="170"/>
      <c r="F382" s="170"/>
      <c r="G382" s="170"/>
      <c r="H382" s="170"/>
      <c r="I382" s="170"/>
      <c r="J382" s="170"/>
      <c r="K382" s="170"/>
      <c r="L382" s="170"/>
    </row>
    <row r="383" customFormat="false" ht="15.75" hidden="false" customHeight="true" outlineLevel="0" collapsed="false">
      <c r="A383" s="170"/>
      <c r="B383" s="170"/>
      <c r="C383" s="170"/>
      <c r="E383" s="170"/>
      <c r="F383" s="170"/>
      <c r="G383" s="170"/>
      <c r="H383" s="170"/>
      <c r="I383" s="170"/>
      <c r="J383" s="170"/>
      <c r="K383" s="170"/>
      <c r="L383" s="170"/>
    </row>
    <row r="384" customFormat="false" ht="15.75" hidden="false" customHeight="true" outlineLevel="0" collapsed="false">
      <c r="A384" s="170"/>
      <c r="B384" s="170"/>
      <c r="C384" s="170"/>
      <c r="E384" s="170"/>
      <c r="F384" s="170"/>
      <c r="G384" s="170"/>
      <c r="H384" s="170"/>
      <c r="I384" s="170"/>
      <c r="J384" s="170"/>
      <c r="K384" s="170"/>
      <c r="L384" s="170"/>
    </row>
    <row r="385" customFormat="false" ht="15.75" hidden="false" customHeight="true" outlineLevel="0" collapsed="false">
      <c r="A385" s="170"/>
      <c r="B385" s="170"/>
      <c r="C385" s="170"/>
      <c r="E385" s="170"/>
      <c r="F385" s="170"/>
      <c r="G385" s="170"/>
      <c r="H385" s="170"/>
      <c r="I385" s="170"/>
      <c r="J385" s="170"/>
      <c r="K385" s="170"/>
      <c r="L385" s="170"/>
    </row>
    <row r="386" customFormat="false" ht="15.75" hidden="false" customHeight="true" outlineLevel="0" collapsed="false">
      <c r="A386" s="170"/>
      <c r="B386" s="170"/>
      <c r="C386" s="170"/>
      <c r="E386" s="170"/>
      <c r="F386" s="170"/>
      <c r="G386" s="170"/>
      <c r="H386" s="170"/>
      <c r="I386" s="170"/>
      <c r="J386" s="170"/>
      <c r="K386" s="170"/>
      <c r="L386" s="170"/>
    </row>
    <row r="387" customFormat="false" ht="15.75" hidden="false" customHeight="true" outlineLevel="0" collapsed="false">
      <c r="A387" s="170"/>
      <c r="B387" s="170"/>
      <c r="C387" s="170"/>
      <c r="E387" s="170"/>
      <c r="F387" s="170"/>
      <c r="G387" s="170"/>
      <c r="H387" s="170"/>
      <c r="I387" s="170"/>
      <c r="J387" s="170"/>
      <c r="K387" s="170"/>
      <c r="L387" s="170"/>
    </row>
    <row r="388" customFormat="false" ht="15.75" hidden="false" customHeight="true" outlineLevel="0" collapsed="false">
      <c r="A388" s="170"/>
      <c r="B388" s="170"/>
      <c r="C388" s="170"/>
      <c r="E388" s="170"/>
      <c r="F388" s="170"/>
      <c r="G388" s="170"/>
      <c r="H388" s="170"/>
      <c r="I388" s="170"/>
      <c r="J388" s="170"/>
      <c r="K388" s="170"/>
      <c r="L388" s="170"/>
    </row>
    <row r="389" customFormat="false" ht="15.75" hidden="false" customHeight="true" outlineLevel="0" collapsed="false">
      <c r="A389" s="170"/>
      <c r="B389" s="170"/>
      <c r="C389" s="170"/>
      <c r="E389" s="170"/>
      <c r="F389" s="170"/>
      <c r="G389" s="170"/>
      <c r="H389" s="170"/>
      <c r="I389" s="170"/>
      <c r="J389" s="170"/>
      <c r="K389" s="170"/>
      <c r="L389" s="170"/>
    </row>
    <row r="390" customFormat="false" ht="15.75" hidden="false" customHeight="true" outlineLevel="0" collapsed="false">
      <c r="A390" s="170"/>
      <c r="B390" s="170"/>
      <c r="C390" s="170"/>
      <c r="E390" s="170"/>
      <c r="F390" s="170"/>
      <c r="G390" s="170"/>
      <c r="H390" s="170"/>
      <c r="I390" s="170"/>
      <c r="J390" s="170"/>
      <c r="K390" s="170"/>
      <c r="L390" s="170"/>
    </row>
    <row r="391" customFormat="false" ht="15.75" hidden="false" customHeight="true" outlineLevel="0" collapsed="false">
      <c r="A391" s="170"/>
      <c r="B391" s="170"/>
      <c r="C391" s="170"/>
      <c r="E391" s="170"/>
      <c r="F391" s="170"/>
      <c r="G391" s="170"/>
      <c r="H391" s="170"/>
      <c r="I391" s="170"/>
      <c r="J391" s="170"/>
      <c r="K391" s="170"/>
      <c r="L391" s="170"/>
    </row>
    <row r="392" customFormat="false" ht="15.75" hidden="false" customHeight="true" outlineLevel="0" collapsed="false">
      <c r="A392" s="170"/>
      <c r="B392" s="170"/>
      <c r="C392" s="170"/>
      <c r="E392" s="170"/>
      <c r="F392" s="170"/>
      <c r="G392" s="170"/>
      <c r="H392" s="170"/>
      <c r="I392" s="170"/>
      <c r="J392" s="170"/>
      <c r="K392" s="170"/>
      <c r="L392" s="170"/>
    </row>
    <row r="393" customFormat="false" ht="15.75" hidden="false" customHeight="true" outlineLevel="0" collapsed="false">
      <c r="A393" s="170"/>
      <c r="B393" s="170"/>
      <c r="C393" s="170"/>
      <c r="E393" s="170"/>
      <c r="F393" s="170"/>
      <c r="G393" s="170"/>
      <c r="H393" s="170"/>
      <c r="I393" s="170"/>
      <c r="J393" s="170"/>
      <c r="K393" s="170"/>
      <c r="L393" s="170"/>
    </row>
    <row r="394" customFormat="false" ht="15.75" hidden="false" customHeight="true" outlineLevel="0" collapsed="false">
      <c r="A394" s="170"/>
      <c r="B394" s="170"/>
      <c r="C394" s="170"/>
      <c r="E394" s="170"/>
      <c r="F394" s="170"/>
      <c r="G394" s="170"/>
      <c r="H394" s="170"/>
      <c r="I394" s="170"/>
      <c r="J394" s="170"/>
      <c r="K394" s="170"/>
      <c r="L394" s="170"/>
    </row>
    <row r="395" customFormat="false" ht="15.75" hidden="false" customHeight="true" outlineLevel="0" collapsed="false">
      <c r="A395" s="170"/>
      <c r="B395" s="170"/>
      <c r="C395" s="170"/>
      <c r="E395" s="170"/>
      <c r="F395" s="170"/>
      <c r="G395" s="170"/>
      <c r="H395" s="170"/>
      <c r="I395" s="170"/>
      <c r="J395" s="170"/>
      <c r="K395" s="170"/>
      <c r="L395" s="170"/>
    </row>
    <row r="396" customFormat="false" ht="15.75" hidden="false" customHeight="true" outlineLevel="0" collapsed="false">
      <c r="A396" s="170"/>
      <c r="B396" s="170"/>
      <c r="C396" s="170"/>
      <c r="E396" s="170"/>
      <c r="F396" s="170"/>
      <c r="G396" s="170"/>
      <c r="H396" s="170"/>
      <c r="I396" s="170"/>
      <c r="J396" s="170"/>
      <c r="K396" s="170"/>
      <c r="L396" s="170"/>
    </row>
    <row r="397" customFormat="false" ht="15.75" hidden="false" customHeight="true" outlineLevel="0" collapsed="false">
      <c r="A397" s="170"/>
      <c r="B397" s="170"/>
      <c r="C397" s="170"/>
      <c r="E397" s="170"/>
      <c r="F397" s="170"/>
      <c r="G397" s="170"/>
      <c r="H397" s="170"/>
      <c r="I397" s="170"/>
      <c r="J397" s="170"/>
      <c r="K397" s="170"/>
      <c r="L397" s="170"/>
    </row>
    <row r="398" customFormat="false" ht="15.75" hidden="false" customHeight="true" outlineLevel="0" collapsed="false">
      <c r="A398" s="170"/>
      <c r="B398" s="170"/>
      <c r="C398" s="170"/>
      <c r="E398" s="170"/>
      <c r="F398" s="170"/>
      <c r="G398" s="170"/>
      <c r="H398" s="170"/>
      <c r="I398" s="170"/>
      <c r="J398" s="170"/>
      <c r="K398" s="170"/>
      <c r="L398" s="170"/>
    </row>
    <row r="399" customFormat="false" ht="15.75" hidden="false" customHeight="true" outlineLevel="0" collapsed="false">
      <c r="A399" s="170"/>
      <c r="B399" s="170"/>
      <c r="C399" s="170"/>
      <c r="E399" s="170"/>
      <c r="F399" s="170"/>
      <c r="G399" s="170"/>
      <c r="H399" s="170"/>
      <c r="I399" s="170"/>
      <c r="J399" s="170"/>
      <c r="K399" s="170"/>
      <c r="L399" s="170"/>
    </row>
    <row r="400" customFormat="false" ht="15.75" hidden="false" customHeight="true" outlineLevel="0" collapsed="false">
      <c r="A400" s="170"/>
      <c r="B400" s="170"/>
      <c r="C400" s="170"/>
      <c r="E400" s="170"/>
      <c r="F400" s="170"/>
      <c r="G400" s="170"/>
      <c r="H400" s="170"/>
      <c r="I400" s="170"/>
      <c r="J400" s="170"/>
      <c r="K400" s="170"/>
      <c r="L400" s="170"/>
    </row>
    <row r="401" customFormat="false" ht="15.75" hidden="false" customHeight="true" outlineLevel="0" collapsed="false">
      <c r="A401" s="170"/>
      <c r="B401" s="170"/>
      <c r="C401" s="170"/>
      <c r="E401" s="170"/>
      <c r="F401" s="170"/>
      <c r="G401" s="170"/>
      <c r="H401" s="170"/>
      <c r="I401" s="170"/>
      <c r="J401" s="170"/>
      <c r="K401" s="170"/>
      <c r="L401" s="170"/>
    </row>
    <row r="402" customFormat="false" ht="15.75" hidden="false" customHeight="true" outlineLevel="0" collapsed="false">
      <c r="A402" s="170"/>
      <c r="B402" s="170"/>
      <c r="C402" s="170"/>
      <c r="E402" s="170"/>
      <c r="F402" s="170"/>
      <c r="G402" s="170"/>
      <c r="H402" s="170"/>
      <c r="I402" s="170"/>
      <c r="J402" s="170"/>
      <c r="K402" s="170"/>
      <c r="L402" s="170"/>
    </row>
    <row r="403" customFormat="false" ht="15.75" hidden="false" customHeight="true" outlineLevel="0" collapsed="false">
      <c r="A403" s="170"/>
      <c r="B403" s="170"/>
      <c r="C403" s="170"/>
      <c r="E403" s="170"/>
      <c r="F403" s="170"/>
      <c r="G403" s="170"/>
      <c r="H403" s="170"/>
      <c r="I403" s="170"/>
      <c r="J403" s="170"/>
      <c r="K403" s="170"/>
      <c r="L403" s="170"/>
    </row>
    <row r="404" customFormat="false" ht="15.75" hidden="false" customHeight="true" outlineLevel="0" collapsed="false">
      <c r="A404" s="170"/>
      <c r="B404" s="170"/>
      <c r="C404" s="170"/>
      <c r="E404" s="170"/>
      <c r="F404" s="170"/>
      <c r="G404" s="170"/>
      <c r="H404" s="170"/>
      <c r="I404" s="170"/>
      <c r="J404" s="170"/>
      <c r="K404" s="170"/>
      <c r="L404" s="170"/>
    </row>
    <row r="405" customFormat="false" ht="15.75" hidden="false" customHeight="true" outlineLevel="0" collapsed="false">
      <c r="A405" s="170"/>
      <c r="B405" s="170"/>
      <c r="C405" s="170"/>
      <c r="E405" s="170"/>
      <c r="F405" s="170"/>
      <c r="G405" s="170"/>
      <c r="H405" s="170"/>
      <c r="I405" s="170"/>
      <c r="J405" s="170"/>
      <c r="K405" s="170"/>
      <c r="L405" s="170"/>
    </row>
    <row r="406" customFormat="false" ht="15.75" hidden="false" customHeight="true" outlineLevel="0" collapsed="false">
      <c r="A406" s="170"/>
      <c r="B406" s="170"/>
      <c r="C406" s="170"/>
      <c r="E406" s="170"/>
      <c r="F406" s="170"/>
      <c r="G406" s="170"/>
      <c r="H406" s="170"/>
      <c r="I406" s="170"/>
      <c r="J406" s="170"/>
      <c r="K406" s="170"/>
      <c r="L406" s="170"/>
    </row>
    <row r="407" customFormat="false" ht="15.75" hidden="false" customHeight="true" outlineLevel="0" collapsed="false">
      <c r="A407" s="170"/>
      <c r="B407" s="170"/>
      <c r="C407" s="170"/>
      <c r="E407" s="170"/>
      <c r="F407" s="170"/>
      <c r="G407" s="170"/>
      <c r="H407" s="170"/>
      <c r="I407" s="170"/>
      <c r="J407" s="170"/>
      <c r="K407" s="170"/>
      <c r="L407" s="170"/>
    </row>
    <row r="408" customFormat="false" ht="15.75" hidden="false" customHeight="true" outlineLevel="0" collapsed="false">
      <c r="A408" s="170"/>
      <c r="B408" s="170"/>
      <c r="C408" s="170"/>
      <c r="E408" s="170"/>
      <c r="F408" s="170"/>
      <c r="G408" s="170"/>
      <c r="H408" s="170"/>
      <c r="I408" s="170"/>
      <c r="J408" s="170"/>
      <c r="K408" s="170"/>
      <c r="L408" s="170"/>
    </row>
    <row r="409" customFormat="false" ht="15.75" hidden="false" customHeight="true" outlineLevel="0" collapsed="false">
      <c r="A409" s="170"/>
      <c r="B409" s="170"/>
      <c r="C409" s="170"/>
      <c r="E409" s="170"/>
      <c r="F409" s="170"/>
      <c r="G409" s="170"/>
      <c r="H409" s="170"/>
      <c r="I409" s="170"/>
      <c r="J409" s="170"/>
      <c r="K409" s="170"/>
      <c r="L409" s="170"/>
    </row>
    <row r="410" customFormat="false" ht="15.75" hidden="false" customHeight="true" outlineLevel="0" collapsed="false">
      <c r="A410" s="170"/>
      <c r="B410" s="170"/>
      <c r="C410" s="170"/>
      <c r="E410" s="170"/>
      <c r="F410" s="170"/>
      <c r="G410" s="170"/>
      <c r="H410" s="170"/>
      <c r="I410" s="170"/>
      <c r="J410" s="170"/>
      <c r="K410" s="170"/>
      <c r="L410" s="170"/>
    </row>
    <row r="411" customFormat="false" ht="15.75" hidden="false" customHeight="true" outlineLevel="0" collapsed="false">
      <c r="A411" s="170"/>
      <c r="B411" s="170"/>
      <c r="C411" s="170"/>
      <c r="E411" s="170"/>
      <c r="F411" s="170"/>
      <c r="G411" s="170"/>
      <c r="H411" s="170"/>
      <c r="I411" s="170"/>
      <c r="J411" s="170"/>
      <c r="K411" s="170"/>
      <c r="L411" s="170"/>
    </row>
    <row r="412" customFormat="false" ht="15.75" hidden="false" customHeight="true" outlineLevel="0" collapsed="false">
      <c r="A412" s="170"/>
      <c r="B412" s="170"/>
      <c r="C412" s="170"/>
      <c r="E412" s="170"/>
      <c r="F412" s="170"/>
      <c r="G412" s="170"/>
      <c r="H412" s="170"/>
      <c r="I412" s="170"/>
      <c r="J412" s="170"/>
      <c r="K412" s="170"/>
      <c r="L412" s="170"/>
    </row>
    <row r="413" customFormat="false" ht="15.75" hidden="false" customHeight="true" outlineLevel="0" collapsed="false">
      <c r="A413" s="170"/>
      <c r="B413" s="170"/>
      <c r="C413" s="170"/>
      <c r="E413" s="170"/>
      <c r="F413" s="170"/>
      <c r="G413" s="170"/>
      <c r="H413" s="170"/>
      <c r="I413" s="170"/>
      <c r="J413" s="170"/>
      <c r="K413" s="170"/>
      <c r="L413" s="170"/>
    </row>
    <row r="414" customFormat="false" ht="15.75" hidden="false" customHeight="true" outlineLevel="0" collapsed="false">
      <c r="A414" s="170"/>
      <c r="B414" s="170"/>
      <c r="C414" s="170"/>
      <c r="E414" s="170"/>
      <c r="F414" s="170"/>
      <c r="G414" s="170"/>
      <c r="H414" s="170"/>
      <c r="I414" s="170"/>
      <c r="J414" s="170"/>
      <c r="K414" s="170"/>
      <c r="L414" s="170"/>
    </row>
    <row r="415" customFormat="false" ht="15.75" hidden="false" customHeight="true" outlineLevel="0" collapsed="false">
      <c r="A415" s="170"/>
      <c r="B415" s="170"/>
      <c r="C415" s="170"/>
      <c r="E415" s="170"/>
      <c r="F415" s="170"/>
      <c r="G415" s="170"/>
      <c r="H415" s="170"/>
      <c r="I415" s="170"/>
      <c r="J415" s="170"/>
      <c r="K415" s="170"/>
      <c r="L415" s="170"/>
    </row>
    <row r="416" customFormat="false" ht="15.75" hidden="false" customHeight="true" outlineLevel="0" collapsed="false">
      <c r="A416" s="170"/>
      <c r="B416" s="170"/>
      <c r="C416" s="170"/>
      <c r="E416" s="170"/>
      <c r="F416" s="170"/>
      <c r="G416" s="170"/>
      <c r="H416" s="170"/>
      <c r="I416" s="170"/>
      <c r="J416" s="170"/>
      <c r="K416" s="170"/>
      <c r="L416" s="170"/>
    </row>
    <row r="417" customFormat="false" ht="15.75" hidden="false" customHeight="true" outlineLevel="0" collapsed="false">
      <c r="A417" s="170"/>
      <c r="B417" s="170"/>
      <c r="C417" s="170"/>
      <c r="E417" s="170"/>
      <c r="F417" s="170"/>
      <c r="G417" s="170"/>
      <c r="H417" s="170"/>
      <c r="I417" s="170"/>
      <c r="J417" s="170"/>
      <c r="K417" s="170"/>
      <c r="L417" s="170"/>
    </row>
    <row r="418" customFormat="false" ht="15.75" hidden="false" customHeight="true" outlineLevel="0" collapsed="false">
      <c r="A418" s="170"/>
      <c r="B418" s="170"/>
      <c r="C418" s="170"/>
      <c r="E418" s="170"/>
      <c r="F418" s="170"/>
      <c r="G418" s="170"/>
      <c r="H418" s="170"/>
      <c r="I418" s="170"/>
      <c r="J418" s="170"/>
      <c r="K418" s="170"/>
      <c r="L418" s="170"/>
    </row>
    <row r="419" customFormat="false" ht="15.75" hidden="false" customHeight="true" outlineLevel="0" collapsed="false">
      <c r="A419" s="170"/>
      <c r="B419" s="170"/>
      <c r="C419" s="170"/>
      <c r="E419" s="170"/>
      <c r="F419" s="170"/>
      <c r="G419" s="170"/>
      <c r="H419" s="170"/>
      <c r="I419" s="170"/>
      <c r="J419" s="170"/>
      <c r="K419" s="170"/>
      <c r="L419" s="170"/>
    </row>
    <row r="420" customFormat="false" ht="15.75" hidden="false" customHeight="true" outlineLevel="0" collapsed="false">
      <c r="A420" s="170"/>
      <c r="B420" s="170"/>
      <c r="C420" s="170"/>
      <c r="E420" s="170"/>
      <c r="F420" s="170"/>
      <c r="G420" s="170"/>
      <c r="H420" s="170"/>
      <c r="I420" s="170"/>
      <c r="J420" s="170"/>
      <c r="K420" s="170"/>
      <c r="L420" s="170"/>
    </row>
    <row r="421" customFormat="false" ht="15.75" hidden="false" customHeight="true" outlineLevel="0" collapsed="false">
      <c r="A421" s="170"/>
      <c r="B421" s="170"/>
      <c r="C421" s="170"/>
      <c r="E421" s="170"/>
      <c r="F421" s="170"/>
      <c r="G421" s="170"/>
      <c r="H421" s="170"/>
      <c r="I421" s="170"/>
      <c r="J421" s="170"/>
      <c r="K421" s="170"/>
      <c r="L421" s="170"/>
    </row>
    <row r="422" customFormat="false" ht="15.75" hidden="false" customHeight="true" outlineLevel="0" collapsed="false">
      <c r="A422" s="170"/>
      <c r="B422" s="170"/>
      <c r="C422" s="170"/>
      <c r="E422" s="170"/>
      <c r="F422" s="170"/>
      <c r="G422" s="170"/>
      <c r="H422" s="170"/>
      <c r="I422" s="170"/>
      <c r="J422" s="170"/>
      <c r="K422" s="170"/>
      <c r="L422" s="170"/>
    </row>
    <row r="423" customFormat="false" ht="15.75" hidden="false" customHeight="true" outlineLevel="0" collapsed="false">
      <c r="A423" s="170"/>
      <c r="B423" s="170"/>
      <c r="C423" s="170"/>
      <c r="E423" s="170"/>
      <c r="F423" s="170"/>
      <c r="G423" s="170"/>
      <c r="H423" s="170"/>
      <c r="I423" s="170"/>
      <c r="J423" s="170"/>
      <c r="K423" s="170"/>
      <c r="L423" s="170"/>
    </row>
    <row r="424" customFormat="false" ht="15.75" hidden="false" customHeight="true" outlineLevel="0" collapsed="false">
      <c r="A424" s="170"/>
      <c r="B424" s="170"/>
      <c r="C424" s="170"/>
      <c r="E424" s="170"/>
      <c r="F424" s="170"/>
      <c r="G424" s="170"/>
      <c r="H424" s="170"/>
      <c r="I424" s="170"/>
      <c r="J424" s="170"/>
      <c r="K424" s="170"/>
      <c r="L424" s="170"/>
    </row>
    <row r="425" customFormat="false" ht="15.75" hidden="false" customHeight="true" outlineLevel="0" collapsed="false">
      <c r="A425" s="170"/>
      <c r="B425" s="170"/>
      <c r="C425" s="170"/>
      <c r="E425" s="170"/>
      <c r="F425" s="170"/>
      <c r="G425" s="170"/>
      <c r="H425" s="170"/>
      <c r="I425" s="170"/>
      <c r="J425" s="170"/>
      <c r="K425" s="170"/>
      <c r="L425" s="170"/>
    </row>
    <row r="426" customFormat="false" ht="15.75" hidden="false" customHeight="true" outlineLevel="0" collapsed="false">
      <c r="A426" s="170"/>
      <c r="B426" s="170"/>
      <c r="C426" s="170"/>
      <c r="E426" s="170"/>
      <c r="F426" s="170"/>
      <c r="G426" s="170"/>
      <c r="H426" s="170"/>
      <c r="I426" s="170"/>
      <c r="J426" s="170"/>
      <c r="K426" s="170"/>
      <c r="L426" s="170"/>
    </row>
    <row r="427" customFormat="false" ht="15.75" hidden="false" customHeight="true" outlineLevel="0" collapsed="false">
      <c r="A427" s="170"/>
      <c r="B427" s="170"/>
      <c r="C427" s="170"/>
      <c r="E427" s="170"/>
      <c r="F427" s="170"/>
      <c r="G427" s="170"/>
      <c r="H427" s="170"/>
      <c r="I427" s="170"/>
      <c r="J427" s="170"/>
      <c r="K427" s="170"/>
      <c r="L427" s="170"/>
    </row>
    <row r="428" customFormat="false" ht="15.75" hidden="false" customHeight="true" outlineLevel="0" collapsed="false">
      <c r="A428" s="170"/>
      <c r="B428" s="170"/>
      <c r="C428" s="170"/>
      <c r="E428" s="170"/>
      <c r="F428" s="170"/>
      <c r="G428" s="170"/>
      <c r="H428" s="170"/>
      <c r="I428" s="170"/>
      <c r="J428" s="170"/>
      <c r="K428" s="170"/>
      <c r="L428" s="170"/>
    </row>
    <row r="429" customFormat="false" ht="15.75" hidden="false" customHeight="true" outlineLevel="0" collapsed="false">
      <c r="A429" s="170"/>
      <c r="B429" s="170"/>
      <c r="C429" s="170"/>
      <c r="E429" s="170"/>
      <c r="F429" s="170"/>
      <c r="G429" s="170"/>
      <c r="H429" s="170"/>
      <c r="I429" s="170"/>
      <c r="J429" s="170"/>
      <c r="K429" s="170"/>
      <c r="L429" s="170"/>
    </row>
    <row r="430" customFormat="false" ht="15.75" hidden="false" customHeight="true" outlineLevel="0" collapsed="false">
      <c r="A430" s="170"/>
      <c r="B430" s="170"/>
      <c r="C430" s="170"/>
      <c r="E430" s="170"/>
      <c r="F430" s="170"/>
      <c r="G430" s="170"/>
      <c r="H430" s="170"/>
      <c r="I430" s="170"/>
      <c r="J430" s="170"/>
      <c r="K430" s="170"/>
      <c r="L430" s="170"/>
    </row>
    <row r="431" customFormat="false" ht="15.75" hidden="false" customHeight="true" outlineLevel="0" collapsed="false">
      <c r="A431" s="170"/>
      <c r="B431" s="170"/>
      <c r="C431" s="170"/>
      <c r="E431" s="170"/>
      <c r="F431" s="170"/>
      <c r="G431" s="170"/>
      <c r="H431" s="170"/>
      <c r="I431" s="170"/>
      <c r="J431" s="170"/>
      <c r="K431" s="170"/>
      <c r="L431" s="170"/>
    </row>
    <row r="432" customFormat="false" ht="15.75" hidden="false" customHeight="true" outlineLevel="0" collapsed="false">
      <c r="A432" s="170"/>
      <c r="B432" s="170"/>
      <c r="C432" s="170"/>
      <c r="E432" s="170"/>
      <c r="F432" s="170"/>
      <c r="G432" s="170"/>
      <c r="H432" s="170"/>
      <c r="I432" s="170"/>
      <c r="J432" s="170"/>
      <c r="K432" s="170"/>
      <c r="L432" s="170"/>
    </row>
    <row r="433" customFormat="false" ht="15.75" hidden="false" customHeight="true" outlineLevel="0" collapsed="false">
      <c r="A433" s="170"/>
      <c r="B433" s="170"/>
      <c r="C433" s="170"/>
      <c r="E433" s="170"/>
      <c r="F433" s="170"/>
      <c r="G433" s="170"/>
      <c r="H433" s="170"/>
      <c r="I433" s="170"/>
      <c r="J433" s="170"/>
      <c r="K433" s="170"/>
      <c r="L433" s="170"/>
    </row>
    <row r="434" customFormat="false" ht="15.75" hidden="false" customHeight="true" outlineLevel="0" collapsed="false">
      <c r="A434" s="170"/>
      <c r="B434" s="170"/>
      <c r="C434" s="170"/>
      <c r="E434" s="170"/>
      <c r="F434" s="170"/>
      <c r="G434" s="170"/>
      <c r="H434" s="170"/>
      <c r="I434" s="170"/>
      <c r="J434" s="170"/>
      <c r="K434" s="170"/>
      <c r="L434" s="170"/>
    </row>
    <row r="435" customFormat="false" ht="15.75" hidden="false" customHeight="true" outlineLevel="0" collapsed="false">
      <c r="A435" s="170"/>
      <c r="B435" s="170"/>
      <c r="C435" s="170"/>
      <c r="E435" s="170"/>
      <c r="F435" s="170"/>
      <c r="G435" s="170"/>
      <c r="H435" s="170"/>
      <c r="I435" s="170"/>
      <c r="J435" s="170"/>
      <c r="K435" s="170"/>
      <c r="L435" s="170"/>
    </row>
    <row r="436" customFormat="false" ht="15.75" hidden="false" customHeight="true" outlineLevel="0" collapsed="false">
      <c r="A436" s="170"/>
      <c r="B436" s="170"/>
      <c r="C436" s="170"/>
      <c r="E436" s="170"/>
      <c r="F436" s="170"/>
      <c r="G436" s="170"/>
      <c r="H436" s="170"/>
      <c r="I436" s="170"/>
      <c r="J436" s="170"/>
      <c r="K436" s="170"/>
      <c r="L436" s="170"/>
    </row>
    <row r="437" customFormat="false" ht="15.75" hidden="false" customHeight="true" outlineLevel="0" collapsed="false">
      <c r="A437" s="170"/>
      <c r="B437" s="170"/>
      <c r="C437" s="170"/>
      <c r="E437" s="170"/>
      <c r="F437" s="170"/>
      <c r="G437" s="170"/>
      <c r="H437" s="170"/>
      <c r="I437" s="170"/>
      <c r="J437" s="170"/>
      <c r="K437" s="170"/>
      <c r="L437" s="170"/>
    </row>
    <row r="438" customFormat="false" ht="15.75" hidden="false" customHeight="true" outlineLevel="0" collapsed="false">
      <c r="A438" s="170"/>
      <c r="B438" s="170"/>
      <c r="C438" s="170"/>
      <c r="E438" s="170"/>
      <c r="F438" s="170"/>
      <c r="G438" s="170"/>
      <c r="H438" s="170"/>
      <c r="I438" s="170"/>
      <c r="J438" s="170"/>
      <c r="K438" s="170"/>
      <c r="L438" s="170"/>
    </row>
    <row r="439" customFormat="false" ht="15.75" hidden="false" customHeight="true" outlineLevel="0" collapsed="false">
      <c r="A439" s="170"/>
      <c r="B439" s="170"/>
      <c r="C439" s="170"/>
      <c r="E439" s="170"/>
      <c r="F439" s="170"/>
      <c r="G439" s="170"/>
      <c r="H439" s="170"/>
      <c r="I439" s="170"/>
      <c r="J439" s="170"/>
      <c r="K439" s="170"/>
      <c r="L439" s="170"/>
    </row>
    <row r="440" customFormat="false" ht="15.75" hidden="false" customHeight="true" outlineLevel="0" collapsed="false">
      <c r="A440" s="170"/>
      <c r="B440" s="170"/>
      <c r="C440" s="170"/>
      <c r="E440" s="170"/>
      <c r="F440" s="170"/>
      <c r="G440" s="170"/>
      <c r="H440" s="170"/>
      <c r="I440" s="170"/>
      <c r="J440" s="170"/>
      <c r="K440" s="170"/>
      <c r="L440" s="170"/>
    </row>
    <row r="441" customFormat="false" ht="15.75" hidden="false" customHeight="true" outlineLevel="0" collapsed="false">
      <c r="A441" s="170"/>
      <c r="B441" s="170"/>
      <c r="C441" s="170"/>
      <c r="E441" s="170"/>
      <c r="F441" s="170"/>
      <c r="G441" s="170"/>
      <c r="H441" s="170"/>
      <c r="I441" s="170"/>
      <c r="J441" s="170"/>
      <c r="K441" s="170"/>
      <c r="L441" s="170"/>
    </row>
    <row r="442" customFormat="false" ht="15.75" hidden="false" customHeight="true" outlineLevel="0" collapsed="false">
      <c r="A442" s="170"/>
      <c r="B442" s="170"/>
      <c r="C442" s="170"/>
      <c r="E442" s="170"/>
      <c r="F442" s="170"/>
      <c r="G442" s="170"/>
      <c r="H442" s="170"/>
      <c r="I442" s="170"/>
      <c r="J442" s="170"/>
      <c r="K442" s="170"/>
      <c r="L442" s="170"/>
    </row>
    <row r="443" customFormat="false" ht="15.75" hidden="false" customHeight="true" outlineLevel="0" collapsed="false">
      <c r="A443" s="170"/>
      <c r="B443" s="170"/>
      <c r="C443" s="170"/>
      <c r="E443" s="170"/>
      <c r="F443" s="170"/>
      <c r="G443" s="170"/>
      <c r="H443" s="170"/>
      <c r="I443" s="170"/>
      <c r="J443" s="170"/>
      <c r="K443" s="170"/>
      <c r="L443" s="170"/>
    </row>
    <row r="444" customFormat="false" ht="15.75" hidden="false" customHeight="true" outlineLevel="0" collapsed="false">
      <c r="A444" s="170"/>
      <c r="B444" s="170"/>
      <c r="C444" s="170"/>
      <c r="E444" s="170"/>
      <c r="F444" s="170"/>
      <c r="G444" s="170"/>
      <c r="H444" s="170"/>
      <c r="I444" s="170"/>
      <c r="J444" s="170"/>
      <c r="K444" s="170"/>
      <c r="L444" s="170"/>
    </row>
    <row r="445" customFormat="false" ht="15.75" hidden="false" customHeight="true" outlineLevel="0" collapsed="false">
      <c r="A445" s="170"/>
      <c r="B445" s="170"/>
      <c r="C445" s="170"/>
      <c r="E445" s="170"/>
      <c r="F445" s="170"/>
      <c r="G445" s="170"/>
      <c r="H445" s="170"/>
      <c r="I445" s="170"/>
      <c r="J445" s="170"/>
      <c r="K445" s="170"/>
      <c r="L445" s="170"/>
    </row>
    <row r="446" customFormat="false" ht="15.75" hidden="false" customHeight="true" outlineLevel="0" collapsed="false">
      <c r="A446" s="170"/>
      <c r="B446" s="170"/>
      <c r="C446" s="170"/>
      <c r="E446" s="170"/>
      <c r="F446" s="170"/>
      <c r="G446" s="170"/>
      <c r="H446" s="170"/>
      <c r="I446" s="170"/>
      <c r="J446" s="170"/>
      <c r="K446" s="170"/>
      <c r="L446" s="170"/>
    </row>
    <row r="447" customFormat="false" ht="15.75" hidden="false" customHeight="true" outlineLevel="0" collapsed="false">
      <c r="A447" s="170"/>
      <c r="B447" s="170"/>
      <c r="C447" s="170"/>
      <c r="E447" s="170"/>
      <c r="F447" s="170"/>
      <c r="G447" s="170"/>
      <c r="H447" s="170"/>
      <c r="I447" s="170"/>
      <c r="J447" s="170"/>
      <c r="K447" s="170"/>
      <c r="L447" s="170"/>
    </row>
    <row r="448" customFormat="false" ht="15.75" hidden="false" customHeight="true" outlineLevel="0" collapsed="false">
      <c r="A448" s="170"/>
      <c r="B448" s="170"/>
      <c r="C448" s="170"/>
      <c r="E448" s="170"/>
      <c r="F448" s="170"/>
      <c r="G448" s="170"/>
      <c r="H448" s="170"/>
      <c r="I448" s="170"/>
      <c r="J448" s="170"/>
      <c r="K448" s="170"/>
      <c r="L448" s="170"/>
    </row>
    <row r="449" customFormat="false" ht="15.75" hidden="false" customHeight="true" outlineLevel="0" collapsed="false">
      <c r="A449" s="170"/>
      <c r="B449" s="170"/>
      <c r="C449" s="170"/>
      <c r="E449" s="170"/>
      <c r="F449" s="170"/>
      <c r="G449" s="170"/>
      <c r="H449" s="170"/>
      <c r="I449" s="170"/>
      <c r="J449" s="170"/>
      <c r="K449" s="170"/>
      <c r="L449" s="170"/>
    </row>
    <row r="450" customFormat="false" ht="15.75" hidden="false" customHeight="true" outlineLevel="0" collapsed="false">
      <c r="A450" s="170"/>
      <c r="B450" s="170"/>
      <c r="C450" s="170"/>
      <c r="E450" s="170"/>
      <c r="F450" s="170"/>
      <c r="G450" s="170"/>
      <c r="H450" s="170"/>
      <c r="I450" s="170"/>
      <c r="J450" s="170"/>
      <c r="K450" s="170"/>
      <c r="L450" s="170"/>
    </row>
    <row r="451" customFormat="false" ht="15.75" hidden="false" customHeight="true" outlineLevel="0" collapsed="false">
      <c r="A451" s="170"/>
      <c r="B451" s="170"/>
      <c r="C451" s="170"/>
      <c r="E451" s="170"/>
      <c r="F451" s="170"/>
      <c r="G451" s="170"/>
      <c r="H451" s="170"/>
      <c r="I451" s="170"/>
      <c r="J451" s="170"/>
      <c r="K451" s="170"/>
      <c r="L451" s="170"/>
    </row>
    <row r="452" customFormat="false" ht="15.75" hidden="false" customHeight="true" outlineLevel="0" collapsed="false">
      <c r="A452" s="170"/>
      <c r="B452" s="170"/>
      <c r="C452" s="170"/>
      <c r="E452" s="170"/>
      <c r="F452" s="170"/>
      <c r="G452" s="170"/>
      <c r="H452" s="170"/>
      <c r="I452" s="170"/>
      <c r="J452" s="170"/>
      <c r="K452" s="170"/>
      <c r="L452" s="170"/>
    </row>
    <row r="453" customFormat="false" ht="15.75" hidden="false" customHeight="true" outlineLevel="0" collapsed="false">
      <c r="A453" s="170"/>
      <c r="B453" s="170"/>
      <c r="C453" s="170"/>
      <c r="E453" s="170"/>
      <c r="F453" s="170"/>
      <c r="G453" s="170"/>
      <c r="H453" s="170"/>
      <c r="I453" s="170"/>
      <c r="J453" s="170"/>
      <c r="K453" s="170"/>
      <c r="L453" s="170"/>
    </row>
    <row r="454" customFormat="false" ht="15.75" hidden="false" customHeight="true" outlineLevel="0" collapsed="false">
      <c r="A454" s="170"/>
      <c r="B454" s="170"/>
      <c r="C454" s="170"/>
      <c r="E454" s="170"/>
      <c r="F454" s="170"/>
      <c r="G454" s="170"/>
      <c r="H454" s="170"/>
      <c r="I454" s="170"/>
      <c r="J454" s="170"/>
      <c r="K454" s="170"/>
      <c r="L454" s="170"/>
    </row>
    <row r="455" customFormat="false" ht="15.75" hidden="false" customHeight="true" outlineLevel="0" collapsed="false">
      <c r="A455" s="170"/>
      <c r="B455" s="170"/>
      <c r="C455" s="170"/>
      <c r="E455" s="170"/>
      <c r="F455" s="170"/>
      <c r="G455" s="170"/>
      <c r="H455" s="170"/>
      <c r="I455" s="170"/>
      <c r="J455" s="170"/>
      <c r="K455" s="170"/>
      <c r="L455" s="170"/>
    </row>
    <row r="456" customFormat="false" ht="15.75" hidden="false" customHeight="true" outlineLevel="0" collapsed="false">
      <c r="A456" s="170"/>
      <c r="B456" s="170"/>
      <c r="C456" s="170"/>
      <c r="E456" s="170"/>
      <c r="F456" s="170"/>
      <c r="G456" s="170"/>
      <c r="H456" s="170"/>
      <c r="I456" s="170"/>
      <c r="J456" s="170"/>
      <c r="K456" s="170"/>
      <c r="L456" s="170"/>
    </row>
    <row r="457" customFormat="false" ht="15.75" hidden="false" customHeight="true" outlineLevel="0" collapsed="false">
      <c r="A457" s="170"/>
      <c r="B457" s="170"/>
      <c r="C457" s="170"/>
      <c r="E457" s="170"/>
      <c r="F457" s="170"/>
      <c r="G457" s="170"/>
      <c r="H457" s="170"/>
      <c r="I457" s="170"/>
      <c r="J457" s="170"/>
      <c r="K457" s="170"/>
      <c r="L457" s="170"/>
    </row>
    <row r="458" customFormat="false" ht="15.75" hidden="false" customHeight="true" outlineLevel="0" collapsed="false">
      <c r="A458" s="170"/>
      <c r="B458" s="170"/>
      <c r="C458" s="170"/>
      <c r="E458" s="170"/>
      <c r="F458" s="170"/>
      <c r="G458" s="170"/>
      <c r="H458" s="170"/>
      <c r="I458" s="170"/>
      <c r="J458" s="170"/>
      <c r="K458" s="170"/>
      <c r="L458" s="170"/>
    </row>
    <row r="459" customFormat="false" ht="15.75" hidden="false" customHeight="true" outlineLevel="0" collapsed="false">
      <c r="A459" s="170"/>
      <c r="B459" s="170"/>
      <c r="C459" s="170"/>
      <c r="E459" s="170"/>
      <c r="F459" s="170"/>
      <c r="G459" s="170"/>
      <c r="H459" s="170"/>
      <c r="I459" s="170"/>
      <c r="J459" s="170"/>
      <c r="K459" s="170"/>
      <c r="L459" s="170"/>
    </row>
    <row r="460" customFormat="false" ht="15.75" hidden="false" customHeight="true" outlineLevel="0" collapsed="false">
      <c r="A460" s="170"/>
      <c r="B460" s="170"/>
      <c r="C460" s="170"/>
      <c r="E460" s="170"/>
      <c r="F460" s="170"/>
      <c r="G460" s="170"/>
      <c r="H460" s="170"/>
      <c r="I460" s="170"/>
      <c r="J460" s="170"/>
      <c r="K460" s="170"/>
      <c r="L460" s="170"/>
    </row>
    <row r="461" customFormat="false" ht="15.75" hidden="false" customHeight="true" outlineLevel="0" collapsed="false">
      <c r="A461" s="170"/>
      <c r="B461" s="170"/>
      <c r="C461" s="170"/>
      <c r="E461" s="170"/>
      <c r="F461" s="170"/>
      <c r="G461" s="170"/>
      <c r="H461" s="170"/>
      <c r="I461" s="170"/>
      <c r="J461" s="170"/>
      <c r="K461" s="170"/>
      <c r="L461" s="170"/>
    </row>
    <row r="462" customFormat="false" ht="15.75" hidden="false" customHeight="true" outlineLevel="0" collapsed="false">
      <c r="A462" s="170"/>
      <c r="B462" s="170"/>
      <c r="C462" s="170"/>
      <c r="E462" s="170"/>
      <c r="F462" s="170"/>
      <c r="G462" s="170"/>
      <c r="H462" s="170"/>
      <c r="I462" s="170"/>
      <c r="J462" s="170"/>
      <c r="K462" s="170"/>
      <c r="L462" s="170"/>
    </row>
    <row r="463" customFormat="false" ht="15.75" hidden="false" customHeight="true" outlineLevel="0" collapsed="false">
      <c r="A463" s="170"/>
      <c r="B463" s="170"/>
      <c r="C463" s="170"/>
      <c r="E463" s="170"/>
      <c r="F463" s="170"/>
      <c r="G463" s="170"/>
      <c r="H463" s="170"/>
      <c r="I463" s="170"/>
      <c r="J463" s="170"/>
      <c r="K463" s="170"/>
      <c r="L463" s="170"/>
    </row>
    <row r="464" customFormat="false" ht="15.75" hidden="false" customHeight="true" outlineLevel="0" collapsed="false">
      <c r="A464" s="170"/>
      <c r="B464" s="170"/>
      <c r="C464" s="170"/>
      <c r="E464" s="170"/>
      <c r="F464" s="170"/>
      <c r="G464" s="170"/>
      <c r="H464" s="170"/>
      <c r="I464" s="170"/>
      <c r="J464" s="170"/>
      <c r="K464" s="170"/>
      <c r="L464" s="170"/>
    </row>
    <row r="465" customFormat="false" ht="15.75" hidden="false" customHeight="true" outlineLevel="0" collapsed="false">
      <c r="A465" s="170"/>
      <c r="B465" s="170"/>
      <c r="C465" s="170"/>
      <c r="E465" s="170"/>
      <c r="F465" s="170"/>
      <c r="G465" s="170"/>
      <c r="H465" s="170"/>
      <c r="I465" s="170"/>
      <c r="J465" s="170"/>
      <c r="K465" s="170"/>
      <c r="L465" s="170"/>
    </row>
    <row r="466" customFormat="false" ht="15.75" hidden="false" customHeight="true" outlineLevel="0" collapsed="false">
      <c r="A466" s="170"/>
      <c r="B466" s="170"/>
      <c r="C466" s="170"/>
      <c r="E466" s="170"/>
      <c r="F466" s="170"/>
      <c r="G466" s="170"/>
      <c r="H466" s="170"/>
      <c r="I466" s="170"/>
      <c r="J466" s="170"/>
      <c r="K466" s="170"/>
      <c r="L466" s="170"/>
    </row>
    <row r="467" customFormat="false" ht="15.75" hidden="false" customHeight="true" outlineLevel="0" collapsed="false">
      <c r="A467" s="170"/>
      <c r="B467" s="170"/>
      <c r="C467" s="170"/>
      <c r="E467" s="170"/>
      <c r="F467" s="170"/>
      <c r="G467" s="170"/>
      <c r="H467" s="170"/>
      <c r="I467" s="170"/>
      <c r="J467" s="170"/>
      <c r="K467" s="170"/>
      <c r="L467" s="170"/>
    </row>
    <row r="468" customFormat="false" ht="15.75" hidden="false" customHeight="true" outlineLevel="0" collapsed="false">
      <c r="A468" s="170"/>
      <c r="B468" s="170"/>
      <c r="C468" s="170"/>
      <c r="E468" s="170"/>
      <c r="F468" s="170"/>
      <c r="G468" s="170"/>
      <c r="H468" s="170"/>
      <c r="I468" s="170"/>
      <c r="J468" s="170"/>
      <c r="K468" s="170"/>
      <c r="L468" s="170"/>
    </row>
    <row r="469" customFormat="false" ht="15.75" hidden="false" customHeight="true" outlineLevel="0" collapsed="false">
      <c r="A469" s="170"/>
      <c r="B469" s="170"/>
      <c r="C469" s="170"/>
      <c r="E469" s="170"/>
      <c r="F469" s="170"/>
      <c r="G469" s="170"/>
      <c r="H469" s="170"/>
      <c r="I469" s="170"/>
      <c r="J469" s="170"/>
      <c r="K469" s="170"/>
      <c r="L469" s="170"/>
    </row>
    <row r="470" customFormat="false" ht="15.75" hidden="false" customHeight="true" outlineLevel="0" collapsed="false">
      <c r="A470" s="170"/>
      <c r="B470" s="170"/>
      <c r="C470" s="170"/>
      <c r="E470" s="170"/>
      <c r="F470" s="170"/>
      <c r="G470" s="170"/>
      <c r="H470" s="170"/>
      <c r="I470" s="170"/>
      <c r="J470" s="170"/>
      <c r="K470" s="170"/>
      <c r="L470" s="170"/>
    </row>
    <row r="471" customFormat="false" ht="15.75" hidden="false" customHeight="true" outlineLevel="0" collapsed="false">
      <c r="A471" s="170"/>
      <c r="B471" s="170"/>
      <c r="C471" s="170"/>
      <c r="E471" s="170"/>
      <c r="F471" s="170"/>
      <c r="G471" s="170"/>
      <c r="H471" s="170"/>
      <c r="I471" s="170"/>
      <c r="J471" s="170"/>
      <c r="K471" s="170"/>
      <c r="L471" s="170"/>
    </row>
    <row r="472" customFormat="false" ht="15.75" hidden="false" customHeight="true" outlineLevel="0" collapsed="false">
      <c r="A472" s="170"/>
      <c r="B472" s="170"/>
      <c r="C472" s="170"/>
      <c r="E472" s="170"/>
      <c r="F472" s="170"/>
      <c r="G472" s="170"/>
      <c r="H472" s="170"/>
      <c r="I472" s="170"/>
      <c r="J472" s="170"/>
      <c r="K472" s="170"/>
      <c r="L472" s="170"/>
    </row>
    <row r="473" customFormat="false" ht="15.75" hidden="false" customHeight="true" outlineLevel="0" collapsed="false">
      <c r="A473" s="170"/>
      <c r="B473" s="170"/>
      <c r="C473" s="170"/>
      <c r="E473" s="170"/>
      <c r="F473" s="170"/>
      <c r="G473" s="170"/>
      <c r="H473" s="170"/>
      <c r="I473" s="170"/>
      <c r="J473" s="170"/>
      <c r="K473" s="170"/>
      <c r="L473" s="170"/>
    </row>
    <row r="474" customFormat="false" ht="15.75" hidden="false" customHeight="true" outlineLevel="0" collapsed="false">
      <c r="A474" s="170"/>
      <c r="B474" s="170"/>
      <c r="C474" s="170"/>
      <c r="E474" s="170"/>
      <c r="F474" s="170"/>
      <c r="G474" s="170"/>
      <c r="H474" s="170"/>
      <c r="I474" s="170"/>
      <c r="J474" s="170"/>
      <c r="K474" s="170"/>
      <c r="L474" s="170"/>
    </row>
    <row r="475" customFormat="false" ht="15.75" hidden="false" customHeight="true" outlineLevel="0" collapsed="false">
      <c r="A475" s="170"/>
      <c r="B475" s="170"/>
      <c r="C475" s="170"/>
      <c r="E475" s="170"/>
      <c r="F475" s="170"/>
      <c r="G475" s="170"/>
      <c r="H475" s="170"/>
      <c r="I475" s="170"/>
      <c r="J475" s="170"/>
      <c r="K475" s="170"/>
      <c r="L475" s="170"/>
    </row>
    <row r="476" customFormat="false" ht="15.75" hidden="false" customHeight="true" outlineLevel="0" collapsed="false">
      <c r="A476" s="170"/>
      <c r="B476" s="170"/>
      <c r="C476" s="170"/>
      <c r="E476" s="170"/>
      <c r="F476" s="170"/>
      <c r="G476" s="170"/>
      <c r="H476" s="170"/>
      <c r="I476" s="170"/>
      <c r="J476" s="170"/>
      <c r="K476" s="170"/>
      <c r="L476" s="170"/>
    </row>
    <row r="477" customFormat="false" ht="15.75" hidden="false" customHeight="true" outlineLevel="0" collapsed="false">
      <c r="A477" s="170"/>
      <c r="B477" s="170"/>
      <c r="C477" s="170"/>
      <c r="E477" s="170"/>
      <c r="F477" s="170"/>
      <c r="G477" s="170"/>
      <c r="H477" s="170"/>
      <c r="I477" s="170"/>
      <c r="J477" s="170"/>
      <c r="K477" s="170"/>
      <c r="L477" s="170"/>
    </row>
    <row r="478" customFormat="false" ht="15.75" hidden="false" customHeight="true" outlineLevel="0" collapsed="false">
      <c r="A478" s="170"/>
      <c r="B478" s="170"/>
      <c r="C478" s="170"/>
      <c r="E478" s="170"/>
      <c r="F478" s="170"/>
      <c r="G478" s="170"/>
      <c r="H478" s="170"/>
      <c r="I478" s="170"/>
      <c r="J478" s="170"/>
      <c r="K478" s="170"/>
      <c r="L478" s="170"/>
    </row>
    <row r="479" customFormat="false" ht="15.75" hidden="false" customHeight="true" outlineLevel="0" collapsed="false">
      <c r="A479" s="170"/>
      <c r="B479" s="170"/>
      <c r="C479" s="170"/>
      <c r="E479" s="170"/>
      <c r="F479" s="170"/>
      <c r="G479" s="170"/>
      <c r="H479" s="170"/>
      <c r="I479" s="170"/>
      <c r="J479" s="170"/>
      <c r="K479" s="170"/>
      <c r="L479" s="170"/>
    </row>
    <row r="480" customFormat="false" ht="15.75" hidden="false" customHeight="true" outlineLevel="0" collapsed="false">
      <c r="A480" s="170"/>
      <c r="B480" s="170"/>
      <c r="C480" s="170"/>
      <c r="E480" s="170"/>
      <c r="F480" s="170"/>
      <c r="G480" s="170"/>
      <c r="H480" s="170"/>
      <c r="I480" s="170"/>
      <c r="J480" s="170"/>
      <c r="K480" s="170"/>
      <c r="L480" s="170"/>
    </row>
    <row r="481" customFormat="false" ht="15.75" hidden="false" customHeight="true" outlineLevel="0" collapsed="false">
      <c r="A481" s="170"/>
      <c r="B481" s="170"/>
      <c r="C481" s="170"/>
      <c r="E481" s="170"/>
      <c r="F481" s="170"/>
      <c r="G481" s="170"/>
      <c r="H481" s="170"/>
      <c r="I481" s="170"/>
      <c r="J481" s="170"/>
      <c r="K481" s="170"/>
      <c r="L481" s="170"/>
    </row>
    <row r="482" customFormat="false" ht="15.75" hidden="false" customHeight="true" outlineLevel="0" collapsed="false">
      <c r="A482" s="170"/>
      <c r="B482" s="170"/>
      <c r="C482" s="170"/>
      <c r="E482" s="170"/>
      <c r="F482" s="170"/>
      <c r="G482" s="170"/>
      <c r="H482" s="170"/>
      <c r="I482" s="170"/>
      <c r="J482" s="170"/>
      <c r="K482" s="170"/>
      <c r="L482" s="170"/>
    </row>
    <row r="483" customFormat="false" ht="15.75" hidden="false" customHeight="true" outlineLevel="0" collapsed="false">
      <c r="A483" s="170"/>
      <c r="B483" s="170"/>
      <c r="C483" s="170"/>
      <c r="E483" s="170"/>
      <c r="F483" s="170"/>
      <c r="G483" s="170"/>
      <c r="H483" s="170"/>
      <c r="I483" s="170"/>
      <c r="J483" s="170"/>
      <c r="K483" s="170"/>
      <c r="L483" s="170"/>
    </row>
    <row r="484" customFormat="false" ht="15.75" hidden="false" customHeight="true" outlineLevel="0" collapsed="false">
      <c r="A484" s="170"/>
      <c r="B484" s="170"/>
      <c r="C484" s="170"/>
      <c r="E484" s="170"/>
      <c r="F484" s="170"/>
      <c r="G484" s="170"/>
      <c r="H484" s="170"/>
      <c r="I484" s="170"/>
      <c r="J484" s="170"/>
      <c r="K484" s="170"/>
      <c r="L484" s="170"/>
    </row>
    <row r="485" customFormat="false" ht="15.75" hidden="false" customHeight="true" outlineLevel="0" collapsed="false">
      <c r="A485" s="170"/>
      <c r="B485" s="170"/>
      <c r="C485" s="170"/>
      <c r="E485" s="170"/>
      <c r="F485" s="170"/>
      <c r="G485" s="170"/>
      <c r="H485" s="170"/>
      <c r="I485" s="170"/>
      <c r="J485" s="170"/>
      <c r="K485" s="170"/>
      <c r="L485" s="170"/>
    </row>
    <row r="486" customFormat="false" ht="15.75" hidden="false" customHeight="true" outlineLevel="0" collapsed="false">
      <c r="A486" s="170"/>
      <c r="B486" s="170"/>
      <c r="C486" s="170"/>
      <c r="E486" s="170"/>
      <c r="F486" s="170"/>
      <c r="G486" s="170"/>
      <c r="H486" s="170"/>
      <c r="I486" s="170"/>
      <c r="J486" s="170"/>
      <c r="K486" s="170"/>
      <c r="L486" s="170"/>
    </row>
    <row r="487" customFormat="false" ht="15.75" hidden="false" customHeight="true" outlineLevel="0" collapsed="false">
      <c r="A487" s="170"/>
      <c r="B487" s="170"/>
      <c r="C487" s="170"/>
      <c r="E487" s="170"/>
      <c r="F487" s="170"/>
      <c r="G487" s="170"/>
      <c r="H487" s="170"/>
      <c r="I487" s="170"/>
      <c r="J487" s="170"/>
      <c r="K487" s="170"/>
      <c r="L487" s="170"/>
    </row>
    <row r="488" customFormat="false" ht="15.75" hidden="false" customHeight="true" outlineLevel="0" collapsed="false">
      <c r="A488" s="170"/>
      <c r="B488" s="170"/>
      <c r="C488" s="170"/>
      <c r="E488" s="170"/>
      <c r="F488" s="170"/>
      <c r="G488" s="170"/>
      <c r="H488" s="170"/>
      <c r="I488" s="170"/>
      <c r="J488" s="170"/>
      <c r="K488" s="170"/>
      <c r="L488" s="170"/>
    </row>
    <row r="489" customFormat="false" ht="15.75" hidden="false" customHeight="true" outlineLevel="0" collapsed="false">
      <c r="A489" s="170"/>
      <c r="B489" s="170"/>
      <c r="C489" s="170"/>
      <c r="E489" s="170"/>
      <c r="F489" s="170"/>
      <c r="G489" s="170"/>
      <c r="H489" s="170"/>
      <c r="I489" s="170"/>
      <c r="J489" s="170"/>
      <c r="K489" s="170"/>
      <c r="L489" s="170"/>
    </row>
    <row r="490" customFormat="false" ht="15.75" hidden="false" customHeight="true" outlineLevel="0" collapsed="false">
      <c r="A490" s="170"/>
      <c r="B490" s="170"/>
      <c r="C490" s="170"/>
      <c r="E490" s="170"/>
      <c r="F490" s="170"/>
      <c r="G490" s="170"/>
      <c r="H490" s="170"/>
      <c r="I490" s="170"/>
      <c r="J490" s="170"/>
      <c r="K490" s="170"/>
      <c r="L490" s="170"/>
    </row>
    <row r="491" customFormat="false" ht="15.75" hidden="false" customHeight="true" outlineLevel="0" collapsed="false">
      <c r="A491" s="170"/>
      <c r="B491" s="170"/>
      <c r="C491" s="170"/>
      <c r="E491" s="170"/>
      <c r="F491" s="170"/>
      <c r="G491" s="170"/>
      <c r="H491" s="170"/>
      <c r="I491" s="170"/>
      <c r="J491" s="170"/>
      <c r="K491" s="170"/>
      <c r="L491" s="170"/>
    </row>
    <row r="492" customFormat="false" ht="15.75" hidden="false" customHeight="true" outlineLevel="0" collapsed="false">
      <c r="A492" s="170"/>
      <c r="B492" s="170"/>
      <c r="C492" s="170"/>
      <c r="E492" s="170"/>
      <c r="F492" s="170"/>
      <c r="G492" s="170"/>
      <c r="H492" s="170"/>
      <c r="I492" s="170"/>
      <c r="J492" s="170"/>
      <c r="K492" s="170"/>
      <c r="L492" s="170"/>
    </row>
    <row r="493" customFormat="false" ht="15.75" hidden="false" customHeight="true" outlineLevel="0" collapsed="false">
      <c r="A493" s="170"/>
      <c r="B493" s="170"/>
      <c r="C493" s="170"/>
      <c r="E493" s="170"/>
      <c r="F493" s="170"/>
      <c r="G493" s="170"/>
      <c r="H493" s="170"/>
      <c r="I493" s="170"/>
      <c r="J493" s="170"/>
      <c r="K493" s="170"/>
      <c r="L493" s="170"/>
    </row>
    <row r="494" customFormat="false" ht="15.75" hidden="false" customHeight="true" outlineLevel="0" collapsed="false">
      <c r="A494" s="170"/>
      <c r="B494" s="170"/>
      <c r="C494" s="170"/>
      <c r="E494" s="170"/>
      <c r="F494" s="170"/>
      <c r="G494" s="170"/>
      <c r="H494" s="170"/>
      <c r="I494" s="170"/>
      <c r="J494" s="170"/>
      <c r="K494" s="170"/>
      <c r="L494" s="170"/>
    </row>
    <row r="495" customFormat="false" ht="15.75" hidden="false" customHeight="true" outlineLevel="0" collapsed="false">
      <c r="A495" s="170"/>
      <c r="B495" s="170"/>
      <c r="C495" s="170"/>
      <c r="E495" s="170"/>
      <c r="F495" s="170"/>
      <c r="G495" s="170"/>
      <c r="H495" s="170"/>
      <c r="I495" s="170"/>
      <c r="J495" s="170"/>
      <c r="K495" s="170"/>
      <c r="L495" s="170"/>
    </row>
    <row r="496" customFormat="false" ht="15.75" hidden="false" customHeight="true" outlineLevel="0" collapsed="false">
      <c r="A496" s="170"/>
      <c r="B496" s="170"/>
      <c r="C496" s="170"/>
      <c r="E496" s="170"/>
      <c r="F496" s="170"/>
      <c r="G496" s="170"/>
      <c r="H496" s="170"/>
      <c r="I496" s="170"/>
      <c r="J496" s="170"/>
      <c r="K496" s="170"/>
      <c r="L496" s="170"/>
    </row>
    <row r="497" customFormat="false" ht="15.75" hidden="false" customHeight="true" outlineLevel="0" collapsed="false">
      <c r="A497" s="170"/>
      <c r="B497" s="170"/>
      <c r="C497" s="170"/>
      <c r="E497" s="170"/>
      <c r="F497" s="170"/>
      <c r="G497" s="170"/>
      <c r="H497" s="170"/>
      <c r="I497" s="170"/>
      <c r="J497" s="170"/>
      <c r="K497" s="170"/>
      <c r="L497" s="170"/>
    </row>
    <row r="498" customFormat="false" ht="15.75" hidden="false" customHeight="true" outlineLevel="0" collapsed="false">
      <c r="A498" s="170"/>
      <c r="B498" s="170"/>
      <c r="C498" s="170"/>
      <c r="E498" s="170"/>
      <c r="F498" s="170"/>
      <c r="G498" s="170"/>
      <c r="H498" s="170"/>
      <c r="I498" s="170"/>
      <c r="J498" s="170"/>
      <c r="K498" s="170"/>
      <c r="L498" s="170"/>
    </row>
    <row r="499" customFormat="false" ht="15.75" hidden="false" customHeight="true" outlineLevel="0" collapsed="false">
      <c r="A499" s="170"/>
      <c r="B499" s="170"/>
      <c r="C499" s="170"/>
      <c r="E499" s="170"/>
      <c r="F499" s="170"/>
      <c r="G499" s="170"/>
      <c r="H499" s="170"/>
      <c r="I499" s="170"/>
      <c r="J499" s="170"/>
      <c r="K499" s="170"/>
      <c r="L499" s="170"/>
    </row>
    <row r="500" customFormat="false" ht="15.75" hidden="false" customHeight="true" outlineLevel="0" collapsed="false">
      <c r="A500" s="170"/>
      <c r="B500" s="170"/>
      <c r="C500" s="170"/>
      <c r="E500" s="170"/>
      <c r="F500" s="170"/>
      <c r="G500" s="170"/>
      <c r="H500" s="170"/>
      <c r="I500" s="170"/>
      <c r="J500" s="170"/>
      <c r="K500" s="170"/>
      <c r="L500" s="170"/>
    </row>
    <row r="501" customFormat="false" ht="15.75" hidden="false" customHeight="true" outlineLevel="0" collapsed="false">
      <c r="A501" s="170"/>
      <c r="B501" s="170"/>
      <c r="C501" s="170"/>
      <c r="E501" s="170"/>
      <c r="F501" s="170"/>
      <c r="G501" s="170"/>
      <c r="H501" s="170"/>
      <c r="I501" s="170"/>
      <c r="J501" s="170"/>
      <c r="K501" s="170"/>
      <c r="L501" s="170"/>
    </row>
    <row r="502" customFormat="false" ht="15.75" hidden="false" customHeight="true" outlineLevel="0" collapsed="false">
      <c r="A502" s="170"/>
      <c r="B502" s="170"/>
      <c r="C502" s="170"/>
      <c r="E502" s="170"/>
      <c r="F502" s="170"/>
      <c r="G502" s="170"/>
      <c r="H502" s="170"/>
      <c r="I502" s="170"/>
      <c r="J502" s="170"/>
      <c r="K502" s="170"/>
      <c r="L502" s="170"/>
    </row>
    <row r="503" customFormat="false" ht="15.75" hidden="false" customHeight="true" outlineLevel="0" collapsed="false">
      <c r="A503" s="170"/>
      <c r="B503" s="170"/>
      <c r="C503" s="170"/>
      <c r="E503" s="170"/>
      <c r="F503" s="170"/>
      <c r="G503" s="170"/>
      <c r="H503" s="170"/>
      <c r="I503" s="170"/>
      <c r="J503" s="170"/>
      <c r="K503" s="170"/>
      <c r="L503" s="170"/>
    </row>
    <row r="504" customFormat="false" ht="15.75" hidden="false" customHeight="true" outlineLevel="0" collapsed="false">
      <c r="A504" s="170"/>
      <c r="B504" s="170"/>
      <c r="C504" s="170"/>
      <c r="E504" s="170"/>
      <c r="F504" s="170"/>
      <c r="G504" s="170"/>
      <c r="H504" s="170"/>
      <c r="I504" s="170"/>
      <c r="J504" s="170"/>
      <c r="K504" s="170"/>
      <c r="L504" s="170"/>
    </row>
    <row r="505" customFormat="false" ht="15.75" hidden="false" customHeight="true" outlineLevel="0" collapsed="false">
      <c r="A505" s="170"/>
      <c r="B505" s="170"/>
      <c r="C505" s="170"/>
      <c r="E505" s="170"/>
      <c r="F505" s="170"/>
      <c r="G505" s="170"/>
      <c r="H505" s="170"/>
      <c r="I505" s="170"/>
      <c r="J505" s="170"/>
      <c r="K505" s="170"/>
      <c r="L505" s="170"/>
    </row>
    <row r="506" customFormat="false" ht="15.75" hidden="false" customHeight="true" outlineLevel="0" collapsed="false">
      <c r="A506" s="170"/>
      <c r="B506" s="170"/>
      <c r="C506" s="170"/>
      <c r="E506" s="170"/>
      <c r="F506" s="170"/>
      <c r="G506" s="170"/>
      <c r="H506" s="170"/>
      <c r="I506" s="170"/>
      <c r="J506" s="170"/>
      <c r="K506" s="170"/>
      <c r="L506" s="170"/>
    </row>
    <row r="507" customFormat="false" ht="15.75" hidden="false" customHeight="true" outlineLevel="0" collapsed="false">
      <c r="A507" s="170"/>
      <c r="B507" s="170"/>
      <c r="C507" s="170"/>
      <c r="E507" s="170"/>
      <c r="F507" s="170"/>
      <c r="G507" s="170"/>
      <c r="H507" s="170"/>
      <c r="I507" s="170"/>
      <c r="J507" s="170"/>
      <c r="K507" s="170"/>
      <c r="L507" s="170"/>
    </row>
    <row r="508" customFormat="false" ht="15.75" hidden="false" customHeight="true" outlineLevel="0" collapsed="false">
      <c r="A508" s="170"/>
      <c r="B508" s="170"/>
      <c r="C508" s="170"/>
      <c r="E508" s="170"/>
      <c r="F508" s="170"/>
      <c r="G508" s="170"/>
      <c r="H508" s="170"/>
      <c r="I508" s="170"/>
      <c r="J508" s="170"/>
      <c r="K508" s="170"/>
      <c r="L508" s="170"/>
    </row>
    <row r="509" customFormat="false" ht="15.75" hidden="false" customHeight="true" outlineLevel="0" collapsed="false">
      <c r="A509" s="170"/>
      <c r="B509" s="170"/>
      <c r="C509" s="170"/>
      <c r="E509" s="170"/>
      <c r="F509" s="170"/>
      <c r="G509" s="170"/>
      <c r="H509" s="170"/>
      <c r="I509" s="170"/>
      <c r="J509" s="170"/>
      <c r="K509" s="170"/>
      <c r="L509" s="170"/>
    </row>
    <row r="510" customFormat="false" ht="15.75" hidden="false" customHeight="true" outlineLevel="0" collapsed="false">
      <c r="A510" s="170"/>
      <c r="B510" s="170"/>
      <c r="C510" s="170"/>
      <c r="E510" s="170"/>
      <c r="F510" s="170"/>
      <c r="G510" s="170"/>
      <c r="H510" s="170"/>
      <c r="I510" s="170"/>
      <c r="J510" s="170"/>
      <c r="K510" s="170"/>
      <c r="L510" s="170"/>
    </row>
    <row r="511" customFormat="false" ht="15.75" hidden="false" customHeight="true" outlineLevel="0" collapsed="false">
      <c r="A511" s="170"/>
      <c r="B511" s="170"/>
      <c r="C511" s="170"/>
      <c r="E511" s="170"/>
      <c r="F511" s="170"/>
      <c r="G511" s="170"/>
      <c r="H511" s="170"/>
      <c r="I511" s="170"/>
      <c r="J511" s="170"/>
      <c r="K511" s="170"/>
      <c r="L511" s="170"/>
    </row>
    <row r="512" customFormat="false" ht="15.75" hidden="false" customHeight="true" outlineLevel="0" collapsed="false">
      <c r="A512" s="170"/>
      <c r="B512" s="170"/>
      <c r="C512" s="170"/>
      <c r="E512" s="170"/>
      <c r="F512" s="170"/>
      <c r="G512" s="170"/>
      <c r="H512" s="170"/>
      <c r="I512" s="170"/>
      <c r="J512" s="170"/>
      <c r="K512" s="170"/>
      <c r="L512" s="170"/>
    </row>
    <row r="513" customFormat="false" ht="15.75" hidden="false" customHeight="true" outlineLevel="0" collapsed="false">
      <c r="A513" s="170"/>
      <c r="B513" s="170"/>
      <c r="C513" s="170"/>
      <c r="E513" s="170"/>
      <c r="F513" s="170"/>
      <c r="G513" s="170"/>
      <c r="H513" s="170"/>
      <c r="I513" s="170"/>
      <c r="J513" s="170"/>
      <c r="K513" s="170"/>
      <c r="L513" s="170"/>
    </row>
    <row r="514" customFormat="false" ht="15.75" hidden="false" customHeight="true" outlineLevel="0" collapsed="false">
      <c r="A514" s="170"/>
      <c r="B514" s="170"/>
      <c r="C514" s="170"/>
      <c r="E514" s="170"/>
      <c r="F514" s="170"/>
      <c r="G514" s="170"/>
      <c r="H514" s="170"/>
      <c r="I514" s="170"/>
      <c r="J514" s="170"/>
      <c r="K514" s="170"/>
      <c r="L514" s="170"/>
    </row>
    <row r="515" customFormat="false" ht="15.75" hidden="false" customHeight="true" outlineLevel="0" collapsed="false">
      <c r="A515" s="170"/>
      <c r="B515" s="170"/>
      <c r="C515" s="170"/>
      <c r="E515" s="170"/>
      <c r="F515" s="170"/>
      <c r="G515" s="170"/>
      <c r="H515" s="170"/>
      <c r="I515" s="170"/>
      <c r="J515" s="170"/>
      <c r="K515" s="170"/>
      <c r="L515" s="170"/>
    </row>
    <row r="516" customFormat="false" ht="15.75" hidden="false" customHeight="true" outlineLevel="0" collapsed="false">
      <c r="A516" s="170"/>
      <c r="B516" s="170"/>
      <c r="C516" s="170"/>
      <c r="E516" s="170"/>
      <c r="F516" s="170"/>
      <c r="G516" s="170"/>
      <c r="H516" s="170"/>
      <c r="I516" s="170"/>
      <c r="J516" s="170"/>
      <c r="K516" s="170"/>
      <c r="L516" s="170"/>
    </row>
    <row r="517" customFormat="false" ht="15.75" hidden="false" customHeight="true" outlineLevel="0" collapsed="false">
      <c r="A517" s="170"/>
      <c r="B517" s="170"/>
      <c r="C517" s="170"/>
      <c r="E517" s="170"/>
      <c r="F517" s="170"/>
      <c r="G517" s="170"/>
      <c r="H517" s="170"/>
      <c r="I517" s="170"/>
      <c r="J517" s="170"/>
      <c r="K517" s="170"/>
      <c r="L517" s="170"/>
    </row>
    <row r="518" customFormat="false" ht="15.75" hidden="false" customHeight="true" outlineLevel="0" collapsed="false">
      <c r="A518" s="170"/>
      <c r="B518" s="170"/>
      <c r="C518" s="170"/>
      <c r="E518" s="170"/>
      <c r="F518" s="170"/>
      <c r="G518" s="170"/>
      <c r="H518" s="170"/>
      <c r="I518" s="170"/>
      <c r="J518" s="170"/>
      <c r="K518" s="170"/>
      <c r="L518" s="170"/>
    </row>
    <row r="519" customFormat="false" ht="15.75" hidden="false" customHeight="true" outlineLevel="0" collapsed="false">
      <c r="A519" s="170"/>
      <c r="B519" s="170"/>
      <c r="C519" s="170"/>
      <c r="E519" s="170"/>
      <c r="F519" s="170"/>
      <c r="G519" s="170"/>
      <c r="H519" s="170"/>
      <c r="I519" s="170"/>
      <c r="J519" s="170"/>
      <c r="K519" s="170"/>
      <c r="L519" s="170"/>
    </row>
    <row r="520" customFormat="false" ht="15.75" hidden="false" customHeight="true" outlineLevel="0" collapsed="false">
      <c r="A520" s="170"/>
      <c r="B520" s="170"/>
      <c r="C520" s="170"/>
      <c r="E520" s="170"/>
      <c r="F520" s="170"/>
      <c r="G520" s="170"/>
      <c r="H520" s="170"/>
      <c r="I520" s="170"/>
      <c r="J520" s="170"/>
      <c r="K520" s="170"/>
      <c r="L520" s="170"/>
    </row>
    <row r="521" customFormat="false" ht="15.75" hidden="false" customHeight="true" outlineLevel="0" collapsed="false">
      <c r="A521" s="170"/>
      <c r="B521" s="170"/>
      <c r="C521" s="170"/>
      <c r="E521" s="170"/>
      <c r="F521" s="170"/>
      <c r="G521" s="170"/>
      <c r="H521" s="170"/>
      <c r="I521" s="170"/>
      <c r="J521" s="170"/>
      <c r="K521" s="170"/>
      <c r="L521" s="170"/>
    </row>
    <row r="522" customFormat="false" ht="15.75" hidden="false" customHeight="true" outlineLevel="0" collapsed="false">
      <c r="A522" s="170"/>
      <c r="B522" s="170"/>
      <c r="C522" s="170"/>
      <c r="E522" s="170"/>
      <c r="F522" s="170"/>
      <c r="G522" s="170"/>
      <c r="H522" s="170"/>
      <c r="I522" s="170"/>
      <c r="J522" s="170"/>
      <c r="K522" s="170"/>
      <c r="L522" s="170"/>
    </row>
    <row r="523" customFormat="false" ht="15.75" hidden="false" customHeight="true" outlineLevel="0" collapsed="false">
      <c r="A523" s="170"/>
      <c r="B523" s="170"/>
      <c r="C523" s="170"/>
      <c r="E523" s="170"/>
      <c r="F523" s="170"/>
      <c r="G523" s="170"/>
      <c r="H523" s="170"/>
      <c r="I523" s="170"/>
      <c r="J523" s="170"/>
      <c r="K523" s="170"/>
      <c r="L523" s="170"/>
    </row>
    <row r="524" customFormat="false" ht="15.75" hidden="false" customHeight="true" outlineLevel="0" collapsed="false">
      <c r="A524" s="170"/>
      <c r="B524" s="170"/>
      <c r="C524" s="170"/>
      <c r="E524" s="170"/>
      <c r="F524" s="170"/>
      <c r="G524" s="170"/>
      <c r="H524" s="170"/>
      <c r="I524" s="170"/>
      <c r="J524" s="170"/>
      <c r="K524" s="170"/>
      <c r="L524" s="170"/>
    </row>
    <row r="525" customFormat="false" ht="15.75" hidden="false" customHeight="true" outlineLevel="0" collapsed="false">
      <c r="A525" s="170"/>
      <c r="B525" s="170"/>
      <c r="C525" s="170"/>
      <c r="E525" s="170"/>
      <c r="F525" s="170"/>
      <c r="G525" s="170"/>
      <c r="H525" s="170"/>
      <c r="I525" s="170"/>
      <c r="J525" s="170"/>
      <c r="K525" s="170"/>
      <c r="L525" s="170"/>
    </row>
    <row r="526" customFormat="false" ht="15.75" hidden="false" customHeight="true" outlineLevel="0" collapsed="false">
      <c r="A526" s="170"/>
      <c r="B526" s="170"/>
      <c r="C526" s="170"/>
      <c r="E526" s="170"/>
      <c r="F526" s="170"/>
      <c r="G526" s="170"/>
      <c r="H526" s="170"/>
      <c r="I526" s="170"/>
      <c r="J526" s="170"/>
      <c r="K526" s="170"/>
      <c r="L526" s="170"/>
    </row>
    <row r="527" customFormat="false" ht="15.75" hidden="false" customHeight="true" outlineLevel="0" collapsed="false">
      <c r="A527" s="170"/>
      <c r="B527" s="170"/>
      <c r="C527" s="170"/>
      <c r="E527" s="170"/>
      <c r="F527" s="170"/>
      <c r="G527" s="170"/>
      <c r="H527" s="170"/>
      <c r="I527" s="170"/>
      <c r="J527" s="170"/>
      <c r="K527" s="170"/>
      <c r="L527" s="170"/>
    </row>
    <row r="528" customFormat="false" ht="15.75" hidden="false" customHeight="true" outlineLevel="0" collapsed="false">
      <c r="A528" s="170"/>
      <c r="B528" s="170"/>
      <c r="C528" s="170"/>
      <c r="E528" s="170"/>
      <c r="F528" s="170"/>
      <c r="G528" s="170"/>
      <c r="H528" s="170"/>
      <c r="I528" s="170"/>
      <c r="J528" s="170"/>
      <c r="K528" s="170"/>
      <c r="L528" s="170"/>
    </row>
    <row r="529" customFormat="false" ht="15.75" hidden="false" customHeight="true" outlineLevel="0" collapsed="false">
      <c r="A529" s="170"/>
      <c r="B529" s="170"/>
      <c r="C529" s="170"/>
      <c r="E529" s="170"/>
      <c r="F529" s="170"/>
      <c r="G529" s="170"/>
      <c r="H529" s="170"/>
      <c r="I529" s="170"/>
      <c r="J529" s="170"/>
      <c r="K529" s="170"/>
      <c r="L529" s="170"/>
    </row>
    <row r="530" customFormat="false" ht="15.75" hidden="false" customHeight="true" outlineLevel="0" collapsed="false">
      <c r="A530" s="170"/>
      <c r="B530" s="170"/>
      <c r="C530" s="170"/>
      <c r="E530" s="170"/>
      <c r="F530" s="170"/>
      <c r="G530" s="170"/>
      <c r="H530" s="170"/>
      <c r="I530" s="170"/>
      <c r="J530" s="170"/>
      <c r="K530" s="170"/>
      <c r="L530" s="170"/>
    </row>
    <row r="531" customFormat="false" ht="15.75" hidden="false" customHeight="true" outlineLevel="0" collapsed="false">
      <c r="A531" s="170"/>
      <c r="B531" s="170"/>
      <c r="C531" s="170"/>
      <c r="E531" s="170"/>
      <c r="F531" s="170"/>
      <c r="G531" s="170"/>
      <c r="H531" s="170"/>
      <c r="I531" s="170"/>
      <c r="J531" s="170"/>
      <c r="K531" s="170"/>
      <c r="L531" s="170"/>
    </row>
    <row r="532" customFormat="false" ht="15.75" hidden="false" customHeight="true" outlineLevel="0" collapsed="false">
      <c r="A532" s="170"/>
      <c r="B532" s="170"/>
      <c r="C532" s="170"/>
      <c r="E532" s="170"/>
      <c r="F532" s="170"/>
      <c r="G532" s="170"/>
      <c r="H532" s="170"/>
      <c r="I532" s="170"/>
      <c r="J532" s="170"/>
      <c r="K532" s="170"/>
      <c r="L532" s="170"/>
    </row>
    <row r="533" customFormat="false" ht="15.75" hidden="false" customHeight="true" outlineLevel="0" collapsed="false">
      <c r="A533" s="170"/>
      <c r="B533" s="170"/>
      <c r="C533" s="170"/>
      <c r="E533" s="170"/>
      <c r="F533" s="170"/>
      <c r="G533" s="170"/>
      <c r="H533" s="170"/>
      <c r="I533" s="170"/>
      <c r="J533" s="170"/>
      <c r="K533" s="170"/>
      <c r="L533" s="170"/>
    </row>
    <row r="534" customFormat="false" ht="15.75" hidden="false" customHeight="true" outlineLevel="0" collapsed="false">
      <c r="A534" s="170"/>
      <c r="B534" s="170"/>
      <c r="C534" s="170"/>
      <c r="E534" s="170"/>
      <c r="F534" s="170"/>
      <c r="G534" s="170"/>
      <c r="H534" s="170"/>
      <c r="I534" s="170"/>
      <c r="J534" s="170"/>
      <c r="K534" s="170"/>
      <c r="L534" s="170"/>
    </row>
    <row r="535" customFormat="false" ht="15.75" hidden="false" customHeight="true" outlineLevel="0" collapsed="false">
      <c r="A535" s="170"/>
      <c r="B535" s="170"/>
      <c r="C535" s="170"/>
      <c r="E535" s="170"/>
      <c r="F535" s="170"/>
      <c r="G535" s="170"/>
      <c r="H535" s="170"/>
      <c r="I535" s="170"/>
      <c r="J535" s="170"/>
      <c r="K535" s="170"/>
      <c r="L535" s="170"/>
    </row>
    <row r="536" customFormat="false" ht="15.75" hidden="false" customHeight="true" outlineLevel="0" collapsed="false">
      <c r="A536" s="170"/>
      <c r="B536" s="170"/>
      <c r="C536" s="170"/>
      <c r="E536" s="170"/>
      <c r="F536" s="170"/>
      <c r="G536" s="170"/>
      <c r="H536" s="170"/>
      <c r="I536" s="170"/>
      <c r="J536" s="170"/>
      <c r="K536" s="170"/>
      <c r="L536" s="170"/>
    </row>
    <row r="537" customFormat="false" ht="15.75" hidden="false" customHeight="true" outlineLevel="0" collapsed="false">
      <c r="A537" s="170"/>
      <c r="B537" s="170"/>
      <c r="C537" s="170"/>
      <c r="E537" s="170"/>
      <c r="F537" s="170"/>
      <c r="G537" s="170"/>
      <c r="H537" s="170"/>
      <c r="I537" s="170"/>
      <c r="J537" s="170"/>
      <c r="K537" s="170"/>
      <c r="L537" s="170"/>
    </row>
    <row r="538" customFormat="false" ht="15.75" hidden="false" customHeight="true" outlineLevel="0" collapsed="false">
      <c r="A538" s="170"/>
      <c r="B538" s="170"/>
      <c r="C538" s="170"/>
      <c r="E538" s="170"/>
      <c r="F538" s="170"/>
      <c r="G538" s="170"/>
      <c r="H538" s="170"/>
      <c r="I538" s="170"/>
      <c r="J538" s="170"/>
      <c r="K538" s="170"/>
      <c r="L538" s="170"/>
    </row>
    <row r="539" customFormat="false" ht="15.75" hidden="false" customHeight="true" outlineLevel="0" collapsed="false">
      <c r="A539" s="170"/>
      <c r="B539" s="170"/>
      <c r="C539" s="170"/>
      <c r="E539" s="170"/>
      <c r="F539" s="170"/>
      <c r="G539" s="170"/>
      <c r="H539" s="170"/>
      <c r="I539" s="170"/>
      <c r="J539" s="170"/>
      <c r="K539" s="170"/>
      <c r="L539" s="170"/>
    </row>
    <row r="540" customFormat="false" ht="15.75" hidden="false" customHeight="true" outlineLevel="0" collapsed="false">
      <c r="A540" s="170"/>
      <c r="B540" s="170"/>
      <c r="C540" s="170"/>
      <c r="E540" s="170"/>
      <c r="F540" s="170"/>
      <c r="G540" s="170"/>
      <c r="H540" s="170"/>
      <c r="I540" s="170"/>
      <c r="J540" s="170"/>
      <c r="K540" s="170"/>
      <c r="L540" s="170"/>
    </row>
    <row r="541" customFormat="false" ht="15.75" hidden="false" customHeight="true" outlineLevel="0" collapsed="false">
      <c r="A541" s="170"/>
      <c r="B541" s="170"/>
      <c r="C541" s="170"/>
      <c r="E541" s="170"/>
      <c r="F541" s="170"/>
      <c r="G541" s="170"/>
      <c r="H541" s="170"/>
      <c r="I541" s="170"/>
      <c r="J541" s="170"/>
      <c r="K541" s="170"/>
      <c r="L541" s="170"/>
    </row>
    <row r="542" customFormat="false" ht="15.75" hidden="false" customHeight="true" outlineLevel="0" collapsed="false">
      <c r="A542" s="170"/>
      <c r="B542" s="170"/>
      <c r="C542" s="170"/>
      <c r="E542" s="170"/>
      <c r="F542" s="170"/>
      <c r="G542" s="170"/>
      <c r="H542" s="170"/>
      <c r="I542" s="170"/>
      <c r="J542" s="170"/>
      <c r="K542" s="170"/>
      <c r="L542" s="170"/>
    </row>
    <row r="543" customFormat="false" ht="15.75" hidden="false" customHeight="true" outlineLevel="0" collapsed="false">
      <c r="A543" s="170"/>
      <c r="B543" s="170"/>
      <c r="C543" s="170"/>
      <c r="E543" s="170"/>
      <c r="F543" s="170"/>
      <c r="G543" s="170"/>
      <c r="H543" s="170"/>
      <c r="I543" s="170"/>
      <c r="J543" s="170"/>
      <c r="K543" s="170"/>
      <c r="L543" s="170"/>
    </row>
    <row r="544" customFormat="false" ht="15.75" hidden="false" customHeight="true" outlineLevel="0" collapsed="false">
      <c r="A544" s="170"/>
      <c r="B544" s="170"/>
      <c r="C544" s="170"/>
      <c r="E544" s="170"/>
      <c r="F544" s="170"/>
      <c r="G544" s="170"/>
      <c r="H544" s="170"/>
      <c r="I544" s="170"/>
      <c r="J544" s="170"/>
      <c r="K544" s="170"/>
      <c r="L544" s="170"/>
    </row>
    <row r="545" customFormat="false" ht="15.75" hidden="false" customHeight="true" outlineLevel="0" collapsed="false">
      <c r="A545" s="170"/>
      <c r="B545" s="170"/>
      <c r="C545" s="170"/>
      <c r="E545" s="170"/>
      <c r="F545" s="170"/>
      <c r="G545" s="170"/>
      <c r="H545" s="170"/>
      <c r="I545" s="170"/>
      <c r="J545" s="170"/>
      <c r="K545" s="170"/>
      <c r="L545" s="170"/>
    </row>
    <row r="546" customFormat="false" ht="15.75" hidden="false" customHeight="true" outlineLevel="0" collapsed="false">
      <c r="A546" s="170"/>
      <c r="B546" s="170"/>
      <c r="C546" s="170"/>
      <c r="E546" s="170"/>
      <c r="F546" s="170"/>
      <c r="G546" s="170"/>
      <c r="H546" s="170"/>
      <c r="I546" s="170"/>
      <c r="J546" s="170"/>
      <c r="K546" s="170"/>
      <c r="L546" s="170"/>
    </row>
    <row r="547" customFormat="false" ht="15.75" hidden="false" customHeight="true" outlineLevel="0" collapsed="false">
      <c r="A547" s="170"/>
      <c r="B547" s="170"/>
      <c r="C547" s="170"/>
      <c r="E547" s="170"/>
      <c r="F547" s="170"/>
      <c r="G547" s="170"/>
      <c r="H547" s="170"/>
      <c r="I547" s="170"/>
      <c r="J547" s="170"/>
      <c r="K547" s="170"/>
      <c r="L547" s="170"/>
    </row>
    <row r="548" customFormat="false" ht="15.75" hidden="false" customHeight="true" outlineLevel="0" collapsed="false">
      <c r="A548" s="170"/>
      <c r="B548" s="170"/>
      <c r="C548" s="170"/>
      <c r="E548" s="170"/>
      <c r="F548" s="170"/>
      <c r="G548" s="170"/>
      <c r="H548" s="170"/>
      <c r="I548" s="170"/>
      <c r="J548" s="170"/>
      <c r="K548" s="170"/>
      <c r="L548" s="170"/>
    </row>
    <row r="549" customFormat="false" ht="15.75" hidden="false" customHeight="true" outlineLevel="0" collapsed="false">
      <c r="A549" s="170"/>
      <c r="B549" s="170"/>
      <c r="C549" s="170"/>
      <c r="E549" s="170"/>
      <c r="F549" s="170"/>
      <c r="G549" s="170"/>
      <c r="H549" s="170"/>
      <c r="I549" s="170"/>
      <c r="J549" s="170"/>
      <c r="K549" s="170"/>
      <c r="L549" s="170"/>
    </row>
    <row r="550" customFormat="false" ht="15.75" hidden="false" customHeight="true" outlineLevel="0" collapsed="false">
      <c r="A550" s="170"/>
      <c r="B550" s="170"/>
      <c r="C550" s="170"/>
      <c r="E550" s="170"/>
      <c r="F550" s="170"/>
      <c r="G550" s="170"/>
      <c r="H550" s="170"/>
      <c r="I550" s="170"/>
      <c r="J550" s="170"/>
      <c r="K550" s="170"/>
      <c r="L550" s="170"/>
    </row>
    <row r="551" customFormat="false" ht="15.75" hidden="false" customHeight="true" outlineLevel="0" collapsed="false">
      <c r="A551" s="170"/>
      <c r="B551" s="170"/>
      <c r="C551" s="170"/>
      <c r="E551" s="170"/>
      <c r="F551" s="170"/>
      <c r="G551" s="170"/>
      <c r="H551" s="170"/>
      <c r="I551" s="170"/>
      <c r="J551" s="170"/>
      <c r="K551" s="170"/>
      <c r="L551" s="170"/>
    </row>
    <row r="552" customFormat="false" ht="15.75" hidden="false" customHeight="true" outlineLevel="0" collapsed="false">
      <c r="A552" s="170"/>
      <c r="B552" s="170"/>
      <c r="C552" s="170"/>
      <c r="E552" s="170"/>
      <c r="F552" s="170"/>
      <c r="G552" s="170"/>
      <c r="H552" s="170"/>
      <c r="I552" s="170"/>
      <c r="J552" s="170"/>
      <c r="K552" s="170"/>
      <c r="L552" s="170"/>
    </row>
    <row r="553" customFormat="false" ht="15.75" hidden="false" customHeight="true" outlineLevel="0" collapsed="false">
      <c r="A553" s="170"/>
      <c r="B553" s="170"/>
      <c r="C553" s="170"/>
      <c r="E553" s="170"/>
      <c r="F553" s="170"/>
      <c r="G553" s="170"/>
      <c r="H553" s="170"/>
      <c r="I553" s="170"/>
      <c r="J553" s="170"/>
      <c r="K553" s="170"/>
      <c r="L553" s="170"/>
    </row>
    <row r="554" customFormat="false" ht="15.75" hidden="false" customHeight="true" outlineLevel="0" collapsed="false">
      <c r="A554" s="170"/>
      <c r="B554" s="170"/>
      <c r="C554" s="170"/>
      <c r="E554" s="170"/>
      <c r="F554" s="170"/>
      <c r="G554" s="170"/>
      <c r="H554" s="170"/>
      <c r="I554" s="170"/>
      <c r="J554" s="170"/>
      <c r="K554" s="170"/>
      <c r="L554" s="170"/>
    </row>
    <row r="555" customFormat="false" ht="15.75" hidden="false" customHeight="true" outlineLevel="0" collapsed="false">
      <c r="A555" s="170"/>
      <c r="B555" s="170"/>
      <c r="C555" s="170"/>
      <c r="E555" s="170"/>
      <c r="F555" s="170"/>
      <c r="G555" s="170"/>
      <c r="H555" s="170"/>
      <c r="I555" s="170"/>
      <c r="J555" s="170"/>
      <c r="K555" s="170"/>
      <c r="L555" s="170"/>
    </row>
    <row r="556" customFormat="false" ht="15.75" hidden="false" customHeight="true" outlineLevel="0" collapsed="false">
      <c r="A556" s="170"/>
      <c r="B556" s="170"/>
      <c r="C556" s="170"/>
      <c r="E556" s="170"/>
      <c r="F556" s="170"/>
      <c r="G556" s="170"/>
      <c r="H556" s="170"/>
      <c r="I556" s="170"/>
      <c r="J556" s="170"/>
      <c r="K556" s="170"/>
      <c r="L556" s="170"/>
    </row>
    <row r="557" customFormat="false" ht="15.75" hidden="false" customHeight="true" outlineLevel="0" collapsed="false">
      <c r="A557" s="170"/>
      <c r="B557" s="170"/>
      <c r="C557" s="170"/>
      <c r="E557" s="170"/>
      <c r="F557" s="170"/>
      <c r="G557" s="170"/>
      <c r="H557" s="170"/>
      <c r="I557" s="170"/>
      <c r="J557" s="170"/>
      <c r="K557" s="170"/>
      <c r="L557" s="170"/>
    </row>
    <row r="558" customFormat="false" ht="15.75" hidden="false" customHeight="true" outlineLevel="0" collapsed="false">
      <c r="A558" s="170"/>
      <c r="B558" s="170"/>
      <c r="C558" s="170"/>
      <c r="E558" s="170"/>
      <c r="F558" s="170"/>
      <c r="G558" s="170"/>
      <c r="H558" s="170"/>
      <c r="I558" s="170"/>
      <c r="J558" s="170"/>
      <c r="K558" s="170"/>
      <c r="L558" s="170"/>
    </row>
    <row r="559" customFormat="false" ht="15.75" hidden="false" customHeight="true" outlineLevel="0" collapsed="false">
      <c r="A559" s="170"/>
      <c r="B559" s="170"/>
      <c r="C559" s="170"/>
      <c r="E559" s="170"/>
      <c r="F559" s="170"/>
      <c r="G559" s="170"/>
      <c r="H559" s="170"/>
      <c r="I559" s="170"/>
      <c r="J559" s="170"/>
      <c r="K559" s="170"/>
      <c r="L559" s="170"/>
    </row>
    <row r="560" customFormat="false" ht="15.75" hidden="false" customHeight="true" outlineLevel="0" collapsed="false">
      <c r="A560" s="170"/>
      <c r="B560" s="170"/>
      <c r="C560" s="170"/>
      <c r="E560" s="170"/>
      <c r="F560" s="170"/>
      <c r="G560" s="170"/>
      <c r="H560" s="170"/>
      <c r="I560" s="170"/>
      <c r="J560" s="170"/>
      <c r="K560" s="170"/>
      <c r="L560" s="170"/>
    </row>
    <row r="561" customFormat="false" ht="15.75" hidden="false" customHeight="true" outlineLevel="0" collapsed="false">
      <c r="A561" s="170"/>
      <c r="B561" s="170"/>
      <c r="C561" s="170"/>
      <c r="E561" s="170"/>
      <c r="F561" s="170"/>
      <c r="G561" s="170"/>
      <c r="H561" s="170"/>
      <c r="I561" s="170"/>
      <c r="J561" s="170"/>
      <c r="K561" s="170"/>
      <c r="L561" s="170"/>
    </row>
    <row r="562" customFormat="false" ht="15.75" hidden="false" customHeight="true" outlineLevel="0" collapsed="false">
      <c r="A562" s="170"/>
      <c r="B562" s="170"/>
      <c r="C562" s="170"/>
      <c r="E562" s="170"/>
      <c r="F562" s="170"/>
      <c r="G562" s="170"/>
      <c r="H562" s="170"/>
      <c r="I562" s="170"/>
      <c r="J562" s="170"/>
      <c r="K562" s="170"/>
      <c r="L562" s="170"/>
    </row>
    <row r="563" customFormat="false" ht="15.75" hidden="false" customHeight="true" outlineLevel="0" collapsed="false">
      <c r="A563" s="170"/>
      <c r="B563" s="170"/>
      <c r="C563" s="170"/>
      <c r="E563" s="170"/>
      <c r="F563" s="170"/>
      <c r="G563" s="170"/>
      <c r="H563" s="170"/>
      <c r="I563" s="170"/>
      <c r="J563" s="170"/>
      <c r="K563" s="170"/>
      <c r="L563" s="170"/>
    </row>
    <row r="564" customFormat="false" ht="15.75" hidden="false" customHeight="true" outlineLevel="0" collapsed="false">
      <c r="A564" s="170"/>
      <c r="B564" s="170"/>
      <c r="C564" s="170"/>
      <c r="E564" s="170"/>
      <c r="F564" s="170"/>
      <c r="G564" s="170"/>
      <c r="H564" s="170"/>
      <c r="I564" s="170"/>
      <c r="J564" s="170"/>
      <c r="K564" s="170"/>
      <c r="L564" s="170"/>
    </row>
    <row r="565" customFormat="false" ht="15.75" hidden="false" customHeight="true" outlineLevel="0" collapsed="false">
      <c r="A565" s="170"/>
      <c r="B565" s="170"/>
      <c r="C565" s="170"/>
      <c r="E565" s="170"/>
      <c r="F565" s="170"/>
      <c r="G565" s="170"/>
      <c r="H565" s="170"/>
      <c r="I565" s="170"/>
      <c r="J565" s="170"/>
      <c r="K565" s="170"/>
      <c r="L565" s="170"/>
    </row>
    <row r="566" customFormat="false" ht="15.75" hidden="false" customHeight="true" outlineLevel="0" collapsed="false">
      <c r="A566" s="170"/>
      <c r="B566" s="170"/>
      <c r="C566" s="170"/>
      <c r="E566" s="170"/>
      <c r="F566" s="170"/>
      <c r="G566" s="170"/>
      <c r="H566" s="170"/>
      <c r="I566" s="170"/>
      <c r="J566" s="170"/>
      <c r="K566" s="170"/>
      <c r="L566" s="170"/>
    </row>
    <row r="567" customFormat="false" ht="15.75" hidden="false" customHeight="true" outlineLevel="0" collapsed="false">
      <c r="A567" s="170"/>
      <c r="B567" s="170"/>
      <c r="C567" s="170"/>
      <c r="E567" s="170"/>
      <c r="F567" s="170"/>
      <c r="G567" s="170"/>
      <c r="H567" s="170"/>
      <c r="I567" s="170"/>
      <c r="J567" s="170"/>
      <c r="K567" s="170"/>
      <c r="L567" s="170"/>
    </row>
    <row r="568" customFormat="false" ht="15.75" hidden="false" customHeight="true" outlineLevel="0" collapsed="false">
      <c r="A568" s="170"/>
      <c r="B568" s="170"/>
      <c r="C568" s="170"/>
      <c r="E568" s="170"/>
      <c r="F568" s="170"/>
      <c r="G568" s="170"/>
      <c r="H568" s="170"/>
      <c r="I568" s="170"/>
      <c r="J568" s="170"/>
      <c r="K568" s="170"/>
      <c r="L568" s="170"/>
    </row>
    <row r="569" customFormat="false" ht="15.75" hidden="false" customHeight="true" outlineLevel="0" collapsed="false">
      <c r="A569" s="170"/>
      <c r="B569" s="170"/>
      <c r="C569" s="170"/>
      <c r="E569" s="170"/>
      <c r="F569" s="170"/>
      <c r="G569" s="170"/>
      <c r="H569" s="170"/>
      <c r="I569" s="170"/>
      <c r="J569" s="170"/>
      <c r="K569" s="170"/>
      <c r="L569" s="170"/>
    </row>
    <row r="570" customFormat="false" ht="15.75" hidden="false" customHeight="true" outlineLevel="0" collapsed="false">
      <c r="A570" s="170"/>
      <c r="B570" s="170"/>
      <c r="C570" s="170"/>
      <c r="E570" s="170"/>
      <c r="F570" s="170"/>
      <c r="G570" s="170"/>
      <c r="H570" s="170"/>
      <c r="I570" s="170"/>
      <c r="J570" s="170"/>
      <c r="K570" s="170"/>
      <c r="L570" s="170"/>
    </row>
    <row r="571" customFormat="false" ht="15.75" hidden="false" customHeight="true" outlineLevel="0" collapsed="false">
      <c r="A571" s="170"/>
      <c r="B571" s="170"/>
      <c r="C571" s="170"/>
      <c r="E571" s="170"/>
      <c r="F571" s="170"/>
      <c r="G571" s="170"/>
      <c r="H571" s="170"/>
      <c r="I571" s="170"/>
      <c r="J571" s="170"/>
      <c r="K571" s="170"/>
      <c r="L571" s="170"/>
    </row>
    <row r="572" customFormat="false" ht="15.75" hidden="false" customHeight="true" outlineLevel="0" collapsed="false">
      <c r="A572" s="170"/>
      <c r="B572" s="170"/>
      <c r="C572" s="170"/>
      <c r="E572" s="170"/>
      <c r="F572" s="170"/>
      <c r="G572" s="170"/>
      <c r="H572" s="170"/>
      <c r="I572" s="170"/>
      <c r="J572" s="170"/>
      <c r="K572" s="170"/>
      <c r="L572" s="170"/>
    </row>
    <row r="573" customFormat="false" ht="15.75" hidden="false" customHeight="true" outlineLevel="0" collapsed="false">
      <c r="A573" s="170"/>
      <c r="B573" s="170"/>
      <c r="C573" s="170"/>
      <c r="E573" s="170"/>
      <c r="F573" s="170"/>
      <c r="G573" s="170"/>
      <c r="H573" s="170"/>
      <c r="I573" s="170"/>
      <c r="J573" s="170"/>
      <c r="K573" s="170"/>
      <c r="L573" s="170"/>
    </row>
    <row r="574" customFormat="false" ht="15.75" hidden="false" customHeight="true" outlineLevel="0" collapsed="false">
      <c r="A574" s="170"/>
      <c r="B574" s="170"/>
      <c r="C574" s="170"/>
      <c r="E574" s="170"/>
      <c r="F574" s="170"/>
      <c r="G574" s="170"/>
      <c r="H574" s="170"/>
      <c r="I574" s="170"/>
      <c r="J574" s="170"/>
      <c r="K574" s="170"/>
      <c r="L574" s="170"/>
    </row>
    <row r="575" customFormat="false" ht="15.75" hidden="false" customHeight="true" outlineLevel="0" collapsed="false">
      <c r="A575" s="170"/>
      <c r="B575" s="170"/>
      <c r="C575" s="170"/>
      <c r="E575" s="170"/>
      <c r="F575" s="170"/>
      <c r="G575" s="170"/>
      <c r="H575" s="170"/>
      <c r="I575" s="170"/>
      <c r="J575" s="170"/>
      <c r="K575" s="170"/>
      <c r="L575" s="170"/>
    </row>
    <row r="576" customFormat="false" ht="15.75" hidden="false" customHeight="true" outlineLevel="0" collapsed="false">
      <c r="A576" s="170"/>
      <c r="B576" s="170"/>
      <c r="C576" s="170"/>
      <c r="E576" s="170"/>
      <c r="F576" s="170"/>
      <c r="G576" s="170"/>
      <c r="H576" s="170"/>
      <c r="I576" s="170"/>
      <c r="J576" s="170"/>
      <c r="K576" s="170"/>
      <c r="L576" s="170"/>
    </row>
    <row r="577" customFormat="false" ht="15.75" hidden="false" customHeight="true" outlineLevel="0" collapsed="false">
      <c r="A577" s="170"/>
      <c r="B577" s="170"/>
      <c r="C577" s="170"/>
      <c r="E577" s="170"/>
      <c r="F577" s="170"/>
      <c r="G577" s="170"/>
      <c r="H577" s="170"/>
      <c r="I577" s="170"/>
      <c r="J577" s="170"/>
      <c r="K577" s="170"/>
      <c r="L577" s="170"/>
    </row>
    <row r="578" customFormat="false" ht="15.75" hidden="false" customHeight="true" outlineLevel="0" collapsed="false">
      <c r="A578" s="170"/>
      <c r="B578" s="170"/>
      <c r="C578" s="170"/>
      <c r="E578" s="170"/>
      <c r="F578" s="170"/>
      <c r="G578" s="170"/>
      <c r="H578" s="170"/>
      <c r="I578" s="170"/>
      <c r="J578" s="170"/>
      <c r="K578" s="170"/>
      <c r="L578" s="170"/>
    </row>
    <row r="579" customFormat="false" ht="15.75" hidden="false" customHeight="true" outlineLevel="0" collapsed="false">
      <c r="A579" s="170"/>
      <c r="B579" s="170"/>
      <c r="C579" s="170"/>
      <c r="E579" s="170"/>
      <c r="F579" s="170"/>
      <c r="G579" s="170"/>
      <c r="H579" s="170"/>
      <c r="I579" s="170"/>
      <c r="J579" s="170"/>
      <c r="K579" s="170"/>
      <c r="L579" s="170"/>
    </row>
    <row r="580" customFormat="false" ht="15.75" hidden="false" customHeight="true" outlineLevel="0" collapsed="false">
      <c r="A580" s="170"/>
      <c r="B580" s="170"/>
      <c r="C580" s="170"/>
      <c r="E580" s="170"/>
      <c r="F580" s="170"/>
      <c r="G580" s="170"/>
      <c r="H580" s="170"/>
      <c r="I580" s="170"/>
      <c r="J580" s="170"/>
      <c r="K580" s="170"/>
      <c r="L580" s="170"/>
    </row>
    <row r="581" customFormat="false" ht="15.75" hidden="false" customHeight="true" outlineLevel="0" collapsed="false">
      <c r="A581" s="170"/>
      <c r="B581" s="170"/>
      <c r="C581" s="170"/>
      <c r="E581" s="170"/>
      <c r="F581" s="170"/>
      <c r="G581" s="170"/>
      <c r="H581" s="170"/>
      <c r="I581" s="170"/>
      <c r="J581" s="170"/>
      <c r="K581" s="170"/>
      <c r="L581" s="170"/>
    </row>
    <row r="582" customFormat="false" ht="15.75" hidden="false" customHeight="true" outlineLevel="0" collapsed="false">
      <c r="A582" s="170"/>
      <c r="B582" s="170"/>
      <c r="C582" s="170"/>
      <c r="E582" s="170"/>
      <c r="F582" s="170"/>
      <c r="G582" s="170"/>
      <c r="H582" s="170"/>
      <c r="I582" s="170"/>
      <c r="J582" s="170"/>
      <c r="K582" s="170"/>
      <c r="L582" s="170"/>
    </row>
    <row r="583" customFormat="false" ht="15.75" hidden="false" customHeight="true" outlineLevel="0" collapsed="false">
      <c r="A583" s="170"/>
      <c r="B583" s="170"/>
      <c r="C583" s="170"/>
      <c r="E583" s="170"/>
      <c r="F583" s="170"/>
      <c r="G583" s="170"/>
      <c r="H583" s="170"/>
      <c r="I583" s="170"/>
      <c r="J583" s="170"/>
      <c r="K583" s="170"/>
      <c r="L583" s="170"/>
    </row>
    <row r="584" customFormat="false" ht="15.75" hidden="false" customHeight="true" outlineLevel="0" collapsed="false">
      <c r="A584" s="170"/>
      <c r="B584" s="170"/>
      <c r="C584" s="170"/>
      <c r="E584" s="170"/>
      <c r="F584" s="170"/>
      <c r="G584" s="170"/>
      <c r="H584" s="170"/>
      <c r="I584" s="170"/>
      <c r="J584" s="170"/>
      <c r="K584" s="170"/>
      <c r="L584" s="170"/>
    </row>
    <row r="585" customFormat="false" ht="15.75" hidden="false" customHeight="true" outlineLevel="0" collapsed="false">
      <c r="A585" s="170"/>
      <c r="B585" s="170"/>
      <c r="C585" s="170"/>
      <c r="E585" s="170"/>
      <c r="F585" s="170"/>
      <c r="G585" s="170"/>
      <c r="H585" s="170"/>
      <c r="I585" s="170"/>
      <c r="J585" s="170"/>
      <c r="K585" s="170"/>
      <c r="L585" s="170"/>
    </row>
    <row r="586" customFormat="false" ht="15.75" hidden="false" customHeight="true" outlineLevel="0" collapsed="false">
      <c r="A586" s="170"/>
      <c r="B586" s="170"/>
      <c r="C586" s="170"/>
      <c r="E586" s="170"/>
      <c r="F586" s="170"/>
      <c r="G586" s="170"/>
      <c r="H586" s="170"/>
      <c r="I586" s="170"/>
      <c r="J586" s="170"/>
      <c r="K586" s="170"/>
      <c r="L586" s="170"/>
    </row>
    <row r="587" customFormat="false" ht="15.75" hidden="false" customHeight="true" outlineLevel="0" collapsed="false">
      <c r="A587" s="170"/>
      <c r="B587" s="170"/>
      <c r="C587" s="170"/>
      <c r="E587" s="170"/>
      <c r="F587" s="170"/>
      <c r="G587" s="170"/>
      <c r="H587" s="170"/>
      <c r="I587" s="170"/>
      <c r="J587" s="170"/>
      <c r="K587" s="170"/>
      <c r="L587" s="170"/>
    </row>
    <row r="588" customFormat="false" ht="15.75" hidden="false" customHeight="true" outlineLevel="0" collapsed="false">
      <c r="A588" s="170"/>
      <c r="B588" s="170"/>
      <c r="C588" s="170"/>
      <c r="E588" s="170"/>
      <c r="F588" s="170"/>
      <c r="G588" s="170"/>
      <c r="H588" s="170"/>
      <c r="I588" s="170"/>
      <c r="J588" s="170"/>
      <c r="K588" s="170"/>
      <c r="L588" s="170"/>
    </row>
    <row r="589" customFormat="false" ht="15.75" hidden="false" customHeight="true" outlineLevel="0" collapsed="false">
      <c r="A589" s="170"/>
      <c r="B589" s="170"/>
      <c r="C589" s="170"/>
      <c r="E589" s="170"/>
      <c r="F589" s="170"/>
      <c r="G589" s="170"/>
      <c r="H589" s="170"/>
      <c r="I589" s="170"/>
      <c r="J589" s="170"/>
      <c r="K589" s="170"/>
      <c r="L589" s="170"/>
    </row>
    <row r="590" customFormat="false" ht="15.75" hidden="false" customHeight="true" outlineLevel="0" collapsed="false">
      <c r="A590" s="170"/>
      <c r="B590" s="170"/>
      <c r="C590" s="170"/>
      <c r="E590" s="170"/>
      <c r="F590" s="170"/>
      <c r="G590" s="170"/>
      <c r="H590" s="170"/>
      <c r="I590" s="170"/>
      <c r="J590" s="170"/>
      <c r="K590" s="170"/>
      <c r="L590" s="170"/>
    </row>
    <row r="591" customFormat="false" ht="15.75" hidden="false" customHeight="true" outlineLevel="0" collapsed="false">
      <c r="A591" s="170"/>
      <c r="B591" s="170"/>
      <c r="C591" s="170"/>
      <c r="E591" s="170"/>
      <c r="F591" s="170"/>
      <c r="G591" s="170"/>
      <c r="H591" s="170"/>
      <c r="I591" s="170"/>
      <c r="J591" s="170"/>
      <c r="K591" s="170"/>
      <c r="L591" s="170"/>
    </row>
    <row r="592" customFormat="false" ht="15.75" hidden="false" customHeight="true" outlineLevel="0" collapsed="false">
      <c r="A592" s="170"/>
      <c r="B592" s="170"/>
      <c r="C592" s="170"/>
      <c r="E592" s="170"/>
      <c r="F592" s="170"/>
      <c r="G592" s="170"/>
      <c r="H592" s="170"/>
      <c r="I592" s="170"/>
      <c r="J592" s="170"/>
      <c r="K592" s="170"/>
      <c r="L592" s="170"/>
    </row>
    <row r="593" customFormat="false" ht="15.75" hidden="false" customHeight="true" outlineLevel="0" collapsed="false">
      <c r="A593" s="170"/>
      <c r="B593" s="170"/>
      <c r="C593" s="170"/>
      <c r="E593" s="170"/>
      <c r="F593" s="170"/>
      <c r="G593" s="170"/>
      <c r="H593" s="170"/>
      <c r="I593" s="170"/>
      <c r="J593" s="170"/>
      <c r="K593" s="170"/>
      <c r="L593" s="170"/>
    </row>
    <row r="594" customFormat="false" ht="15.75" hidden="false" customHeight="true" outlineLevel="0" collapsed="false">
      <c r="A594" s="170"/>
      <c r="B594" s="170"/>
      <c r="C594" s="170"/>
      <c r="E594" s="170"/>
      <c r="F594" s="170"/>
      <c r="G594" s="170"/>
      <c r="H594" s="170"/>
      <c r="I594" s="170"/>
      <c r="J594" s="170"/>
      <c r="K594" s="170"/>
      <c r="L594" s="170"/>
    </row>
    <row r="595" customFormat="false" ht="15.75" hidden="false" customHeight="true" outlineLevel="0" collapsed="false">
      <c r="A595" s="170"/>
      <c r="B595" s="170"/>
      <c r="C595" s="170"/>
      <c r="E595" s="170"/>
      <c r="F595" s="170"/>
      <c r="G595" s="170"/>
      <c r="H595" s="170"/>
      <c r="I595" s="170"/>
      <c r="J595" s="170"/>
      <c r="K595" s="170"/>
      <c r="L595" s="170"/>
    </row>
    <row r="596" customFormat="false" ht="15.75" hidden="false" customHeight="true" outlineLevel="0" collapsed="false">
      <c r="A596" s="170"/>
      <c r="B596" s="170"/>
      <c r="C596" s="170"/>
      <c r="E596" s="170"/>
      <c r="F596" s="170"/>
      <c r="G596" s="170"/>
      <c r="H596" s="170"/>
      <c r="I596" s="170"/>
      <c r="J596" s="170"/>
      <c r="K596" s="170"/>
      <c r="L596" s="170"/>
    </row>
    <row r="597" customFormat="false" ht="15.75" hidden="false" customHeight="true" outlineLevel="0" collapsed="false">
      <c r="A597" s="170"/>
      <c r="B597" s="170"/>
      <c r="C597" s="170"/>
      <c r="E597" s="170"/>
      <c r="F597" s="170"/>
      <c r="G597" s="170"/>
      <c r="H597" s="170"/>
      <c r="I597" s="170"/>
      <c r="J597" s="170"/>
      <c r="K597" s="170"/>
      <c r="L597" s="170"/>
    </row>
    <row r="598" customFormat="false" ht="15.75" hidden="false" customHeight="true" outlineLevel="0" collapsed="false">
      <c r="A598" s="170"/>
      <c r="B598" s="170"/>
      <c r="C598" s="170"/>
      <c r="E598" s="170"/>
      <c r="F598" s="170"/>
      <c r="G598" s="170"/>
      <c r="H598" s="170"/>
      <c r="I598" s="170"/>
      <c r="J598" s="170"/>
      <c r="K598" s="170"/>
      <c r="L598" s="170"/>
    </row>
    <row r="599" customFormat="false" ht="15.75" hidden="false" customHeight="true" outlineLevel="0" collapsed="false">
      <c r="A599" s="170"/>
      <c r="B599" s="170"/>
      <c r="C599" s="170"/>
      <c r="E599" s="170"/>
      <c r="F599" s="170"/>
      <c r="G599" s="170"/>
      <c r="H599" s="170"/>
      <c r="I599" s="170"/>
      <c r="J599" s="170"/>
      <c r="K599" s="170"/>
      <c r="L599" s="170"/>
    </row>
    <row r="600" customFormat="false" ht="15.75" hidden="false" customHeight="true" outlineLevel="0" collapsed="false">
      <c r="A600" s="170"/>
      <c r="B600" s="170"/>
      <c r="C600" s="170"/>
      <c r="E600" s="170"/>
      <c r="F600" s="170"/>
      <c r="G600" s="170"/>
      <c r="H600" s="170"/>
      <c r="I600" s="170"/>
      <c r="J600" s="170"/>
      <c r="K600" s="170"/>
      <c r="L600" s="170"/>
    </row>
    <row r="601" customFormat="false" ht="15.75" hidden="false" customHeight="true" outlineLevel="0" collapsed="false">
      <c r="A601" s="170"/>
      <c r="B601" s="170"/>
      <c r="C601" s="170"/>
      <c r="E601" s="170"/>
      <c r="F601" s="170"/>
      <c r="G601" s="170"/>
      <c r="H601" s="170"/>
      <c r="I601" s="170"/>
      <c r="J601" s="170"/>
      <c r="K601" s="170"/>
      <c r="L601" s="170"/>
    </row>
    <row r="602" customFormat="false" ht="15.75" hidden="false" customHeight="true" outlineLevel="0" collapsed="false">
      <c r="A602" s="170"/>
      <c r="B602" s="170"/>
      <c r="C602" s="170"/>
      <c r="E602" s="170"/>
      <c r="F602" s="170"/>
      <c r="G602" s="170"/>
      <c r="H602" s="170"/>
      <c r="I602" s="170"/>
      <c r="J602" s="170"/>
      <c r="K602" s="170"/>
      <c r="L602" s="170"/>
    </row>
    <row r="603" customFormat="false" ht="15.75" hidden="false" customHeight="true" outlineLevel="0" collapsed="false">
      <c r="A603" s="170"/>
      <c r="B603" s="170"/>
      <c r="C603" s="170"/>
      <c r="E603" s="170"/>
      <c r="F603" s="170"/>
      <c r="G603" s="170"/>
      <c r="H603" s="170"/>
      <c r="I603" s="170"/>
      <c r="J603" s="170"/>
      <c r="K603" s="170"/>
      <c r="L603" s="170"/>
    </row>
    <row r="604" customFormat="false" ht="15.75" hidden="false" customHeight="true" outlineLevel="0" collapsed="false">
      <c r="A604" s="170"/>
      <c r="B604" s="170"/>
      <c r="C604" s="170"/>
      <c r="E604" s="170"/>
      <c r="F604" s="170"/>
      <c r="G604" s="170"/>
      <c r="H604" s="170"/>
      <c r="I604" s="170"/>
      <c r="J604" s="170"/>
      <c r="K604" s="170"/>
      <c r="L604" s="170"/>
    </row>
    <row r="605" customFormat="false" ht="15.75" hidden="false" customHeight="true" outlineLevel="0" collapsed="false">
      <c r="A605" s="170"/>
      <c r="B605" s="170"/>
      <c r="C605" s="170"/>
      <c r="E605" s="170"/>
      <c r="F605" s="170"/>
      <c r="G605" s="170"/>
      <c r="H605" s="170"/>
      <c r="I605" s="170"/>
      <c r="J605" s="170"/>
      <c r="K605" s="170"/>
      <c r="L605" s="170"/>
    </row>
    <row r="606" customFormat="false" ht="15.75" hidden="false" customHeight="true" outlineLevel="0" collapsed="false">
      <c r="A606" s="170"/>
      <c r="B606" s="170"/>
      <c r="C606" s="170"/>
      <c r="E606" s="170"/>
      <c r="F606" s="170"/>
      <c r="G606" s="170"/>
      <c r="H606" s="170"/>
      <c r="I606" s="170"/>
      <c r="J606" s="170"/>
      <c r="K606" s="170"/>
      <c r="L606" s="170"/>
    </row>
    <row r="607" customFormat="false" ht="15.75" hidden="false" customHeight="true" outlineLevel="0" collapsed="false">
      <c r="A607" s="170"/>
      <c r="B607" s="170"/>
      <c r="C607" s="170"/>
      <c r="E607" s="170"/>
      <c r="F607" s="170"/>
      <c r="G607" s="170"/>
      <c r="H607" s="170"/>
      <c r="I607" s="170"/>
      <c r="J607" s="170"/>
      <c r="K607" s="170"/>
      <c r="L607" s="170"/>
    </row>
    <row r="608" customFormat="false" ht="15.75" hidden="false" customHeight="true" outlineLevel="0" collapsed="false">
      <c r="A608" s="170"/>
      <c r="B608" s="170"/>
      <c r="C608" s="170"/>
      <c r="E608" s="170"/>
      <c r="F608" s="170"/>
      <c r="G608" s="170"/>
      <c r="H608" s="170"/>
      <c r="I608" s="170"/>
      <c r="J608" s="170"/>
      <c r="K608" s="170"/>
      <c r="L608" s="170"/>
    </row>
    <row r="609" customFormat="false" ht="15.75" hidden="false" customHeight="true" outlineLevel="0" collapsed="false">
      <c r="A609" s="170"/>
      <c r="B609" s="170"/>
      <c r="C609" s="170"/>
      <c r="E609" s="170"/>
      <c r="F609" s="170"/>
      <c r="G609" s="170"/>
      <c r="H609" s="170"/>
      <c r="I609" s="170"/>
      <c r="J609" s="170"/>
      <c r="K609" s="170"/>
      <c r="L609" s="170"/>
    </row>
    <row r="610" customFormat="false" ht="15.75" hidden="false" customHeight="true" outlineLevel="0" collapsed="false">
      <c r="A610" s="170"/>
      <c r="B610" s="170"/>
      <c r="C610" s="170"/>
      <c r="E610" s="170"/>
      <c r="F610" s="170"/>
      <c r="G610" s="170"/>
      <c r="H610" s="170"/>
      <c r="I610" s="170"/>
      <c r="J610" s="170"/>
      <c r="K610" s="170"/>
      <c r="L610" s="170"/>
    </row>
    <row r="611" customFormat="false" ht="15.75" hidden="false" customHeight="true" outlineLevel="0" collapsed="false">
      <c r="A611" s="170"/>
      <c r="B611" s="170"/>
      <c r="C611" s="170"/>
      <c r="E611" s="170"/>
      <c r="F611" s="170"/>
      <c r="G611" s="170"/>
      <c r="H611" s="170"/>
      <c r="I611" s="170"/>
      <c r="J611" s="170"/>
      <c r="K611" s="170"/>
      <c r="L611" s="170"/>
    </row>
    <row r="612" customFormat="false" ht="15.75" hidden="false" customHeight="true" outlineLevel="0" collapsed="false">
      <c r="A612" s="170"/>
      <c r="B612" s="170"/>
      <c r="C612" s="170"/>
      <c r="E612" s="170"/>
      <c r="F612" s="170"/>
      <c r="G612" s="170"/>
      <c r="H612" s="170"/>
      <c r="I612" s="170"/>
      <c r="J612" s="170"/>
      <c r="K612" s="170"/>
      <c r="L612" s="170"/>
    </row>
    <row r="613" customFormat="false" ht="15.75" hidden="false" customHeight="true" outlineLevel="0" collapsed="false">
      <c r="A613" s="170"/>
      <c r="B613" s="170"/>
      <c r="C613" s="170"/>
      <c r="E613" s="170"/>
      <c r="F613" s="170"/>
      <c r="G613" s="170"/>
      <c r="H613" s="170"/>
      <c r="I613" s="170"/>
      <c r="J613" s="170"/>
      <c r="K613" s="170"/>
      <c r="L613" s="170"/>
    </row>
    <row r="614" customFormat="false" ht="15.75" hidden="false" customHeight="true" outlineLevel="0" collapsed="false">
      <c r="A614" s="170"/>
      <c r="B614" s="170"/>
      <c r="C614" s="170"/>
      <c r="E614" s="170"/>
      <c r="F614" s="170"/>
      <c r="G614" s="170"/>
      <c r="H614" s="170"/>
      <c r="I614" s="170"/>
      <c r="J614" s="170"/>
      <c r="K614" s="170"/>
      <c r="L614" s="170"/>
    </row>
    <row r="615" customFormat="false" ht="15.75" hidden="false" customHeight="true" outlineLevel="0" collapsed="false">
      <c r="A615" s="170"/>
      <c r="B615" s="170"/>
      <c r="C615" s="170"/>
      <c r="E615" s="170"/>
      <c r="F615" s="170"/>
      <c r="G615" s="170"/>
      <c r="H615" s="170"/>
      <c r="I615" s="170"/>
      <c r="J615" s="170"/>
      <c r="K615" s="170"/>
      <c r="L615" s="170"/>
    </row>
    <row r="616" customFormat="false" ht="15.75" hidden="false" customHeight="true" outlineLevel="0" collapsed="false">
      <c r="A616" s="170"/>
      <c r="B616" s="170"/>
      <c r="C616" s="170"/>
      <c r="E616" s="170"/>
      <c r="F616" s="170"/>
      <c r="G616" s="170"/>
      <c r="H616" s="170"/>
      <c r="I616" s="170"/>
      <c r="J616" s="170"/>
      <c r="K616" s="170"/>
      <c r="L616" s="170"/>
    </row>
    <row r="617" customFormat="false" ht="15.75" hidden="false" customHeight="true" outlineLevel="0" collapsed="false">
      <c r="A617" s="170"/>
      <c r="B617" s="170"/>
      <c r="C617" s="170"/>
      <c r="E617" s="170"/>
      <c r="F617" s="170"/>
      <c r="G617" s="170"/>
      <c r="H617" s="170"/>
      <c r="I617" s="170"/>
      <c r="J617" s="170"/>
      <c r="K617" s="170"/>
      <c r="L617" s="170"/>
    </row>
    <row r="618" customFormat="false" ht="15.75" hidden="false" customHeight="true" outlineLevel="0" collapsed="false">
      <c r="A618" s="170"/>
      <c r="B618" s="170"/>
      <c r="C618" s="170"/>
      <c r="E618" s="170"/>
      <c r="F618" s="170"/>
      <c r="G618" s="170"/>
      <c r="H618" s="170"/>
      <c r="I618" s="170"/>
      <c r="J618" s="170"/>
      <c r="K618" s="170"/>
      <c r="L618" s="170"/>
    </row>
    <row r="619" customFormat="false" ht="15.75" hidden="false" customHeight="true" outlineLevel="0" collapsed="false">
      <c r="A619" s="170"/>
      <c r="B619" s="170"/>
      <c r="C619" s="170"/>
      <c r="E619" s="170"/>
      <c r="F619" s="170"/>
      <c r="G619" s="170"/>
      <c r="H619" s="170"/>
      <c r="I619" s="170"/>
      <c r="J619" s="170"/>
      <c r="K619" s="170"/>
      <c r="L619" s="170"/>
    </row>
    <row r="620" customFormat="false" ht="15.75" hidden="false" customHeight="true" outlineLevel="0" collapsed="false">
      <c r="A620" s="170"/>
      <c r="B620" s="170"/>
      <c r="C620" s="170"/>
      <c r="E620" s="170"/>
      <c r="F620" s="170"/>
      <c r="G620" s="170"/>
      <c r="H620" s="170"/>
      <c r="I620" s="170"/>
      <c r="J620" s="170"/>
      <c r="K620" s="170"/>
      <c r="L620" s="170"/>
    </row>
    <row r="621" customFormat="false" ht="15.75" hidden="false" customHeight="true" outlineLevel="0" collapsed="false">
      <c r="A621" s="170"/>
      <c r="B621" s="170"/>
      <c r="C621" s="170"/>
      <c r="E621" s="170"/>
      <c r="F621" s="170"/>
      <c r="G621" s="170"/>
      <c r="H621" s="170"/>
      <c r="I621" s="170"/>
      <c r="J621" s="170"/>
      <c r="K621" s="170"/>
      <c r="L621" s="170"/>
    </row>
    <row r="622" customFormat="false" ht="15.75" hidden="false" customHeight="true" outlineLevel="0" collapsed="false">
      <c r="A622" s="170"/>
      <c r="B622" s="170"/>
      <c r="C622" s="170"/>
      <c r="E622" s="170"/>
      <c r="F622" s="170"/>
      <c r="G622" s="170"/>
      <c r="H622" s="170"/>
      <c r="I622" s="170"/>
      <c r="J622" s="170"/>
      <c r="K622" s="170"/>
      <c r="L622" s="170"/>
    </row>
    <row r="623" customFormat="false" ht="15.75" hidden="false" customHeight="true" outlineLevel="0" collapsed="false">
      <c r="A623" s="170"/>
      <c r="B623" s="170"/>
      <c r="C623" s="170"/>
      <c r="E623" s="170"/>
      <c r="F623" s="170"/>
      <c r="G623" s="170"/>
      <c r="H623" s="170"/>
      <c r="I623" s="170"/>
      <c r="J623" s="170"/>
      <c r="K623" s="170"/>
      <c r="L623" s="170"/>
    </row>
    <row r="624" customFormat="false" ht="15.75" hidden="false" customHeight="true" outlineLevel="0" collapsed="false">
      <c r="A624" s="170"/>
      <c r="B624" s="170"/>
      <c r="C624" s="170"/>
      <c r="E624" s="170"/>
      <c r="F624" s="170"/>
      <c r="G624" s="170"/>
      <c r="H624" s="170"/>
      <c r="I624" s="170"/>
      <c r="J624" s="170"/>
      <c r="K624" s="170"/>
      <c r="L624" s="170"/>
    </row>
    <row r="625" customFormat="false" ht="15.75" hidden="false" customHeight="true" outlineLevel="0" collapsed="false">
      <c r="A625" s="170"/>
      <c r="B625" s="170"/>
      <c r="C625" s="170"/>
      <c r="E625" s="170"/>
      <c r="F625" s="170"/>
      <c r="G625" s="170"/>
      <c r="H625" s="170"/>
      <c r="I625" s="170"/>
      <c r="J625" s="170"/>
      <c r="K625" s="170"/>
      <c r="L625" s="170"/>
    </row>
    <row r="626" customFormat="false" ht="15.75" hidden="false" customHeight="true" outlineLevel="0" collapsed="false">
      <c r="A626" s="170"/>
      <c r="B626" s="170"/>
      <c r="C626" s="170"/>
      <c r="E626" s="170"/>
      <c r="F626" s="170"/>
      <c r="G626" s="170"/>
      <c r="H626" s="170"/>
      <c r="I626" s="170"/>
      <c r="J626" s="170"/>
      <c r="K626" s="170"/>
      <c r="L626" s="170"/>
    </row>
    <row r="627" customFormat="false" ht="15.75" hidden="false" customHeight="true" outlineLevel="0" collapsed="false">
      <c r="A627" s="170"/>
      <c r="B627" s="170"/>
      <c r="C627" s="170"/>
      <c r="E627" s="170"/>
      <c r="F627" s="170"/>
      <c r="G627" s="170"/>
      <c r="H627" s="170"/>
      <c r="I627" s="170"/>
      <c r="J627" s="170"/>
      <c r="K627" s="170"/>
      <c r="L627" s="170"/>
    </row>
    <row r="628" customFormat="false" ht="15.75" hidden="false" customHeight="true" outlineLevel="0" collapsed="false">
      <c r="A628" s="170"/>
      <c r="B628" s="170"/>
      <c r="C628" s="170"/>
      <c r="E628" s="170"/>
      <c r="F628" s="170"/>
      <c r="G628" s="170"/>
      <c r="H628" s="170"/>
      <c r="I628" s="170"/>
      <c r="J628" s="170"/>
      <c r="K628" s="170"/>
      <c r="L628" s="170"/>
    </row>
    <row r="629" customFormat="false" ht="15.75" hidden="false" customHeight="true" outlineLevel="0" collapsed="false">
      <c r="A629" s="170"/>
      <c r="B629" s="170"/>
      <c r="C629" s="170"/>
      <c r="E629" s="170"/>
      <c r="F629" s="170"/>
      <c r="G629" s="170"/>
      <c r="H629" s="170"/>
      <c r="I629" s="170"/>
      <c r="J629" s="170"/>
      <c r="K629" s="170"/>
      <c r="L629" s="170"/>
    </row>
    <row r="630" customFormat="false" ht="15.75" hidden="false" customHeight="true" outlineLevel="0" collapsed="false">
      <c r="A630" s="170"/>
      <c r="B630" s="170"/>
      <c r="C630" s="170"/>
      <c r="E630" s="170"/>
      <c r="F630" s="170"/>
      <c r="G630" s="170"/>
      <c r="H630" s="170"/>
      <c r="I630" s="170"/>
      <c r="J630" s="170"/>
      <c r="K630" s="170"/>
      <c r="L630" s="170"/>
    </row>
    <row r="631" customFormat="false" ht="15.75" hidden="false" customHeight="true" outlineLevel="0" collapsed="false">
      <c r="A631" s="170"/>
      <c r="B631" s="170"/>
      <c r="C631" s="170"/>
      <c r="E631" s="170"/>
      <c r="F631" s="170"/>
      <c r="G631" s="170"/>
      <c r="H631" s="170"/>
      <c r="I631" s="170"/>
      <c r="J631" s="170"/>
      <c r="K631" s="170"/>
      <c r="L631" s="170"/>
    </row>
    <row r="632" customFormat="false" ht="15.75" hidden="false" customHeight="true" outlineLevel="0" collapsed="false">
      <c r="A632" s="170"/>
      <c r="B632" s="170"/>
      <c r="C632" s="170"/>
      <c r="E632" s="170"/>
      <c r="F632" s="170"/>
      <c r="G632" s="170"/>
      <c r="H632" s="170"/>
      <c r="I632" s="170"/>
      <c r="J632" s="170"/>
      <c r="K632" s="170"/>
      <c r="L632" s="170"/>
    </row>
    <row r="633" customFormat="false" ht="15.75" hidden="false" customHeight="true" outlineLevel="0" collapsed="false">
      <c r="A633" s="170"/>
      <c r="B633" s="170"/>
      <c r="C633" s="170"/>
      <c r="E633" s="170"/>
      <c r="F633" s="170"/>
      <c r="G633" s="170"/>
      <c r="H633" s="170"/>
      <c r="I633" s="170"/>
      <c r="J633" s="170"/>
      <c r="K633" s="170"/>
      <c r="L633" s="170"/>
    </row>
    <row r="634" customFormat="false" ht="15.75" hidden="false" customHeight="true" outlineLevel="0" collapsed="false">
      <c r="A634" s="170"/>
      <c r="B634" s="170"/>
      <c r="C634" s="170"/>
      <c r="E634" s="170"/>
      <c r="F634" s="170"/>
      <c r="G634" s="170"/>
      <c r="H634" s="170"/>
      <c r="I634" s="170"/>
      <c r="J634" s="170"/>
      <c r="K634" s="170"/>
      <c r="L634" s="170"/>
    </row>
    <row r="635" customFormat="false" ht="15.75" hidden="false" customHeight="true" outlineLevel="0" collapsed="false">
      <c r="A635" s="170"/>
      <c r="B635" s="170"/>
      <c r="C635" s="170"/>
      <c r="E635" s="170"/>
      <c r="F635" s="170"/>
      <c r="G635" s="170"/>
      <c r="H635" s="170"/>
      <c r="I635" s="170"/>
      <c r="J635" s="170"/>
      <c r="K635" s="170"/>
      <c r="L635" s="170"/>
    </row>
    <row r="636" customFormat="false" ht="15.75" hidden="false" customHeight="true" outlineLevel="0" collapsed="false">
      <c r="A636" s="170"/>
      <c r="B636" s="170"/>
      <c r="C636" s="170"/>
      <c r="E636" s="170"/>
      <c r="F636" s="170"/>
      <c r="G636" s="170"/>
      <c r="H636" s="170"/>
      <c r="I636" s="170"/>
      <c r="J636" s="170"/>
      <c r="K636" s="170"/>
      <c r="L636" s="170"/>
    </row>
    <row r="637" customFormat="false" ht="15.75" hidden="false" customHeight="true" outlineLevel="0" collapsed="false">
      <c r="A637" s="170"/>
      <c r="B637" s="170"/>
      <c r="C637" s="170"/>
      <c r="E637" s="170"/>
      <c r="F637" s="170"/>
      <c r="G637" s="170"/>
      <c r="H637" s="170"/>
      <c r="I637" s="170"/>
      <c r="J637" s="170"/>
      <c r="K637" s="170"/>
      <c r="L637" s="170"/>
    </row>
    <row r="638" customFormat="false" ht="15.75" hidden="false" customHeight="true" outlineLevel="0" collapsed="false">
      <c r="A638" s="170"/>
      <c r="B638" s="170"/>
      <c r="C638" s="170"/>
      <c r="E638" s="170"/>
      <c r="F638" s="170"/>
      <c r="G638" s="170"/>
      <c r="H638" s="170"/>
      <c r="I638" s="170"/>
      <c r="J638" s="170"/>
      <c r="K638" s="170"/>
      <c r="L638" s="170"/>
    </row>
    <row r="639" customFormat="false" ht="15.75" hidden="false" customHeight="true" outlineLevel="0" collapsed="false">
      <c r="A639" s="170"/>
      <c r="B639" s="170"/>
      <c r="C639" s="170"/>
      <c r="E639" s="170"/>
      <c r="F639" s="170"/>
      <c r="G639" s="170"/>
      <c r="H639" s="170"/>
      <c r="I639" s="170"/>
      <c r="J639" s="170"/>
      <c r="K639" s="170"/>
      <c r="L639" s="170"/>
    </row>
    <row r="640" customFormat="false" ht="15.75" hidden="false" customHeight="true" outlineLevel="0" collapsed="false">
      <c r="A640" s="170"/>
      <c r="B640" s="170"/>
      <c r="C640" s="170"/>
      <c r="E640" s="170"/>
      <c r="F640" s="170"/>
      <c r="G640" s="170"/>
      <c r="H640" s="170"/>
      <c r="I640" s="170"/>
      <c r="J640" s="170"/>
      <c r="K640" s="170"/>
      <c r="L640" s="170"/>
    </row>
    <row r="641" customFormat="false" ht="15.75" hidden="false" customHeight="true" outlineLevel="0" collapsed="false">
      <c r="A641" s="170"/>
      <c r="B641" s="170"/>
      <c r="C641" s="170"/>
      <c r="E641" s="170"/>
      <c r="F641" s="170"/>
      <c r="G641" s="170"/>
      <c r="H641" s="170"/>
      <c r="I641" s="170"/>
      <c r="J641" s="170"/>
      <c r="K641" s="170"/>
      <c r="L641" s="170"/>
    </row>
    <row r="642" customFormat="false" ht="15.75" hidden="false" customHeight="true" outlineLevel="0" collapsed="false">
      <c r="A642" s="170"/>
      <c r="B642" s="170"/>
      <c r="C642" s="170"/>
      <c r="E642" s="170"/>
      <c r="F642" s="170"/>
      <c r="G642" s="170"/>
      <c r="H642" s="170"/>
      <c r="I642" s="170"/>
      <c r="J642" s="170"/>
      <c r="K642" s="170"/>
      <c r="L642" s="170"/>
    </row>
    <row r="643" customFormat="false" ht="15.75" hidden="false" customHeight="true" outlineLevel="0" collapsed="false">
      <c r="A643" s="170"/>
      <c r="B643" s="170"/>
      <c r="C643" s="170"/>
      <c r="E643" s="170"/>
      <c r="F643" s="170"/>
      <c r="G643" s="170"/>
      <c r="H643" s="170"/>
      <c r="I643" s="170"/>
      <c r="J643" s="170"/>
      <c r="K643" s="170"/>
      <c r="L643" s="170"/>
    </row>
    <row r="644" customFormat="false" ht="15.75" hidden="false" customHeight="true" outlineLevel="0" collapsed="false">
      <c r="A644" s="170"/>
      <c r="B644" s="170"/>
      <c r="C644" s="170"/>
      <c r="E644" s="170"/>
      <c r="F644" s="170"/>
      <c r="G644" s="170"/>
      <c r="H644" s="170"/>
      <c r="I644" s="170"/>
      <c r="J644" s="170"/>
      <c r="K644" s="170"/>
      <c r="L644" s="170"/>
    </row>
    <row r="645" customFormat="false" ht="15.75" hidden="false" customHeight="true" outlineLevel="0" collapsed="false">
      <c r="A645" s="170"/>
      <c r="B645" s="170"/>
      <c r="C645" s="170"/>
      <c r="E645" s="170"/>
      <c r="F645" s="170"/>
      <c r="G645" s="170"/>
      <c r="H645" s="170"/>
      <c r="I645" s="170"/>
      <c r="J645" s="170"/>
      <c r="K645" s="170"/>
      <c r="L645" s="170"/>
    </row>
    <row r="646" customFormat="false" ht="15.75" hidden="false" customHeight="true" outlineLevel="0" collapsed="false">
      <c r="A646" s="170"/>
      <c r="B646" s="170"/>
      <c r="C646" s="170"/>
      <c r="E646" s="170"/>
      <c r="F646" s="170"/>
      <c r="G646" s="170"/>
      <c r="H646" s="170"/>
      <c r="I646" s="170"/>
      <c r="J646" s="170"/>
      <c r="K646" s="170"/>
      <c r="L646" s="170"/>
    </row>
    <row r="647" customFormat="false" ht="15.75" hidden="false" customHeight="true" outlineLevel="0" collapsed="false">
      <c r="A647" s="170"/>
      <c r="B647" s="170"/>
      <c r="C647" s="170"/>
      <c r="E647" s="170"/>
      <c r="F647" s="170"/>
      <c r="G647" s="170"/>
      <c r="H647" s="170"/>
      <c r="I647" s="170"/>
      <c r="J647" s="170"/>
      <c r="K647" s="170"/>
      <c r="L647" s="170"/>
    </row>
    <row r="648" customFormat="false" ht="15.75" hidden="false" customHeight="true" outlineLevel="0" collapsed="false">
      <c r="A648" s="170"/>
      <c r="B648" s="170"/>
      <c r="C648" s="170"/>
      <c r="E648" s="170"/>
      <c r="F648" s="170"/>
      <c r="G648" s="170"/>
      <c r="H648" s="170"/>
      <c r="I648" s="170"/>
      <c r="J648" s="170"/>
      <c r="K648" s="170"/>
      <c r="L648" s="170"/>
    </row>
    <row r="649" customFormat="false" ht="15.75" hidden="false" customHeight="true" outlineLevel="0" collapsed="false">
      <c r="A649" s="170"/>
      <c r="B649" s="170"/>
      <c r="C649" s="170"/>
      <c r="E649" s="170"/>
      <c r="F649" s="170"/>
      <c r="G649" s="170"/>
      <c r="H649" s="170"/>
      <c r="I649" s="170"/>
      <c r="J649" s="170"/>
      <c r="K649" s="170"/>
      <c r="L649" s="170"/>
    </row>
    <row r="650" customFormat="false" ht="15.75" hidden="false" customHeight="true" outlineLevel="0" collapsed="false">
      <c r="A650" s="170"/>
      <c r="B650" s="170"/>
      <c r="C650" s="170"/>
      <c r="E650" s="170"/>
      <c r="F650" s="170"/>
      <c r="G650" s="170"/>
      <c r="H650" s="170"/>
      <c r="I650" s="170"/>
      <c r="J650" s="170"/>
      <c r="K650" s="170"/>
      <c r="L650" s="170"/>
    </row>
    <row r="651" customFormat="false" ht="15.75" hidden="false" customHeight="true" outlineLevel="0" collapsed="false">
      <c r="A651" s="170"/>
      <c r="B651" s="170"/>
      <c r="C651" s="170"/>
      <c r="E651" s="170"/>
      <c r="F651" s="170"/>
      <c r="G651" s="170"/>
      <c r="H651" s="170"/>
      <c r="I651" s="170"/>
      <c r="J651" s="170"/>
      <c r="K651" s="170"/>
      <c r="L651" s="170"/>
    </row>
    <row r="652" customFormat="false" ht="15.75" hidden="false" customHeight="true" outlineLevel="0" collapsed="false">
      <c r="A652" s="170"/>
      <c r="B652" s="170"/>
      <c r="C652" s="170"/>
      <c r="E652" s="170"/>
      <c r="F652" s="170"/>
      <c r="G652" s="170"/>
      <c r="H652" s="170"/>
      <c r="I652" s="170"/>
      <c r="J652" s="170"/>
      <c r="K652" s="170"/>
      <c r="L652" s="170"/>
    </row>
    <row r="653" customFormat="false" ht="15.75" hidden="false" customHeight="true" outlineLevel="0" collapsed="false">
      <c r="A653" s="170"/>
      <c r="B653" s="170"/>
      <c r="C653" s="170"/>
      <c r="E653" s="170"/>
      <c r="F653" s="170"/>
      <c r="G653" s="170"/>
      <c r="H653" s="170"/>
      <c r="I653" s="170"/>
      <c r="J653" s="170"/>
      <c r="K653" s="170"/>
      <c r="L653" s="170"/>
    </row>
    <row r="654" customFormat="false" ht="15.75" hidden="false" customHeight="true" outlineLevel="0" collapsed="false">
      <c r="A654" s="170"/>
      <c r="B654" s="170"/>
      <c r="C654" s="170"/>
      <c r="E654" s="170"/>
      <c r="F654" s="170"/>
      <c r="G654" s="170"/>
      <c r="H654" s="170"/>
      <c r="I654" s="170"/>
      <c r="J654" s="170"/>
      <c r="K654" s="170"/>
      <c r="L654" s="170"/>
    </row>
    <row r="655" customFormat="false" ht="15.75" hidden="false" customHeight="true" outlineLevel="0" collapsed="false">
      <c r="A655" s="170"/>
      <c r="B655" s="170"/>
      <c r="C655" s="170"/>
      <c r="E655" s="170"/>
      <c r="F655" s="170"/>
      <c r="G655" s="170"/>
      <c r="H655" s="170"/>
      <c r="I655" s="170"/>
      <c r="J655" s="170"/>
      <c r="K655" s="170"/>
      <c r="L655" s="170"/>
    </row>
    <row r="656" customFormat="false" ht="15.75" hidden="false" customHeight="true" outlineLevel="0" collapsed="false">
      <c r="A656" s="170"/>
      <c r="B656" s="170"/>
      <c r="C656" s="170"/>
      <c r="E656" s="170"/>
      <c r="F656" s="170"/>
      <c r="G656" s="170"/>
      <c r="H656" s="170"/>
      <c r="I656" s="170"/>
      <c r="J656" s="170"/>
      <c r="K656" s="170"/>
      <c r="L656" s="170"/>
    </row>
    <row r="657" customFormat="false" ht="15.75" hidden="false" customHeight="true" outlineLevel="0" collapsed="false">
      <c r="A657" s="170"/>
      <c r="B657" s="170"/>
      <c r="C657" s="170"/>
      <c r="E657" s="170"/>
      <c r="F657" s="170"/>
      <c r="G657" s="170"/>
      <c r="H657" s="170"/>
      <c r="I657" s="170"/>
      <c r="J657" s="170"/>
      <c r="K657" s="170"/>
      <c r="L657" s="170"/>
    </row>
    <row r="658" customFormat="false" ht="15.75" hidden="false" customHeight="true" outlineLevel="0" collapsed="false">
      <c r="A658" s="170"/>
      <c r="B658" s="170"/>
      <c r="C658" s="170"/>
      <c r="E658" s="170"/>
      <c r="F658" s="170"/>
      <c r="G658" s="170"/>
      <c r="H658" s="170"/>
      <c r="I658" s="170"/>
      <c r="J658" s="170"/>
      <c r="K658" s="170"/>
      <c r="L658" s="170"/>
    </row>
    <row r="659" customFormat="false" ht="15.75" hidden="false" customHeight="true" outlineLevel="0" collapsed="false">
      <c r="A659" s="170"/>
      <c r="B659" s="170"/>
      <c r="C659" s="170"/>
      <c r="E659" s="170"/>
      <c r="F659" s="170"/>
      <c r="G659" s="170"/>
      <c r="H659" s="170"/>
      <c r="I659" s="170"/>
      <c r="J659" s="170"/>
      <c r="K659" s="170"/>
      <c r="L659" s="170"/>
    </row>
    <row r="660" customFormat="false" ht="15.75" hidden="false" customHeight="true" outlineLevel="0" collapsed="false">
      <c r="A660" s="170"/>
      <c r="B660" s="170"/>
      <c r="C660" s="170"/>
      <c r="E660" s="170"/>
      <c r="F660" s="170"/>
      <c r="G660" s="170"/>
      <c r="H660" s="170"/>
      <c r="I660" s="170"/>
      <c r="J660" s="170"/>
      <c r="K660" s="170"/>
      <c r="L660" s="170"/>
    </row>
    <row r="661" customFormat="false" ht="15.75" hidden="false" customHeight="true" outlineLevel="0" collapsed="false">
      <c r="A661" s="170"/>
      <c r="B661" s="170"/>
      <c r="C661" s="170"/>
      <c r="E661" s="170"/>
      <c r="F661" s="170"/>
      <c r="G661" s="170"/>
      <c r="H661" s="170"/>
      <c r="I661" s="170"/>
      <c r="J661" s="170"/>
      <c r="K661" s="170"/>
      <c r="L661" s="170"/>
    </row>
    <row r="662" customFormat="false" ht="15.75" hidden="false" customHeight="true" outlineLevel="0" collapsed="false">
      <c r="A662" s="170"/>
      <c r="B662" s="170"/>
      <c r="C662" s="170"/>
      <c r="E662" s="170"/>
      <c r="F662" s="170"/>
      <c r="G662" s="170"/>
      <c r="H662" s="170"/>
      <c r="I662" s="170"/>
      <c r="J662" s="170"/>
      <c r="K662" s="170"/>
      <c r="L662" s="170"/>
    </row>
    <row r="663" customFormat="false" ht="15.75" hidden="false" customHeight="true" outlineLevel="0" collapsed="false">
      <c r="A663" s="170"/>
      <c r="B663" s="170"/>
      <c r="C663" s="170"/>
      <c r="E663" s="170"/>
      <c r="F663" s="170"/>
      <c r="G663" s="170"/>
      <c r="H663" s="170"/>
      <c r="I663" s="170"/>
      <c r="J663" s="170"/>
      <c r="K663" s="170"/>
      <c r="L663" s="170"/>
    </row>
    <row r="664" customFormat="false" ht="15.75" hidden="false" customHeight="true" outlineLevel="0" collapsed="false">
      <c r="A664" s="170"/>
      <c r="B664" s="170"/>
      <c r="C664" s="170"/>
      <c r="E664" s="170"/>
      <c r="F664" s="170"/>
      <c r="G664" s="170"/>
      <c r="H664" s="170"/>
      <c r="I664" s="170"/>
      <c r="J664" s="170"/>
      <c r="K664" s="170"/>
      <c r="L664" s="170"/>
    </row>
    <row r="665" customFormat="false" ht="15.75" hidden="false" customHeight="true" outlineLevel="0" collapsed="false">
      <c r="A665" s="170"/>
      <c r="B665" s="170"/>
      <c r="C665" s="170"/>
      <c r="E665" s="170"/>
      <c r="F665" s="170"/>
      <c r="G665" s="170"/>
      <c r="H665" s="170"/>
      <c r="I665" s="170"/>
      <c r="J665" s="170"/>
      <c r="K665" s="170"/>
      <c r="L665" s="170"/>
    </row>
    <row r="666" customFormat="false" ht="15.75" hidden="false" customHeight="true" outlineLevel="0" collapsed="false">
      <c r="A666" s="170"/>
      <c r="B666" s="170"/>
      <c r="C666" s="170"/>
      <c r="E666" s="170"/>
      <c r="F666" s="170"/>
      <c r="G666" s="170"/>
      <c r="H666" s="170"/>
      <c r="I666" s="170"/>
      <c r="J666" s="170"/>
      <c r="K666" s="170"/>
      <c r="L666" s="170"/>
    </row>
    <row r="667" customFormat="false" ht="15.75" hidden="false" customHeight="true" outlineLevel="0" collapsed="false">
      <c r="A667" s="170"/>
      <c r="B667" s="170"/>
      <c r="C667" s="170"/>
      <c r="E667" s="170"/>
      <c r="F667" s="170"/>
      <c r="G667" s="170"/>
      <c r="H667" s="170"/>
      <c r="I667" s="170"/>
      <c r="J667" s="170"/>
      <c r="K667" s="170"/>
      <c r="L667" s="170"/>
    </row>
    <row r="668" customFormat="false" ht="15.75" hidden="false" customHeight="true" outlineLevel="0" collapsed="false">
      <c r="A668" s="170"/>
      <c r="B668" s="170"/>
      <c r="C668" s="170"/>
      <c r="E668" s="170"/>
      <c r="F668" s="170"/>
      <c r="G668" s="170"/>
      <c r="H668" s="170"/>
      <c r="I668" s="170"/>
      <c r="J668" s="170"/>
      <c r="K668" s="170"/>
      <c r="L668" s="170"/>
    </row>
    <row r="669" customFormat="false" ht="15.75" hidden="false" customHeight="true" outlineLevel="0" collapsed="false">
      <c r="A669" s="170"/>
      <c r="B669" s="170"/>
      <c r="C669" s="170"/>
      <c r="E669" s="170"/>
      <c r="F669" s="170"/>
      <c r="G669" s="170"/>
      <c r="H669" s="170"/>
      <c r="I669" s="170"/>
      <c r="J669" s="170"/>
      <c r="K669" s="170"/>
      <c r="L669" s="170"/>
    </row>
    <row r="670" customFormat="false" ht="15.75" hidden="false" customHeight="true" outlineLevel="0" collapsed="false">
      <c r="A670" s="170"/>
      <c r="B670" s="170"/>
      <c r="C670" s="170"/>
      <c r="E670" s="170"/>
      <c r="F670" s="170"/>
      <c r="G670" s="170"/>
      <c r="H670" s="170"/>
      <c r="I670" s="170"/>
      <c r="J670" s="170"/>
      <c r="K670" s="170"/>
      <c r="L670" s="170"/>
    </row>
    <row r="671" customFormat="false" ht="15.75" hidden="false" customHeight="true" outlineLevel="0" collapsed="false">
      <c r="A671" s="170"/>
      <c r="B671" s="170"/>
      <c r="C671" s="170"/>
      <c r="E671" s="170"/>
      <c r="F671" s="170"/>
      <c r="G671" s="170"/>
      <c r="H671" s="170"/>
      <c r="I671" s="170"/>
      <c r="J671" s="170"/>
      <c r="K671" s="170"/>
      <c r="L671" s="170"/>
    </row>
    <row r="672" customFormat="false" ht="15.75" hidden="false" customHeight="true" outlineLevel="0" collapsed="false">
      <c r="A672" s="170"/>
      <c r="B672" s="170"/>
      <c r="C672" s="170"/>
      <c r="E672" s="170"/>
      <c r="F672" s="170"/>
      <c r="G672" s="170"/>
      <c r="H672" s="170"/>
      <c r="I672" s="170"/>
      <c r="J672" s="170"/>
      <c r="K672" s="170"/>
      <c r="L672" s="170"/>
    </row>
    <row r="673" customFormat="false" ht="15.75" hidden="false" customHeight="true" outlineLevel="0" collapsed="false">
      <c r="A673" s="170"/>
      <c r="B673" s="170"/>
      <c r="C673" s="170"/>
      <c r="E673" s="170"/>
      <c r="F673" s="170"/>
      <c r="G673" s="170"/>
      <c r="H673" s="170"/>
      <c r="I673" s="170"/>
      <c r="J673" s="170"/>
      <c r="K673" s="170"/>
      <c r="L673" s="170"/>
    </row>
    <row r="674" customFormat="false" ht="15.75" hidden="false" customHeight="true" outlineLevel="0" collapsed="false">
      <c r="A674" s="170"/>
      <c r="B674" s="170"/>
      <c r="C674" s="170"/>
      <c r="E674" s="170"/>
      <c r="F674" s="170"/>
      <c r="G674" s="170"/>
      <c r="H674" s="170"/>
      <c r="I674" s="170"/>
      <c r="J674" s="170"/>
      <c r="K674" s="170"/>
      <c r="L674" s="170"/>
    </row>
    <row r="675" customFormat="false" ht="15.75" hidden="false" customHeight="true" outlineLevel="0" collapsed="false">
      <c r="A675" s="170"/>
      <c r="B675" s="170"/>
      <c r="C675" s="170"/>
      <c r="E675" s="170"/>
      <c r="F675" s="170"/>
      <c r="G675" s="170"/>
      <c r="H675" s="170"/>
      <c r="I675" s="170"/>
      <c r="J675" s="170"/>
      <c r="K675" s="170"/>
      <c r="L675" s="170"/>
    </row>
    <row r="676" customFormat="false" ht="15.75" hidden="false" customHeight="true" outlineLevel="0" collapsed="false">
      <c r="A676" s="170"/>
      <c r="B676" s="170"/>
      <c r="C676" s="170"/>
      <c r="E676" s="170"/>
      <c r="F676" s="170"/>
      <c r="G676" s="170"/>
      <c r="H676" s="170"/>
      <c r="I676" s="170"/>
      <c r="J676" s="170"/>
      <c r="K676" s="170"/>
      <c r="L676" s="170"/>
    </row>
    <row r="677" customFormat="false" ht="15.75" hidden="false" customHeight="true" outlineLevel="0" collapsed="false">
      <c r="A677" s="170"/>
      <c r="B677" s="170"/>
      <c r="C677" s="170"/>
      <c r="E677" s="170"/>
      <c r="F677" s="170"/>
      <c r="G677" s="170"/>
      <c r="H677" s="170"/>
      <c r="I677" s="170"/>
      <c r="J677" s="170"/>
      <c r="K677" s="170"/>
      <c r="L677" s="170"/>
    </row>
    <row r="678" customFormat="false" ht="15.75" hidden="false" customHeight="true" outlineLevel="0" collapsed="false">
      <c r="A678" s="170"/>
      <c r="B678" s="170"/>
      <c r="C678" s="170"/>
      <c r="E678" s="170"/>
      <c r="F678" s="170"/>
      <c r="G678" s="170"/>
      <c r="H678" s="170"/>
      <c r="I678" s="170"/>
      <c r="J678" s="170"/>
      <c r="K678" s="170"/>
      <c r="L678" s="170"/>
    </row>
    <row r="679" customFormat="false" ht="15.75" hidden="false" customHeight="true" outlineLevel="0" collapsed="false">
      <c r="A679" s="170"/>
      <c r="B679" s="170"/>
      <c r="C679" s="170"/>
      <c r="E679" s="170"/>
      <c r="F679" s="170"/>
      <c r="G679" s="170"/>
      <c r="H679" s="170"/>
      <c r="I679" s="170"/>
      <c r="J679" s="170"/>
      <c r="K679" s="170"/>
      <c r="L679" s="170"/>
    </row>
    <row r="680" customFormat="false" ht="15.75" hidden="false" customHeight="true" outlineLevel="0" collapsed="false">
      <c r="A680" s="170"/>
      <c r="B680" s="170"/>
      <c r="C680" s="170"/>
      <c r="E680" s="170"/>
      <c r="F680" s="170"/>
      <c r="G680" s="170"/>
      <c r="H680" s="170"/>
      <c r="I680" s="170"/>
      <c r="J680" s="170"/>
      <c r="K680" s="170"/>
      <c r="L680" s="170"/>
    </row>
    <row r="681" customFormat="false" ht="15.75" hidden="false" customHeight="true" outlineLevel="0" collapsed="false">
      <c r="A681" s="170"/>
      <c r="B681" s="170"/>
      <c r="C681" s="170"/>
      <c r="E681" s="170"/>
      <c r="F681" s="170"/>
      <c r="G681" s="170"/>
      <c r="H681" s="170"/>
      <c r="I681" s="170"/>
      <c r="J681" s="170"/>
      <c r="K681" s="170"/>
      <c r="L681" s="170"/>
    </row>
    <row r="682" customFormat="false" ht="15.75" hidden="false" customHeight="true" outlineLevel="0" collapsed="false">
      <c r="A682" s="170"/>
      <c r="B682" s="170"/>
      <c r="C682" s="170"/>
      <c r="E682" s="170"/>
      <c r="F682" s="170"/>
      <c r="G682" s="170"/>
      <c r="H682" s="170"/>
      <c r="I682" s="170"/>
      <c r="J682" s="170"/>
      <c r="K682" s="170"/>
      <c r="L682" s="170"/>
    </row>
    <row r="683" customFormat="false" ht="15.75" hidden="false" customHeight="true" outlineLevel="0" collapsed="false">
      <c r="A683" s="170"/>
      <c r="B683" s="170"/>
      <c r="C683" s="170"/>
      <c r="E683" s="170"/>
      <c r="F683" s="170"/>
      <c r="G683" s="170"/>
      <c r="H683" s="170"/>
      <c r="I683" s="170"/>
      <c r="J683" s="170"/>
      <c r="K683" s="170"/>
      <c r="L683" s="170"/>
    </row>
    <row r="684" customFormat="false" ht="15.75" hidden="false" customHeight="true" outlineLevel="0" collapsed="false">
      <c r="A684" s="170"/>
      <c r="B684" s="170"/>
      <c r="C684" s="170"/>
      <c r="E684" s="170"/>
      <c r="F684" s="170"/>
      <c r="G684" s="170"/>
      <c r="H684" s="170"/>
      <c r="I684" s="170"/>
      <c r="J684" s="170"/>
      <c r="K684" s="170"/>
      <c r="L684" s="170"/>
    </row>
    <row r="685" customFormat="false" ht="15.75" hidden="false" customHeight="true" outlineLevel="0" collapsed="false">
      <c r="A685" s="170"/>
      <c r="B685" s="170"/>
      <c r="C685" s="170"/>
      <c r="E685" s="170"/>
      <c r="F685" s="170"/>
      <c r="G685" s="170"/>
      <c r="H685" s="170"/>
      <c r="I685" s="170"/>
      <c r="J685" s="170"/>
      <c r="K685" s="170"/>
      <c r="L685" s="170"/>
    </row>
    <row r="686" customFormat="false" ht="15.75" hidden="false" customHeight="true" outlineLevel="0" collapsed="false">
      <c r="A686" s="170"/>
      <c r="B686" s="170"/>
      <c r="C686" s="170"/>
      <c r="E686" s="170"/>
      <c r="F686" s="170"/>
      <c r="G686" s="170"/>
      <c r="H686" s="170"/>
      <c r="I686" s="170"/>
      <c r="J686" s="170"/>
      <c r="K686" s="170"/>
      <c r="L686" s="170"/>
    </row>
    <row r="687" customFormat="false" ht="15.75" hidden="false" customHeight="true" outlineLevel="0" collapsed="false">
      <c r="A687" s="170"/>
      <c r="B687" s="170"/>
      <c r="C687" s="170"/>
      <c r="E687" s="170"/>
      <c r="F687" s="170"/>
      <c r="G687" s="170"/>
      <c r="H687" s="170"/>
      <c r="I687" s="170"/>
      <c r="J687" s="170"/>
      <c r="K687" s="170"/>
      <c r="L687" s="170"/>
    </row>
    <row r="688" customFormat="false" ht="15.75" hidden="false" customHeight="true" outlineLevel="0" collapsed="false">
      <c r="A688" s="170"/>
      <c r="B688" s="170"/>
      <c r="C688" s="170"/>
      <c r="E688" s="170"/>
      <c r="F688" s="170"/>
      <c r="G688" s="170"/>
      <c r="H688" s="170"/>
      <c r="I688" s="170"/>
      <c r="J688" s="170"/>
      <c r="K688" s="170"/>
      <c r="L688" s="170"/>
    </row>
    <row r="689" customFormat="false" ht="15.75" hidden="false" customHeight="true" outlineLevel="0" collapsed="false">
      <c r="A689" s="170"/>
      <c r="B689" s="170"/>
      <c r="C689" s="170"/>
      <c r="E689" s="170"/>
      <c r="F689" s="170"/>
      <c r="G689" s="170"/>
      <c r="H689" s="170"/>
      <c r="I689" s="170"/>
      <c r="J689" s="170"/>
      <c r="K689" s="170"/>
      <c r="L689" s="170"/>
    </row>
    <row r="690" customFormat="false" ht="15.75" hidden="false" customHeight="true" outlineLevel="0" collapsed="false">
      <c r="A690" s="170"/>
      <c r="B690" s="170"/>
      <c r="C690" s="170"/>
      <c r="E690" s="170"/>
      <c r="F690" s="170"/>
      <c r="G690" s="170"/>
      <c r="H690" s="170"/>
      <c r="I690" s="170"/>
      <c r="J690" s="170"/>
      <c r="K690" s="170"/>
      <c r="L690" s="170"/>
    </row>
    <row r="691" customFormat="false" ht="15.75" hidden="false" customHeight="true" outlineLevel="0" collapsed="false">
      <c r="A691" s="170"/>
      <c r="B691" s="170"/>
      <c r="C691" s="170"/>
      <c r="E691" s="170"/>
      <c r="F691" s="170"/>
      <c r="G691" s="170"/>
      <c r="H691" s="170"/>
      <c r="I691" s="170"/>
      <c r="J691" s="170"/>
      <c r="K691" s="170"/>
      <c r="L691" s="170"/>
    </row>
    <row r="692" customFormat="false" ht="15.75" hidden="false" customHeight="true" outlineLevel="0" collapsed="false">
      <c r="A692" s="170"/>
      <c r="B692" s="170"/>
      <c r="C692" s="170"/>
      <c r="E692" s="170"/>
      <c r="F692" s="170"/>
      <c r="G692" s="170"/>
      <c r="H692" s="170"/>
      <c r="I692" s="170"/>
      <c r="J692" s="170"/>
      <c r="K692" s="170"/>
      <c r="L692" s="170"/>
    </row>
    <row r="693" customFormat="false" ht="15.75" hidden="false" customHeight="true" outlineLevel="0" collapsed="false">
      <c r="A693" s="170"/>
      <c r="B693" s="170"/>
      <c r="C693" s="170"/>
      <c r="E693" s="170"/>
      <c r="F693" s="170"/>
      <c r="G693" s="170"/>
      <c r="H693" s="170"/>
      <c r="I693" s="170"/>
      <c r="J693" s="170"/>
      <c r="K693" s="170"/>
      <c r="L693" s="170"/>
    </row>
    <row r="694" customFormat="false" ht="15.75" hidden="false" customHeight="true" outlineLevel="0" collapsed="false">
      <c r="A694" s="170"/>
      <c r="B694" s="170"/>
      <c r="C694" s="170"/>
      <c r="E694" s="170"/>
      <c r="F694" s="170"/>
      <c r="G694" s="170"/>
      <c r="H694" s="170"/>
      <c r="I694" s="170"/>
      <c r="J694" s="170"/>
      <c r="K694" s="170"/>
      <c r="L694" s="170"/>
    </row>
    <row r="695" customFormat="false" ht="15.75" hidden="false" customHeight="true" outlineLevel="0" collapsed="false">
      <c r="A695" s="170"/>
      <c r="B695" s="170"/>
      <c r="C695" s="170"/>
      <c r="E695" s="170"/>
      <c r="F695" s="170"/>
      <c r="G695" s="170"/>
      <c r="H695" s="170"/>
      <c r="I695" s="170"/>
      <c r="J695" s="170"/>
      <c r="K695" s="170"/>
      <c r="L695" s="170"/>
    </row>
    <row r="696" customFormat="false" ht="15.75" hidden="false" customHeight="true" outlineLevel="0" collapsed="false">
      <c r="A696" s="170"/>
      <c r="B696" s="170"/>
      <c r="C696" s="170"/>
      <c r="E696" s="170"/>
      <c r="F696" s="170"/>
      <c r="G696" s="170"/>
      <c r="H696" s="170"/>
      <c r="I696" s="170"/>
      <c r="J696" s="170"/>
      <c r="K696" s="170"/>
      <c r="L696" s="170"/>
    </row>
    <row r="697" customFormat="false" ht="15.75" hidden="false" customHeight="true" outlineLevel="0" collapsed="false">
      <c r="A697" s="170"/>
      <c r="B697" s="170"/>
      <c r="C697" s="170"/>
      <c r="E697" s="170"/>
      <c r="F697" s="170"/>
      <c r="G697" s="170"/>
      <c r="H697" s="170"/>
      <c r="I697" s="170"/>
      <c r="J697" s="170"/>
      <c r="K697" s="170"/>
      <c r="L697" s="170"/>
    </row>
    <row r="698" customFormat="false" ht="15.75" hidden="false" customHeight="true" outlineLevel="0" collapsed="false">
      <c r="A698" s="170"/>
      <c r="B698" s="170"/>
      <c r="C698" s="170"/>
      <c r="E698" s="170"/>
      <c r="F698" s="170"/>
      <c r="G698" s="170"/>
      <c r="H698" s="170"/>
      <c r="I698" s="170"/>
      <c r="J698" s="170"/>
      <c r="K698" s="170"/>
      <c r="L698" s="170"/>
    </row>
    <row r="699" customFormat="false" ht="15.75" hidden="false" customHeight="true" outlineLevel="0" collapsed="false">
      <c r="A699" s="170"/>
      <c r="B699" s="170"/>
      <c r="C699" s="170"/>
      <c r="E699" s="170"/>
      <c r="F699" s="170"/>
      <c r="G699" s="170"/>
      <c r="H699" s="170"/>
      <c r="I699" s="170"/>
      <c r="J699" s="170"/>
      <c r="K699" s="170"/>
      <c r="L699" s="170"/>
    </row>
    <row r="700" customFormat="false" ht="15.75" hidden="false" customHeight="true" outlineLevel="0" collapsed="false">
      <c r="A700" s="170"/>
      <c r="B700" s="170"/>
      <c r="C700" s="170"/>
      <c r="E700" s="170"/>
      <c r="F700" s="170"/>
      <c r="G700" s="170"/>
      <c r="H700" s="170"/>
      <c r="I700" s="170"/>
      <c r="J700" s="170"/>
      <c r="K700" s="170"/>
      <c r="L700" s="170"/>
    </row>
    <row r="701" customFormat="false" ht="15.75" hidden="false" customHeight="true" outlineLevel="0" collapsed="false">
      <c r="A701" s="170"/>
      <c r="B701" s="170"/>
      <c r="C701" s="170"/>
      <c r="E701" s="170"/>
      <c r="F701" s="170"/>
      <c r="G701" s="170"/>
      <c r="H701" s="170"/>
      <c r="I701" s="170"/>
      <c r="J701" s="170"/>
      <c r="K701" s="170"/>
      <c r="L701" s="170"/>
    </row>
    <row r="702" customFormat="false" ht="15.75" hidden="false" customHeight="true" outlineLevel="0" collapsed="false">
      <c r="A702" s="170"/>
      <c r="B702" s="170"/>
      <c r="C702" s="170"/>
      <c r="E702" s="170"/>
      <c r="F702" s="170"/>
      <c r="G702" s="170"/>
      <c r="H702" s="170"/>
      <c r="I702" s="170"/>
      <c r="J702" s="170"/>
      <c r="K702" s="170"/>
      <c r="L702" s="170"/>
    </row>
    <row r="703" customFormat="false" ht="15.75" hidden="false" customHeight="true" outlineLevel="0" collapsed="false">
      <c r="A703" s="170"/>
      <c r="B703" s="170"/>
      <c r="C703" s="170"/>
      <c r="E703" s="170"/>
      <c r="F703" s="170"/>
      <c r="G703" s="170"/>
      <c r="H703" s="170"/>
      <c r="I703" s="170"/>
      <c r="J703" s="170"/>
      <c r="K703" s="170"/>
      <c r="L703" s="170"/>
    </row>
    <row r="704" customFormat="false" ht="15.75" hidden="false" customHeight="true" outlineLevel="0" collapsed="false">
      <c r="A704" s="170"/>
      <c r="B704" s="170"/>
      <c r="C704" s="170"/>
      <c r="E704" s="170"/>
      <c r="F704" s="170"/>
      <c r="G704" s="170"/>
      <c r="H704" s="170"/>
      <c r="I704" s="170"/>
      <c r="J704" s="170"/>
      <c r="K704" s="170"/>
      <c r="L704" s="170"/>
    </row>
    <row r="705" customFormat="false" ht="15.75" hidden="false" customHeight="true" outlineLevel="0" collapsed="false">
      <c r="A705" s="170"/>
      <c r="B705" s="170"/>
      <c r="C705" s="170"/>
      <c r="E705" s="170"/>
      <c r="F705" s="170"/>
      <c r="G705" s="170"/>
      <c r="H705" s="170"/>
      <c r="I705" s="170"/>
      <c r="J705" s="170"/>
      <c r="K705" s="170"/>
      <c r="L705" s="170"/>
    </row>
    <row r="706" customFormat="false" ht="15.75" hidden="false" customHeight="true" outlineLevel="0" collapsed="false">
      <c r="A706" s="170"/>
      <c r="B706" s="170"/>
      <c r="C706" s="170"/>
      <c r="E706" s="170"/>
      <c r="F706" s="170"/>
      <c r="G706" s="170"/>
      <c r="H706" s="170"/>
      <c r="I706" s="170"/>
      <c r="J706" s="170"/>
      <c r="K706" s="170"/>
      <c r="L706" s="170"/>
    </row>
    <row r="707" customFormat="false" ht="15.75" hidden="false" customHeight="true" outlineLevel="0" collapsed="false">
      <c r="A707" s="170"/>
      <c r="B707" s="170"/>
      <c r="C707" s="170"/>
      <c r="E707" s="170"/>
      <c r="F707" s="170"/>
      <c r="G707" s="170"/>
      <c r="H707" s="170"/>
      <c r="I707" s="170"/>
      <c r="J707" s="170"/>
      <c r="K707" s="170"/>
      <c r="L707" s="170"/>
    </row>
    <row r="708" customFormat="false" ht="15.75" hidden="false" customHeight="true" outlineLevel="0" collapsed="false">
      <c r="A708" s="170"/>
      <c r="B708" s="170"/>
      <c r="C708" s="170"/>
      <c r="E708" s="170"/>
      <c r="F708" s="170"/>
      <c r="G708" s="170"/>
      <c r="H708" s="170"/>
      <c r="I708" s="170"/>
      <c r="J708" s="170"/>
      <c r="K708" s="170"/>
      <c r="L708" s="170"/>
    </row>
    <row r="709" customFormat="false" ht="15.75" hidden="false" customHeight="true" outlineLevel="0" collapsed="false">
      <c r="A709" s="170"/>
      <c r="B709" s="170"/>
      <c r="C709" s="170"/>
      <c r="E709" s="170"/>
      <c r="F709" s="170"/>
      <c r="G709" s="170"/>
      <c r="H709" s="170"/>
      <c r="I709" s="170"/>
      <c r="J709" s="170"/>
      <c r="K709" s="170"/>
      <c r="L709" s="170"/>
    </row>
    <row r="710" customFormat="false" ht="15.75" hidden="false" customHeight="true" outlineLevel="0" collapsed="false">
      <c r="A710" s="170"/>
      <c r="B710" s="170"/>
      <c r="C710" s="170"/>
      <c r="E710" s="170"/>
      <c r="F710" s="170"/>
      <c r="G710" s="170"/>
      <c r="H710" s="170"/>
      <c r="I710" s="170"/>
      <c r="J710" s="170"/>
      <c r="K710" s="170"/>
      <c r="L710" s="170"/>
    </row>
    <row r="711" customFormat="false" ht="15.75" hidden="false" customHeight="true" outlineLevel="0" collapsed="false">
      <c r="A711" s="170"/>
      <c r="B711" s="170"/>
      <c r="C711" s="170"/>
      <c r="E711" s="170"/>
      <c r="F711" s="170"/>
      <c r="G711" s="170"/>
      <c r="H711" s="170"/>
      <c r="I711" s="170"/>
      <c r="J711" s="170"/>
      <c r="K711" s="170"/>
      <c r="L711" s="170"/>
    </row>
    <row r="712" customFormat="false" ht="15.75" hidden="false" customHeight="true" outlineLevel="0" collapsed="false">
      <c r="A712" s="170"/>
      <c r="B712" s="170"/>
      <c r="C712" s="170"/>
      <c r="E712" s="170"/>
      <c r="F712" s="170"/>
      <c r="G712" s="170"/>
      <c r="H712" s="170"/>
      <c r="I712" s="170"/>
      <c r="J712" s="170"/>
      <c r="K712" s="170"/>
      <c r="L712" s="170"/>
    </row>
    <row r="713" customFormat="false" ht="15.75" hidden="false" customHeight="true" outlineLevel="0" collapsed="false">
      <c r="A713" s="170"/>
      <c r="B713" s="170"/>
      <c r="C713" s="170"/>
      <c r="E713" s="170"/>
      <c r="F713" s="170"/>
      <c r="G713" s="170"/>
      <c r="H713" s="170"/>
      <c r="I713" s="170"/>
      <c r="J713" s="170"/>
      <c r="K713" s="170"/>
      <c r="L713" s="170"/>
    </row>
    <row r="714" customFormat="false" ht="15.75" hidden="false" customHeight="true" outlineLevel="0" collapsed="false">
      <c r="A714" s="170"/>
      <c r="B714" s="170"/>
      <c r="C714" s="170"/>
      <c r="E714" s="170"/>
      <c r="F714" s="170"/>
      <c r="G714" s="170"/>
      <c r="H714" s="170"/>
      <c r="I714" s="170"/>
      <c r="J714" s="170"/>
      <c r="K714" s="170"/>
      <c r="L714" s="170"/>
    </row>
    <row r="715" customFormat="false" ht="15.75" hidden="false" customHeight="true" outlineLevel="0" collapsed="false">
      <c r="A715" s="170"/>
      <c r="B715" s="170"/>
      <c r="C715" s="170"/>
      <c r="E715" s="170"/>
      <c r="F715" s="170"/>
      <c r="G715" s="170"/>
      <c r="H715" s="170"/>
      <c r="I715" s="170"/>
      <c r="J715" s="170"/>
      <c r="K715" s="170"/>
      <c r="L715" s="170"/>
    </row>
    <row r="716" customFormat="false" ht="15.75" hidden="false" customHeight="true" outlineLevel="0" collapsed="false">
      <c r="A716" s="170"/>
      <c r="B716" s="170"/>
      <c r="C716" s="170"/>
      <c r="E716" s="170"/>
      <c r="F716" s="170"/>
      <c r="G716" s="170"/>
      <c r="H716" s="170"/>
      <c r="I716" s="170"/>
      <c r="J716" s="170"/>
      <c r="K716" s="170"/>
      <c r="L716" s="170"/>
    </row>
    <row r="717" customFormat="false" ht="15.75" hidden="false" customHeight="true" outlineLevel="0" collapsed="false">
      <c r="A717" s="170"/>
      <c r="B717" s="170"/>
      <c r="C717" s="170"/>
      <c r="E717" s="170"/>
      <c r="F717" s="170"/>
      <c r="G717" s="170"/>
      <c r="H717" s="170"/>
      <c r="I717" s="170"/>
      <c r="J717" s="170"/>
      <c r="K717" s="170"/>
      <c r="L717" s="170"/>
    </row>
    <row r="718" customFormat="false" ht="15.75" hidden="false" customHeight="true" outlineLevel="0" collapsed="false">
      <c r="A718" s="170"/>
      <c r="B718" s="170"/>
      <c r="C718" s="170"/>
      <c r="E718" s="170"/>
      <c r="F718" s="170"/>
      <c r="G718" s="170"/>
      <c r="H718" s="170"/>
      <c r="I718" s="170"/>
      <c r="J718" s="170"/>
      <c r="K718" s="170"/>
      <c r="L718" s="170"/>
    </row>
    <row r="719" customFormat="false" ht="15.75" hidden="false" customHeight="true" outlineLevel="0" collapsed="false">
      <c r="A719" s="170"/>
      <c r="B719" s="170"/>
      <c r="C719" s="170"/>
      <c r="E719" s="170"/>
      <c r="F719" s="170"/>
      <c r="G719" s="170"/>
      <c r="H719" s="170"/>
      <c r="I719" s="170"/>
      <c r="J719" s="170"/>
      <c r="K719" s="170"/>
      <c r="L719" s="170"/>
    </row>
    <row r="720" customFormat="false" ht="15.75" hidden="false" customHeight="true" outlineLevel="0" collapsed="false">
      <c r="A720" s="170"/>
      <c r="B720" s="170"/>
      <c r="C720" s="170"/>
      <c r="E720" s="170"/>
      <c r="F720" s="170"/>
      <c r="G720" s="170"/>
      <c r="H720" s="170"/>
      <c r="I720" s="170"/>
      <c r="J720" s="170"/>
      <c r="K720" s="170"/>
      <c r="L720" s="170"/>
    </row>
    <row r="721" customFormat="false" ht="15.75" hidden="false" customHeight="true" outlineLevel="0" collapsed="false">
      <c r="A721" s="170"/>
      <c r="B721" s="170"/>
      <c r="C721" s="170"/>
      <c r="E721" s="170"/>
      <c r="F721" s="170"/>
      <c r="G721" s="170"/>
      <c r="H721" s="170"/>
      <c r="I721" s="170"/>
      <c r="J721" s="170"/>
      <c r="K721" s="170"/>
      <c r="L721" s="170"/>
    </row>
    <row r="722" customFormat="false" ht="15.75" hidden="false" customHeight="true" outlineLevel="0" collapsed="false">
      <c r="A722" s="170"/>
      <c r="B722" s="170"/>
      <c r="C722" s="170"/>
      <c r="E722" s="170"/>
      <c r="F722" s="170"/>
      <c r="G722" s="170"/>
      <c r="H722" s="170"/>
      <c r="I722" s="170"/>
      <c r="J722" s="170"/>
      <c r="K722" s="170"/>
      <c r="L722" s="170"/>
    </row>
    <row r="723" customFormat="false" ht="15.75" hidden="false" customHeight="true" outlineLevel="0" collapsed="false">
      <c r="A723" s="170"/>
      <c r="B723" s="170"/>
      <c r="C723" s="170"/>
      <c r="E723" s="170"/>
      <c r="F723" s="170"/>
      <c r="G723" s="170"/>
      <c r="H723" s="170"/>
      <c r="I723" s="170"/>
      <c r="J723" s="170"/>
      <c r="K723" s="170"/>
      <c r="L723" s="170"/>
    </row>
    <row r="724" customFormat="false" ht="15.75" hidden="false" customHeight="true" outlineLevel="0" collapsed="false">
      <c r="A724" s="170"/>
      <c r="B724" s="170"/>
      <c r="C724" s="170"/>
      <c r="E724" s="170"/>
      <c r="F724" s="170"/>
      <c r="G724" s="170"/>
      <c r="H724" s="170"/>
      <c r="I724" s="170"/>
      <c r="J724" s="170"/>
      <c r="K724" s="170"/>
      <c r="L724" s="170"/>
    </row>
    <row r="725" customFormat="false" ht="15.75" hidden="false" customHeight="true" outlineLevel="0" collapsed="false">
      <c r="A725" s="170"/>
      <c r="B725" s="170"/>
      <c r="C725" s="170"/>
      <c r="E725" s="170"/>
      <c r="F725" s="170"/>
      <c r="G725" s="170"/>
      <c r="H725" s="170"/>
      <c r="I725" s="170"/>
      <c r="J725" s="170"/>
      <c r="K725" s="170"/>
      <c r="L725" s="170"/>
    </row>
    <row r="726" customFormat="false" ht="15.75" hidden="false" customHeight="true" outlineLevel="0" collapsed="false">
      <c r="A726" s="170"/>
      <c r="B726" s="170"/>
      <c r="C726" s="170"/>
      <c r="E726" s="170"/>
      <c r="F726" s="170"/>
      <c r="G726" s="170"/>
      <c r="H726" s="170"/>
      <c r="I726" s="170"/>
      <c r="J726" s="170"/>
      <c r="K726" s="170"/>
      <c r="L726" s="170"/>
    </row>
    <row r="727" customFormat="false" ht="15.75" hidden="false" customHeight="true" outlineLevel="0" collapsed="false">
      <c r="A727" s="170"/>
      <c r="B727" s="170"/>
      <c r="C727" s="170"/>
      <c r="E727" s="170"/>
      <c r="F727" s="170"/>
      <c r="G727" s="170"/>
      <c r="H727" s="170"/>
      <c r="I727" s="170"/>
      <c r="J727" s="170"/>
      <c r="K727" s="170"/>
      <c r="L727" s="170"/>
    </row>
    <row r="728" customFormat="false" ht="15.75" hidden="false" customHeight="true" outlineLevel="0" collapsed="false">
      <c r="A728" s="170"/>
      <c r="B728" s="170"/>
      <c r="C728" s="170"/>
      <c r="E728" s="170"/>
      <c r="F728" s="170"/>
      <c r="G728" s="170"/>
      <c r="H728" s="170"/>
      <c r="I728" s="170"/>
      <c r="J728" s="170"/>
      <c r="K728" s="170"/>
      <c r="L728" s="170"/>
    </row>
    <row r="729" customFormat="false" ht="15.75" hidden="false" customHeight="true" outlineLevel="0" collapsed="false">
      <c r="A729" s="170"/>
      <c r="B729" s="170"/>
      <c r="C729" s="170"/>
      <c r="E729" s="170"/>
      <c r="F729" s="170"/>
      <c r="G729" s="170"/>
      <c r="H729" s="170"/>
      <c r="I729" s="170"/>
      <c r="J729" s="170"/>
      <c r="K729" s="170"/>
      <c r="L729" s="170"/>
    </row>
    <row r="730" customFormat="false" ht="15.75" hidden="false" customHeight="true" outlineLevel="0" collapsed="false">
      <c r="A730" s="170"/>
      <c r="B730" s="170"/>
      <c r="C730" s="170"/>
      <c r="E730" s="170"/>
      <c r="F730" s="170"/>
      <c r="G730" s="170"/>
      <c r="H730" s="170"/>
      <c r="I730" s="170"/>
      <c r="J730" s="170"/>
      <c r="K730" s="170"/>
      <c r="L730" s="170"/>
    </row>
    <row r="731" customFormat="false" ht="15.75" hidden="false" customHeight="true" outlineLevel="0" collapsed="false">
      <c r="A731" s="170"/>
      <c r="B731" s="170"/>
      <c r="C731" s="170"/>
      <c r="E731" s="170"/>
      <c r="F731" s="170"/>
      <c r="G731" s="170"/>
      <c r="H731" s="170"/>
      <c r="I731" s="170"/>
      <c r="J731" s="170"/>
      <c r="K731" s="170"/>
      <c r="L731" s="170"/>
    </row>
    <row r="732" customFormat="false" ht="15.75" hidden="false" customHeight="true" outlineLevel="0" collapsed="false">
      <c r="A732" s="170"/>
      <c r="B732" s="170"/>
      <c r="C732" s="170"/>
      <c r="E732" s="170"/>
      <c r="F732" s="170"/>
      <c r="G732" s="170"/>
      <c r="H732" s="170"/>
      <c r="I732" s="170"/>
      <c r="J732" s="170"/>
      <c r="K732" s="170"/>
      <c r="L732" s="170"/>
    </row>
    <row r="733" customFormat="false" ht="15.75" hidden="false" customHeight="true" outlineLevel="0" collapsed="false">
      <c r="A733" s="170"/>
      <c r="B733" s="170"/>
      <c r="C733" s="170"/>
      <c r="E733" s="170"/>
      <c r="F733" s="170"/>
      <c r="G733" s="170"/>
      <c r="H733" s="170"/>
      <c r="I733" s="170"/>
      <c r="J733" s="170"/>
      <c r="K733" s="170"/>
      <c r="L733" s="170"/>
    </row>
    <row r="734" customFormat="false" ht="15.75" hidden="false" customHeight="true" outlineLevel="0" collapsed="false">
      <c r="A734" s="170"/>
      <c r="B734" s="170"/>
      <c r="C734" s="170"/>
      <c r="E734" s="170"/>
      <c r="F734" s="170"/>
      <c r="G734" s="170"/>
      <c r="H734" s="170"/>
      <c r="I734" s="170"/>
      <c r="J734" s="170"/>
      <c r="K734" s="170"/>
      <c r="L734" s="170"/>
    </row>
    <row r="735" customFormat="false" ht="15.75" hidden="false" customHeight="true" outlineLevel="0" collapsed="false">
      <c r="A735" s="170"/>
      <c r="B735" s="170"/>
      <c r="C735" s="170"/>
      <c r="E735" s="170"/>
      <c r="F735" s="170"/>
      <c r="G735" s="170"/>
      <c r="H735" s="170"/>
      <c r="I735" s="170"/>
      <c r="J735" s="170"/>
      <c r="K735" s="170"/>
      <c r="L735" s="170"/>
    </row>
    <row r="736" customFormat="false" ht="15.75" hidden="false" customHeight="true" outlineLevel="0" collapsed="false">
      <c r="A736" s="170"/>
      <c r="B736" s="170"/>
      <c r="C736" s="170"/>
      <c r="E736" s="170"/>
      <c r="F736" s="170"/>
      <c r="G736" s="170"/>
      <c r="H736" s="170"/>
      <c r="I736" s="170"/>
      <c r="J736" s="170"/>
      <c r="K736" s="170"/>
      <c r="L736" s="170"/>
    </row>
    <row r="737" customFormat="false" ht="15.75" hidden="false" customHeight="true" outlineLevel="0" collapsed="false">
      <c r="A737" s="170"/>
      <c r="B737" s="170"/>
      <c r="C737" s="170"/>
      <c r="E737" s="170"/>
      <c r="F737" s="170"/>
      <c r="G737" s="170"/>
      <c r="H737" s="170"/>
      <c r="I737" s="170"/>
      <c r="J737" s="170"/>
      <c r="K737" s="170"/>
      <c r="L737" s="170"/>
    </row>
    <row r="738" customFormat="false" ht="15.75" hidden="false" customHeight="true" outlineLevel="0" collapsed="false">
      <c r="A738" s="170"/>
      <c r="B738" s="170"/>
      <c r="C738" s="170"/>
      <c r="E738" s="170"/>
      <c r="F738" s="170"/>
      <c r="G738" s="170"/>
      <c r="H738" s="170"/>
      <c r="I738" s="170"/>
      <c r="J738" s="170"/>
      <c r="K738" s="170"/>
      <c r="L738" s="170"/>
    </row>
    <row r="739" customFormat="false" ht="15.75" hidden="false" customHeight="true" outlineLevel="0" collapsed="false">
      <c r="A739" s="170"/>
      <c r="B739" s="170"/>
      <c r="C739" s="170"/>
      <c r="E739" s="170"/>
      <c r="F739" s="170"/>
      <c r="G739" s="170"/>
      <c r="H739" s="170"/>
      <c r="I739" s="170"/>
      <c r="J739" s="170"/>
      <c r="K739" s="170"/>
      <c r="L739" s="170"/>
    </row>
    <row r="740" customFormat="false" ht="15.75" hidden="false" customHeight="true" outlineLevel="0" collapsed="false">
      <c r="A740" s="170"/>
      <c r="B740" s="170"/>
      <c r="C740" s="170"/>
      <c r="E740" s="170"/>
      <c r="F740" s="170"/>
      <c r="G740" s="170"/>
      <c r="H740" s="170"/>
      <c r="I740" s="170"/>
      <c r="J740" s="170"/>
      <c r="K740" s="170"/>
      <c r="L740" s="170"/>
    </row>
    <row r="741" customFormat="false" ht="15.75" hidden="false" customHeight="true" outlineLevel="0" collapsed="false">
      <c r="A741" s="170"/>
      <c r="B741" s="170"/>
      <c r="C741" s="170"/>
      <c r="E741" s="170"/>
      <c r="F741" s="170"/>
      <c r="G741" s="170"/>
      <c r="H741" s="170"/>
      <c r="I741" s="170"/>
      <c r="J741" s="170"/>
      <c r="K741" s="170"/>
      <c r="L741" s="170"/>
    </row>
    <row r="742" customFormat="false" ht="15.75" hidden="false" customHeight="true" outlineLevel="0" collapsed="false">
      <c r="A742" s="170"/>
      <c r="B742" s="170"/>
      <c r="C742" s="170"/>
      <c r="E742" s="170"/>
      <c r="F742" s="170"/>
      <c r="G742" s="170"/>
      <c r="H742" s="170"/>
      <c r="I742" s="170"/>
      <c r="J742" s="170"/>
      <c r="K742" s="170"/>
      <c r="L742" s="170"/>
    </row>
    <row r="743" customFormat="false" ht="15.75" hidden="false" customHeight="true" outlineLevel="0" collapsed="false">
      <c r="A743" s="170"/>
      <c r="B743" s="170"/>
      <c r="C743" s="170"/>
      <c r="E743" s="170"/>
      <c r="F743" s="170"/>
      <c r="G743" s="170"/>
      <c r="H743" s="170"/>
      <c r="I743" s="170"/>
      <c r="J743" s="170"/>
      <c r="K743" s="170"/>
      <c r="L743" s="170"/>
    </row>
    <row r="744" customFormat="false" ht="15.75" hidden="false" customHeight="true" outlineLevel="0" collapsed="false">
      <c r="A744" s="170"/>
      <c r="B744" s="170"/>
      <c r="C744" s="170"/>
      <c r="E744" s="170"/>
      <c r="F744" s="170"/>
      <c r="G744" s="170"/>
      <c r="H744" s="170"/>
      <c r="I744" s="170"/>
      <c r="J744" s="170"/>
      <c r="K744" s="170"/>
      <c r="L744" s="170"/>
    </row>
    <row r="745" customFormat="false" ht="15.75" hidden="false" customHeight="true" outlineLevel="0" collapsed="false">
      <c r="A745" s="170"/>
      <c r="B745" s="170"/>
      <c r="C745" s="170"/>
      <c r="E745" s="170"/>
      <c r="F745" s="170"/>
      <c r="G745" s="170"/>
      <c r="H745" s="170"/>
      <c r="I745" s="170"/>
      <c r="J745" s="170"/>
      <c r="K745" s="170"/>
      <c r="L745" s="170"/>
    </row>
    <row r="746" customFormat="false" ht="15.75" hidden="false" customHeight="true" outlineLevel="0" collapsed="false">
      <c r="A746" s="170"/>
      <c r="B746" s="170"/>
      <c r="C746" s="170"/>
      <c r="E746" s="170"/>
      <c r="F746" s="170"/>
      <c r="G746" s="170"/>
      <c r="H746" s="170"/>
      <c r="I746" s="170"/>
      <c r="J746" s="170"/>
      <c r="K746" s="170"/>
      <c r="L746" s="170"/>
    </row>
    <row r="747" customFormat="false" ht="15.75" hidden="false" customHeight="true" outlineLevel="0" collapsed="false">
      <c r="A747" s="170"/>
      <c r="B747" s="170"/>
      <c r="C747" s="170"/>
      <c r="E747" s="170"/>
      <c r="F747" s="170"/>
      <c r="G747" s="170"/>
      <c r="H747" s="170"/>
      <c r="I747" s="170"/>
      <c r="J747" s="170"/>
      <c r="K747" s="170"/>
      <c r="L747" s="170"/>
    </row>
    <row r="748" customFormat="false" ht="15.75" hidden="false" customHeight="true" outlineLevel="0" collapsed="false">
      <c r="A748" s="170"/>
      <c r="B748" s="170"/>
      <c r="C748" s="170"/>
      <c r="E748" s="170"/>
      <c r="F748" s="170"/>
      <c r="G748" s="170"/>
      <c r="H748" s="170"/>
      <c r="I748" s="170"/>
      <c r="J748" s="170"/>
      <c r="K748" s="170"/>
      <c r="L748" s="170"/>
    </row>
    <row r="749" customFormat="false" ht="15.75" hidden="false" customHeight="true" outlineLevel="0" collapsed="false">
      <c r="A749" s="170"/>
      <c r="B749" s="170"/>
      <c r="C749" s="170"/>
      <c r="E749" s="170"/>
      <c r="F749" s="170"/>
      <c r="G749" s="170"/>
      <c r="H749" s="170"/>
      <c r="I749" s="170"/>
      <c r="J749" s="170"/>
      <c r="K749" s="170"/>
      <c r="L749" s="170"/>
    </row>
    <row r="750" customFormat="false" ht="15.75" hidden="false" customHeight="true" outlineLevel="0" collapsed="false">
      <c r="A750" s="170"/>
      <c r="B750" s="170"/>
      <c r="C750" s="170"/>
      <c r="E750" s="170"/>
      <c r="F750" s="170"/>
      <c r="G750" s="170"/>
      <c r="H750" s="170"/>
      <c r="I750" s="170"/>
      <c r="J750" s="170"/>
      <c r="K750" s="170"/>
      <c r="L750" s="170"/>
    </row>
    <row r="751" customFormat="false" ht="15.75" hidden="false" customHeight="true" outlineLevel="0" collapsed="false">
      <c r="A751" s="170"/>
      <c r="B751" s="170"/>
      <c r="C751" s="170"/>
      <c r="E751" s="170"/>
      <c r="F751" s="170"/>
      <c r="G751" s="170"/>
      <c r="H751" s="170"/>
      <c r="I751" s="170"/>
      <c r="J751" s="170"/>
      <c r="K751" s="170"/>
      <c r="L751" s="170"/>
    </row>
    <row r="752" customFormat="false" ht="15.75" hidden="false" customHeight="true" outlineLevel="0" collapsed="false">
      <c r="A752" s="170"/>
      <c r="B752" s="170"/>
      <c r="C752" s="170"/>
      <c r="E752" s="170"/>
      <c r="F752" s="170"/>
      <c r="G752" s="170"/>
      <c r="H752" s="170"/>
      <c r="I752" s="170"/>
      <c r="J752" s="170"/>
      <c r="K752" s="170"/>
      <c r="L752" s="170"/>
    </row>
    <row r="753" customFormat="false" ht="15.75" hidden="false" customHeight="true" outlineLevel="0" collapsed="false">
      <c r="A753" s="170"/>
      <c r="B753" s="170"/>
      <c r="C753" s="170"/>
      <c r="E753" s="170"/>
      <c r="F753" s="170"/>
      <c r="G753" s="170"/>
      <c r="H753" s="170"/>
      <c r="I753" s="170"/>
      <c r="J753" s="170"/>
      <c r="K753" s="170"/>
      <c r="L753" s="170"/>
    </row>
    <row r="754" customFormat="false" ht="15.75" hidden="false" customHeight="true" outlineLevel="0" collapsed="false">
      <c r="A754" s="170"/>
      <c r="B754" s="170"/>
      <c r="C754" s="170"/>
      <c r="E754" s="170"/>
      <c r="F754" s="170"/>
      <c r="G754" s="170"/>
      <c r="H754" s="170"/>
      <c r="I754" s="170"/>
      <c r="J754" s="170"/>
      <c r="K754" s="170"/>
      <c r="L754" s="170"/>
    </row>
    <row r="755" customFormat="false" ht="15.75" hidden="false" customHeight="true" outlineLevel="0" collapsed="false">
      <c r="A755" s="170"/>
      <c r="B755" s="170"/>
      <c r="C755" s="170"/>
      <c r="E755" s="170"/>
      <c r="F755" s="170"/>
      <c r="G755" s="170"/>
      <c r="H755" s="170"/>
      <c r="I755" s="170"/>
      <c r="J755" s="170"/>
      <c r="K755" s="170"/>
      <c r="L755" s="170"/>
    </row>
    <row r="756" customFormat="false" ht="15.75" hidden="false" customHeight="true" outlineLevel="0" collapsed="false">
      <c r="A756" s="170"/>
      <c r="B756" s="170"/>
      <c r="C756" s="170"/>
      <c r="E756" s="170"/>
      <c r="F756" s="170"/>
      <c r="G756" s="170"/>
      <c r="H756" s="170"/>
      <c r="I756" s="170"/>
      <c r="J756" s="170"/>
      <c r="K756" s="170"/>
      <c r="L756" s="170"/>
    </row>
    <row r="757" customFormat="false" ht="15.75" hidden="false" customHeight="true" outlineLevel="0" collapsed="false">
      <c r="A757" s="170"/>
      <c r="B757" s="170"/>
      <c r="C757" s="170"/>
      <c r="E757" s="170"/>
      <c r="F757" s="170"/>
      <c r="G757" s="170"/>
      <c r="H757" s="170"/>
      <c r="I757" s="170"/>
      <c r="J757" s="170"/>
      <c r="K757" s="170"/>
      <c r="L757" s="170"/>
    </row>
  </sheetData>
  <mergeCells count="4">
    <mergeCell ref="B6:L6"/>
    <mergeCell ref="B7:D7"/>
    <mergeCell ref="B18:L18"/>
    <mergeCell ref="B19:D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B1:BT67"/>
  <sheetViews>
    <sheetView showFormulas="false" showGridLines="true" showRowColHeaders="true" showZeros="true" rightToLeft="false" tabSelected="false" showOutlineSymbols="true" defaultGridColor="true" view="normal" topLeftCell="A48" colorId="64" zoomScale="85" zoomScaleNormal="85" zoomScalePageLayoutView="100" workbookViewId="0">
      <selection pane="topLeft" activeCell="T165" activeCellId="0" sqref="T165"/>
    </sheetView>
  </sheetViews>
  <sheetFormatPr defaultColWidth="8.82421875" defaultRowHeight="14.5" zeroHeight="false" outlineLevelRow="0" outlineLevelCol="0"/>
  <cols>
    <col collapsed="false" customWidth="true" hidden="false" outlineLevel="0" max="1" min="1" style="194" width="1.45"/>
    <col collapsed="false" customWidth="true" hidden="false" outlineLevel="0" max="2" min="2" style="194" width="27.45"/>
    <col collapsed="false" customWidth="true" hidden="false" outlineLevel="0" max="3" min="3" style="194" width="5.82"/>
    <col collapsed="false" customWidth="true" hidden="false" outlineLevel="0" max="4" min="4" style="194" width="7.45"/>
    <col collapsed="false" customWidth="true" hidden="false" outlineLevel="0" max="5" min="5" style="194" width="7.82"/>
    <col collapsed="false" customWidth="true" hidden="false" outlineLevel="0" max="6" min="6" style="194" width="7.45"/>
    <col collapsed="false" customWidth="true" hidden="false" outlineLevel="0" max="7" min="7" style="194" width="7.82"/>
    <col collapsed="false" customWidth="true" hidden="false" outlineLevel="0" max="9" min="8" style="194" width="7.54"/>
    <col collapsed="false" customWidth="true" hidden="false" outlineLevel="0" max="10" min="10" style="194" width="7.27"/>
    <col collapsed="false" customWidth="true" hidden="false" outlineLevel="0" max="11" min="11" style="194" width="7.18"/>
    <col collapsed="false" customWidth="true" hidden="false" outlineLevel="0" max="12" min="12" style="194" width="7.54"/>
    <col collapsed="false" customWidth="true" hidden="false" outlineLevel="0" max="13" min="13" style="194" width="7.27"/>
    <col collapsed="false" customWidth="true" hidden="false" outlineLevel="0" max="14" min="14" style="194" width="7.82"/>
    <col collapsed="false" customWidth="true" hidden="false" outlineLevel="0" max="16" min="15" style="194" width="7.54"/>
    <col collapsed="false" customWidth="true" hidden="false" outlineLevel="0" max="17" min="17" style="194" width="8"/>
    <col collapsed="false" customWidth="true" hidden="false" outlineLevel="0" max="18" min="18" style="194" width="7.82"/>
    <col collapsed="false" customWidth="true" hidden="false" outlineLevel="0" max="20" min="19" style="194" width="7.54"/>
    <col collapsed="false" customWidth="true" hidden="false" outlineLevel="0" max="22" min="21" style="194" width="8"/>
    <col collapsed="false" customWidth="true" hidden="false" outlineLevel="0" max="23" min="23" style="194" width="7.27"/>
    <col collapsed="false" customWidth="true" hidden="false" outlineLevel="0" max="24" min="24" style="194" width="7.54"/>
    <col collapsed="false" customWidth="true" hidden="false" outlineLevel="0" max="27" min="25" style="194" width="7.82"/>
    <col collapsed="false" customWidth="true" hidden="false" outlineLevel="0" max="28" min="28" style="194" width="7.45"/>
    <col collapsed="false" customWidth="true" hidden="false" outlineLevel="0" max="30" min="29" style="194" width="7.82"/>
    <col collapsed="false" customWidth="true" hidden="false" outlineLevel="0" max="31" min="31" style="194" width="8"/>
    <col collapsed="false" customWidth="true" hidden="false" outlineLevel="0" max="32" min="32" style="194" width="7.54"/>
    <col collapsed="false" customWidth="true" hidden="false" outlineLevel="0" max="33" min="33" style="194" width="8"/>
    <col collapsed="false" customWidth="true" hidden="false" outlineLevel="0" max="34" min="34" style="194" width="7.82"/>
    <col collapsed="false" customWidth="false" hidden="false" outlineLevel="0" max="16384" min="35" style="194" width="8.82"/>
  </cols>
  <sheetData>
    <row r="1" customFormat="false" ht="8.5" hidden="false" customHeight="true" outlineLevel="0" collapsed="false">
      <c r="B1" s="195"/>
      <c r="C1" s="195"/>
      <c r="D1" s="195"/>
      <c r="E1" s="196"/>
      <c r="F1" s="196"/>
      <c r="G1" s="196"/>
      <c r="H1" s="196"/>
      <c r="I1" s="196"/>
    </row>
    <row r="2" customFormat="false" ht="45.65" hidden="false" customHeight="true" outlineLevel="0" collapsed="false">
      <c r="B2" s="197"/>
      <c r="C2" s="198" t="s">
        <v>484</v>
      </c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9"/>
      <c r="S2" s="199"/>
      <c r="U2" s="200" t="s">
        <v>80</v>
      </c>
      <c r="V2" s="200"/>
      <c r="W2" s="200"/>
      <c r="X2" s="200"/>
      <c r="Y2" s="200"/>
      <c r="Z2" s="201" t="s">
        <v>81</v>
      </c>
      <c r="AA2" s="201"/>
      <c r="AB2" s="201"/>
      <c r="AC2" s="201"/>
    </row>
    <row r="3" customFormat="false" ht="14.5" hidden="false" customHeight="true" outlineLevel="0" collapsed="false">
      <c r="B3" s="202"/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8"/>
      <c r="P3" s="198"/>
      <c r="Q3" s="198"/>
      <c r="R3" s="199"/>
      <c r="S3" s="199"/>
      <c r="U3" s="203" t="s">
        <v>84</v>
      </c>
      <c r="V3" s="203"/>
      <c r="W3" s="203"/>
      <c r="X3" s="203"/>
      <c r="Y3" s="203"/>
      <c r="Z3" s="204" t="n">
        <v>45622</v>
      </c>
      <c r="AA3" s="204"/>
      <c r="AB3" s="204"/>
      <c r="AC3" s="204"/>
    </row>
    <row r="4" customFormat="false" ht="14.5" hidden="false" customHeight="true" outlineLevel="0" collapsed="false">
      <c r="B4" s="202"/>
      <c r="C4" s="198"/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9"/>
      <c r="S4" s="199"/>
      <c r="U4" s="203" t="s">
        <v>86</v>
      </c>
      <c r="V4" s="203"/>
      <c r="W4" s="203"/>
      <c r="X4" s="203"/>
      <c r="Y4" s="203"/>
      <c r="Z4" s="205" t="s">
        <v>87</v>
      </c>
      <c r="AA4" s="205"/>
      <c r="AB4" s="205"/>
      <c r="AC4" s="205"/>
    </row>
    <row r="5" customFormat="false" ht="15" hidden="false" customHeight="true" outlineLevel="0" collapsed="false">
      <c r="B5" s="206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9"/>
      <c r="S5" s="199"/>
      <c r="U5" s="207" t="s">
        <v>89</v>
      </c>
      <c r="V5" s="207"/>
      <c r="W5" s="207"/>
      <c r="X5" s="207"/>
      <c r="Y5" s="207"/>
      <c r="Z5" s="208" t="n">
        <v>46073</v>
      </c>
      <c r="AA5" s="208"/>
      <c r="AB5" s="208"/>
      <c r="AC5" s="208"/>
    </row>
    <row r="6" customFormat="false" ht="14.5" hidden="false" customHeight="false" outlineLevel="0" collapsed="false">
      <c r="B6" s="195" t="s">
        <v>485</v>
      </c>
      <c r="C6" s="195"/>
      <c r="D6" s="195"/>
      <c r="E6" s="196"/>
      <c r="F6" s="196"/>
      <c r="G6" s="196"/>
      <c r="H6" s="196"/>
      <c r="I6" s="196"/>
    </row>
    <row r="20" customFormat="false" ht="14.5" hidden="false" customHeight="false" outlineLevel="0" collapsed="false">
      <c r="AF20" s="194" t="s">
        <v>96</v>
      </c>
    </row>
    <row r="40" customFormat="false" ht="14.9" hidden="false" customHeight="false" outlineLevel="0" collapsed="false">
      <c r="D40" s="209"/>
      <c r="E40" s="210" t="n">
        <v>45627</v>
      </c>
      <c r="F40" s="210"/>
      <c r="G40" s="210"/>
      <c r="H40" s="210"/>
      <c r="I40" s="211" t="n">
        <v>45658</v>
      </c>
      <c r="J40" s="211"/>
      <c r="K40" s="211"/>
      <c r="L40" s="211"/>
      <c r="M40" s="211"/>
      <c r="N40" s="210" t="n">
        <v>45689</v>
      </c>
      <c r="O40" s="210"/>
      <c r="P40" s="210"/>
      <c r="Q40" s="210"/>
      <c r="R40" s="212" t="n">
        <v>45717</v>
      </c>
      <c r="S40" s="212"/>
      <c r="T40" s="212"/>
      <c r="U40" s="212"/>
      <c r="V40" s="213" t="n">
        <v>45748</v>
      </c>
      <c r="W40" s="213"/>
      <c r="X40" s="213"/>
      <c r="Y40" s="213"/>
      <c r="Z40" s="213"/>
      <c r="AA40" s="214" t="n">
        <v>45778</v>
      </c>
      <c r="AB40" s="214"/>
      <c r="AC40" s="214"/>
      <c r="AD40" s="214"/>
      <c r="AE40" s="209" t="n">
        <v>45809</v>
      </c>
      <c r="AF40" s="209"/>
      <c r="AG40" s="209"/>
      <c r="AH40" s="209"/>
      <c r="AI40" s="209"/>
      <c r="AJ40" s="210" t="n">
        <v>45839</v>
      </c>
      <c r="AK40" s="210"/>
      <c r="AL40" s="210"/>
      <c r="AM40" s="210"/>
      <c r="AN40" s="215" t="n">
        <v>45870</v>
      </c>
      <c r="AO40" s="215"/>
      <c r="AP40" s="215"/>
      <c r="AQ40" s="215"/>
      <c r="AR40" s="216" t="n">
        <v>45901</v>
      </c>
      <c r="AS40" s="216"/>
      <c r="AT40" s="216"/>
      <c r="AU40" s="216"/>
      <c r="AV40" s="216"/>
      <c r="AW40" s="213" t="n">
        <v>45931</v>
      </c>
      <c r="AX40" s="213"/>
      <c r="AY40" s="213"/>
      <c r="AZ40" s="213"/>
      <c r="BA40" s="213" t="n">
        <v>45962</v>
      </c>
      <c r="BB40" s="213"/>
      <c r="BC40" s="213"/>
      <c r="BD40" s="213"/>
      <c r="BE40" s="217" t="n">
        <v>45992</v>
      </c>
      <c r="BF40" s="217"/>
      <c r="BG40" s="217"/>
      <c r="BH40" s="217"/>
      <c r="BI40" s="218" t="n">
        <v>46023</v>
      </c>
      <c r="BJ40" s="218"/>
      <c r="BK40" s="218"/>
      <c r="BL40" s="218"/>
      <c r="BM40" s="213" t="n">
        <v>46054</v>
      </c>
      <c r="BN40" s="213"/>
      <c r="BO40" s="213"/>
      <c r="BP40" s="213"/>
      <c r="BQ40" s="219" t="n">
        <v>46082</v>
      </c>
      <c r="BR40" s="219"/>
      <c r="BS40" s="219"/>
      <c r="BT40" s="219"/>
    </row>
    <row r="41" customFormat="false" ht="36" hidden="false" customHeight="true" outlineLevel="0" collapsed="false">
      <c r="D41" s="220" t="n">
        <v>45625</v>
      </c>
      <c r="E41" s="221" t="n">
        <f aca="false">+D41+7</f>
        <v>45632</v>
      </c>
      <c r="F41" s="222" t="n">
        <f aca="false">+E41+7</f>
        <v>45639</v>
      </c>
      <c r="G41" s="222" t="n">
        <f aca="false">+F41+7</f>
        <v>45646</v>
      </c>
      <c r="H41" s="223" t="n">
        <f aca="false">+G41+7</f>
        <v>45653</v>
      </c>
      <c r="I41" s="224" t="n">
        <f aca="false">+H41+7</f>
        <v>45660</v>
      </c>
      <c r="J41" s="222" t="n">
        <f aca="false">+I41+7</f>
        <v>45667</v>
      </c>
      <c r="K41" s="222" t="n">
        <f aca="false">+J41+7</f>
        <v>45674</v>
      </c>
      <c r="L41" s="222" t="n">
        <f aca="false">+K41+7</f>
        <v>45681</v>
      </c>
      <c r="M41" s="223" t="n">
        <f aca="false">+L41+7</f>
        <v>45688</v>
      </c>
      <c r="N41" s="221" t="n">
        <f aca="false">+M41+7</f>
        <v>45695</v>
      </c>
      <c r="O41" s="222" t="n">
        <f aca="false">+N41+7</f>
        <v>45702</v>
      </c>
      <c r="P41" s="222" t="n">
        <f aca="false">+O41+7</f>
        <v>45709</v>
      </c>
      <c r="Q41" s="223" t="n">
        <f aca="false">+P41+7</f>
        <v>45716</v>
      </c>
      <c r="R41" s="224" t="n">
        <f aca="false">+Q41+7</f>
        <v>45723</v>
      </c>
      <c r="S41" s="222" t="n">
        <f aca="false">+R41+7</f>
        <v>45730</v>
      </c>
      <c r="T41" s="222" t="n">
        <f aca="false">+S41+7</f>
        <v>45737</v>
      </c>
      <c r="U41" s="225" t="n">
        <f aca="false">+T41+7</f>
        <v>45744</v>
      </c>
      <c r="V41" s="226" t="n">
        <f aca="false">+U41+7</f>
        <v>45751</v>
      </c>
      <c r="W41" s="227" t="n">
        <f aca="false">+V41+7</f>
        <v>45758</v>
      </c>
      <c r="X41" s="227" t="n">
        <f aca="false">+W41+7</f>
        <v>45765</v>
      </c>
      <c r="Y41" s="227" t="n">
        <f aca="false">+X41+7</f>
        <v>45772</v>
      </c>
      <c r="Z41" s="228" t="n">
        <f aca="false">+Y41+7</f>
        <v>45779</v>
      </c>
      <c r="AA41" s="229" t="n">
        <f aca="false">+Z41+7</f>
        <v>45786</v>
      </c>
      <c r="AB41" s="230" t="n">
        <f aca="false">+AA41+7</f>
        <v>45793</v>
      </c>
      <c r="AC41" s="230" t="n">
        <f aca="false">+AB41+7</f>
        <v>45800</v>
      </c>
      <c r="AD41" s="231" t="n">
        <f aca="false">+AC41+7</f>
        <v>45807</v>
      </c>
      <c r="AE41" s="221" t="n">
        <f aca="false">+AD41+7</f>
        <v>45814</v>
      </c>
      <c r="AF41" s="222" t="n">
        <f aca="false">+AE41+7</f>
        <v>45821</v>
      </c>
      <c r="AG41" s="222" t="n">
        <f aca="false">+AF41+7</f>
        <v>45828</v>
      </c>
      <c r="AH41" s="222" t="n">
        <f aca="false">+AG41+7</f>
        <v>45835</v>
      </c>
      <c r="AI41" s="225" t="n">
        <f aca="false">+AH41+7</f>
        <v>45842</v>
      </c>
      <c r="AJ41" s="221" t="n">
        <f aca="false">+AI41+7</f>
        <v>45849</v>
      </c>
      <c r="AK41" s="222" t="n">
        <f aca="false">+AJ41+7</f>
        <v>45856</v>
      </c>
      <c r="AL41" s="222" t="n">
        <f aca="false">+AK41+7</f>
        <v>45863</v>
      </c>
      <c r="AM41" s="223" t="n">
        <f aca="false">+AL41+7</f>
        <v>45870</v>
      </c>
      <c r="AN41" s="229" t="n">
        <f aca="false">+AM41+7</f>
        <v>45877</v>
      </c>
      <c r="AO41" s="230" t="n">
        <f aca="false">+AN41+7</f>
        <v>45884</v>
      </c>
      <c r="AP41" s="230" t="n">
        <f aca="false">+AO41+7</f>
        <v>45891</v>
      </c>
      <c r="AQ41" s="231" t="n">
        <f aca="false">+AP41+7</f>
        <v>45898</v>
      </c>
      <c r="AR41" s="232" t="n">
        <f aca="false">+AQ41+7</f>
        <v>45905</v>
      </c>
      <c r="AS41" s="233" t="n">
        <f aca="false">+AR41+7</f>
        <v>45912</v>
      </c>
      <c r="AT41" s="233" t="n">
        <f aca="false">+AS41+7</f>
        <v>45919</v>
      </c>
      <c r="AU41" s="233" t="n">
        <f aca="false">+AT41+7</f>
        <v>45926</v>
      </c>
      <c r="AV41" s="234" t="n">
        <f aca="false">+AU41+7</f>
        <v>45933</v>
      </c>
      <c r="AW41" s="229" t="n">
        <f aca="false">+AV41+7</f>
        <v>45940</v>
      </c>
      <c r="AX41" s="230" t="n">
        <f aca="false">+AW41+7</f>
        <v>45947</v>
      </c>
      <c r="AY41" s="230" t="n">
        <f aca="false">+AX41+7</f>
        <v>45954</v>
      </c>
      <c r="AZ41" s="231" t="n">
        <f aca="false">+AY41+7</f>
        <v>45961</v>
      </c>
      <c r="BA41" s="235" t="n">
        <f aca="false">+AZ41+7</f>
        <v>45968</v>
      </c>
      <c r="BB41" s="230" t="n">
        <f aca="false">+BA41+7</f>
        <v>45975</v>
      </c>
      <c r="BC41" s="230" t="n">
        <f aca="false">+BB41+7</f>
        <v>45982</v>
      </c>
      <c r="BD41" s="231" t="n">
        <f aca="false">+BC41+7</f>
        <v>45989</v>
      </c>
      <c r="BE41" s="226" t="n">
        <f aca="false">+BD41+7</f>
        <v>45996</v>
      </c>
      <c r="BF41" s="227" t="n">
        <f aca="false">+BE41+7</f>
        <v>46003</v>
      </c>
      <c r="BG41" s="227" t="n">
        <f aca="false">+BF41+7</f>
        <v>46010</v>
      </c>
      <c r="BH41" s="236" t="n">
        <f aca="false">+BG41+7+7</f>
        <v>46024</v>
      </c>
      <c r="BI41" s="226" t="n">
        <f aca="false">+BH41+7</f>
        <v>46031</v>
      </c>
      <c r="BJ41" s="227" t="n">
        <f aca="false">+BI41+7</f>
        <v>46038</v>
      </c>
      <c r="BK41" s="227" t="n">
        <f aca="false">+BJ41+7</f>
        <v>46045</v>
      </c>
      <c r="BL41" s="236" t="n">
        <f aca="false">+BK41+7</f>
        <v>46052</v>
      </c>
      <c r="BM41" s="235" t="n">
        <f aca="false">+BL41+7</f>
        <v>46059</v>
      </c>
      <c r="BN41" s="230" t="n">
        <f aca="false">+BM41+7</f>
        <v>46066</v>
      </c>
      <c r="BO41" s="230" t="n">
        <f aca="false">+BN41+7</f>
        <v>46073</v>
      </c>
      <c r="BP41" s="237" t="n">
        <f aca="false">+BO41+7</f>
        <v>46080</v>
      </c>
      <c r="BQ41" s="229" t="n">
        <f aca="false">+BP41+7</f>
        <v>46087</v>
      </c>
      <c r="BR41" s="230" t="n">
        <f aca="false">+BQ41+7</f>
        <v>46094</v>
      </c>
      <c r="BS41" s="230" t="n">
        <f aca="false">+BR41+7</f>
        <v>46101</v>
      </c>
      <c r="BT41" s="237" t="n">
        <f aca="false">+BS41+7</f>
        <v>46108</v>
      </c>
    </row>
    <row r="42" customFormat="false" ht="24" hidden="false" customHeight="true" outlineLevel="0" collapsed="false">
      <c r="B42" s="238" t="s">
        <v>486</v>
      </c>
      <c r="C42" s="238"/>
      <c r="D42" s="239" t="n">
        <v>0.8</v>
      </c>
      <c r="E42" s="240" t="n">
        <v>0.8</v>
      </c>
      <c r="F42" s="241" t="n">
        <v>0.8</v>
      </c>
      <c r="G42" s="241" t="n">
        <v>0.432432432432432</v>
      </c>
      <c r="H42" s="242" t="n">
        <v>0.516129032258065</v>
      </c>
      <c r="I42" s="240" t="n">
        <v>0.66</v>
      </c>
      <c r="J42" s="240" t="n">
        <v>0.805555555555556</v>
      </c>
      <c r="K42" s="241" t="n">
        <v>0.818181818181818</v>
      </c>
      <c r="L42" s="243" t="n">
        <v>0.902439024390244</v>
      </c>
      <c r="M42" s="242" t="n">
        <v>0.782608695652174</v>
      </c>
      <c r="N42" s="240" t="n">
        <v>0.865384615384615</v>
      </c>
      <c r="O42" s="241" t="n">
        <v>0.719298245614035</v>
      </c>
      <c r="P42" s="241" t="n">
        <v>0.415094339622642</v>
      </c>
      <c r="Q42" s="244" t="n">
        <v>0.567164179104478</v>
      </c>
      <c r="R42" s="245" t="n">
        <v>0.573529411764706</v>
      </c>
      <c r="S42" s="241" t="n">
        <v>0.611111111111111</v>
      </c>
      <c r="T42" s="241" t="n">
        <v>0.805555555555556</v>
      </c>
      <c r="U42" s="246" t="n">
        <v>0.705882352941177</v>
      </c>
      <c r="V42" s="240" t="n">
        <v>0.723404255319149</v>
      </c>
      <c r="W42" s="241" t="n">
        <v>0.736842105263158</v>
      </c>
      <c r="X42" s="241" t="n">
        <v>0.775862068965517</v>
      </c>
      <c r="Y42" s="243" t="n">
        <v>0.787878787878788</v>
      </c>
      <c r="Z42" s="242" t="n">
        <v>0.818181818181818</v>
      </c>
      <c r="AA42" s="245" t="n">
        <v>0.636363636363636</v>
      </c>
      <c r="AB42" s="241" t="n">
        <v>0.691358024691358</v>
      </c>
      <c r="AC42" s="241" t="n">
        <v>0.727272727272727</v>
      </c>
      <c r="AD42" s="247" t="n">
        <v>0.583333333333333</v>
      </c>
      <c r="AE42" s="240" t="n">
        <v>0.806451612903226</v>
      </c>
      <c r="AF42" s="241" t="n">
        <v>0.677777777777778</v>
      </c>
      <c r="AG42" s="241" t="n">
        <v>0.691056910569106</v>
      </c>
      <c r="AH42" s="241" t="n">
        <v>0.657142857142857</v>
      </c>
      <c r="AI42" s="247" t="n">
        <v>0.737704918032787</v>
      </c>
      <c r="AJ42" s="240" t="n">
        <v>0.716814159292035</v>
      </c>
      <c r="AK42" s="241" t="n">
        <v>0.694444444444444</v>
      </c>
      <c r="AL42" s="241" t="n">
        <v>0.790909090909091</v>
      </c>
      <c r="AM42" s="244" t="n">
        <v>0.590277777777778</v>
      </c>
      <c r="AN42" s="248" t="n">
        <v>0.691056910569106</v>
      </c>
      <c r="AO42" s="243" t="n">
        <v>0.738095238095238</v>
      </c>
      <c r="AP42" s="243" t="n">
        <v>0.791666666666667</v>
      </c>
      <c r="AQ42" s="246" t="n">
        <v>0.807017543859649</v>
      </c>
      <c r="AR42" s="249" t="n">
        <v>0.860103626943005</v>
      </c>
      <c r="AS42" s="250" t="n">
        <v>0.83206106870229</v>
      </c>
      <c r="AT42" s="250" t="n">
        <v>0.837209302325581</v>
      </c>
      <c r="AU42" s="250" t="n">
        <v>0.880952380952381</v>
      </c>
      <c r="AV42" s="246" t="n">
        <v>0.751677852348993</v>
      </c>
      <c r="AW42" s="249" t="n">
        <v>0.807692307692308</v>
      </c>
      <c r="AX42" s="250" t="n">
        <v>0.851851851851852</v>
      </c>
      <c r="AY42" s="250" t="n">
        <v>0.898809523809524</v>
      </c>
      <c r="AZ42" s="251" t="n">
        <v>0.894366197183099</v>
      </c>
      <c r="BA42" s="249" t="n">
        <v>0.879746835443038</v>
      </c>
      <c r="BB42" s="250" t="n">
        <v>0.822695035460993</v>
      </c>
      <c r="BC42" s="250" t="n">
        <v>0.903030303030303</v>
      </c>
      <c r="BD42" s="252" t="n">
        <v>0.847682119205298</v>
      </c>
      <c r="BE42" s="249" t="n">
        <v>0.860294117647059</v>
      </c>
      <c r="BF42" s="250" t="n">
        <v>0.791411042944785</v>
      </c>
      <c r="BG42" s="250" t="n">
        <v>0.905263157894737</v>
      </c>
      <c r="BH42" s="252" t="n">
        <v>0.814569536423841</v>
      </c>
      <c r="BI42" s="249" t="n">
        <v>0.775510204081633</v>
      </c>
      <c r="BJ42" s="250" t="n">
        <v>0.843575418994414</v>
      </c>
      <c r="BK42" s="250" t="n">
        <v>0.79874213836478</v>
      </c>
      <c r="BL42" s="252" t="n">
        <v>0.699346405228758</v>
      </c>
      <c r="BM42" s="249" t="n">
        <v>0.692307692307692</v>
      </c>
      <c r="BN42" s="250" t="n">
        <v>0.701149425287356</v>
      </c>
      <c r="BO42" s="250" t="n">
        <v>0.697368421052632</v>
      </c>
      <c r="BP42" s="253" t="n">
        <v>0.6</v>
      </c>
      <c r="BQ42" s="254"/>
      <c r="BR42" s="250"/>
      <c r="BS42" s="250"/>
      <c r="BT42" s="255"/>
    </row>
    <row r="43" customFormat="false" ht="24" hidden="false" customHeight="true" outlineLevel="0" collapsed="false">
      <c r="B43" s="256" t="s">
        <v>487</v>
      </c>
      <c r="C43" s="256"/>
      <c r="D43" s="257" t="n">
        <v>0.8</v>
      </c>
      <c r="E43" s="258" t="n">
        <v>0.8</v>
      </c>
      <c r="F43" s="259" t="n">
        <v>0.8</v>
      </c>
      <c r="G43" s="259" t="n">
        <v>0.8</v>
      </c>
      <c r="H43" s="260" t="n">
        <v>0.8</v>
      </c>
      <c r="I43" s="261" t="n">
        <v>0.8</v>
      </c>
      <c r="J43" s="259" t="n">
        <v>0.8</v>
      </c>
      <c r="K43" s="259" t="n">
        <v>0.8</v>
      </c>
      <c r="L43" s="262" t="n">
        <v>0.8</v>
      </c>
      <c r="M43" s="263" t="n">
        <v>0.8</v>
      </c>
      <c r="N43" s="258" t="n">
        <v>0.8</v>
      </c>
      <c r="O43" s="259" t="n">
        <v>0.8</v>
      </c>
      <c r="P43" s="259" t="n">
        <v>0.8</v>
      </c>
      <c r="Q43" s="260" t="n">
        <v>0.8</v>
      </c>
      <c r="R43" s="261" t="n">
        <v>0.8</v>
      </c>
      <c r="S43" s="259" t="n">
        <v>0.8</v>
      </c>
      <c r="T43" s="259" t="n">
        <v>0.8</v>
      </c>
      <c r="U43" s="264" t="n">
        <v>0.8</v>
      </c>
      <c r="V43" s="258" t="n">
        <v>0.8</v>
      </c>
      <c r="W43" s="259" t="n">
        <v>0.8</v>
      </c>
      <c r="X43" s="259" t="n">
        <v>0.8</v>
      </c>
      <c r="Y43" s="262" t="n">
        <v>0.8</v>
      </c>
      <c r="Z43" s="263" t="n">
        <v>0.8</v>
      </c>
      <c r="AA43" s="261" t="n">
        <v>0.8</v>
      </c>
      <c r="AB43" s="259" t="n">
        <v>0.8</v>
      </c>
      <c r="AC43" s="259" t="n">
        <v>0.8</v>
      </c>
      <c r="AD43" s="264" t="n">
        <v>0.8</v>
      </c>
      <c r="AE43" s="258" t="n">
        <v>0.8</v>
      </c>
      <c r="AF43" s="259" t="n">
        <v>0.8</v>
      </c>
      <c r="AG43" s="259" t="n">
        <v>0.8</v>
      </c>
      <c r="AH43" s="262" t="n">
        <v>0.8</v>
      </c>
      <c r="AI43" s="265" t="n">
        <v>0.8</v>
      </c>
      <c r="AJ43" s="258" t="n">
        <v>0.8</v>
      </c>
      <c r="AK43" s="259" t="n">
        <v>0.8</v>
      </c>
      <c r="AL43" s="259" t="n">
        <v>0.8</v>
      </c>
      <c r="AM43" s="260" t="n">
        <v>0.8</v>
      </c>
      <c r="AN43" s="266" t="n">
        <v>0.8</v>
      </c>
      <c r="AO43" s="262" t="n">
        <v>0.8</v>
      </c>
      <c r="AP43" s="262" t="n">
        <v>0.8</v>
      </c>
      <c r="AQ43" s="264" t="n">
        <v>0.8</v>
      </c>
      <c r="AR43" s="267" t="n">
        <v>0.8</v>
      </c>
      <c r="AS43" s="268" t="n">
        <v>0.8</v>
      </c>
      <c r="AT43" s="268" t="n">
        <v>0.8</v>
      </c>
      <c r="AU43" s="268" t="n">
        <v>0.8</v>
      </c>
      <c r="AV43" s="269" t="n">
        <v>0.8</v>
      </c>
      <c r="AW43" s="266" t="n">
        <v>0.8</v>
      </c>
      <c r="AX43" s="262" t="n">
        <v>0.8</v>
      </c>
      <c r="AY43" s="262" t="n">
        <v>0.8</v>
      </c>
      <c r="AZ43" s="264" t="n">
        <v>0.8</v>
      </c>
      <c r="BA43" s="270" t="n">
        <v>0.8</v>
      </c>
      <c r="BB43" s="262" t="n">
        <v>0.8</v>
      </c>
      <c r="BC43" s="262" t="n">
        <v>0.8</v>
      </c>
      <c r="BD43" s="264" t="n">
        <v>0.8</v>
      </c>
      <c r="BE43" s="270" t="n">
        <v>0.8</v>
      </c>
      <c r="BF43" s="262" t="n">
        <v>0.8</v>
      </c>
      <c r="BG43" s="262" t="n">
        <v>0.8</v>
      </c>
      <c r="BH43" s="264" t="n">
        <v>0.8</v>
      </c>
      <c r="BI43" s="270" t="n">
        <v>0.8</v>
      </c>
      <c r="BJ43" s="262" t="n">
        <v>0.8</v>
      </c>
      <c r="BK43" s="268" t="n">
        <v>0.8</v>
      </c>
      <c r="BL43" s="264" t="n">
        <v>0.8</v>
      </c>
      <c r="BM43" s="270" t="n">
        <v>0.8</v>
      </c>
      <c r="BN43" s="268" t="n">
        <v>0.8</v>
      </c>
      <c r="BO43" s="268" t="n">
        <v>0.8</v>
      </c>
      <c r="BP43" s="271" t="n">
        <v>0.8</v>
      </c>
      <c r="BQ43" s="272" t="n">
        <v>0.8</v>
      </c>
      <c r="BR43" s="268" t="n">
        <v>0.8</v>
      </c>
      <c r="BS43" s="268" t="n">
        <v>0.8</v>
      </c>
      <c r="BT43" s="269" t="n">
        <v>0.8</v>
      </c>
    </row>
    <row r="45" customFormat="false" ht="24" hidden="false" customHeight="true" outlineLevel="0" collapsed="false">
      <c r="B45" s="273" t="s">
        <v>113</v>
      </c>
      <c r="C45" s="273"/>
    </row>
    <row r="46" customFormat="false" ht="6.65" hidden="false" customHeight="true" outlineLevel="0" collapsed="false"/>
    <row r="47" customFormat="false" ht="24" hidden="false" customHeight="true" outlineLevel="0" collapsed="false">
      <c r="B47" s="274" t="s">
        <v>82</v>
      </c>
      <c r="C47" s="275" t="e">
        <f aca="false">SUM(D47:BT47)</f>
        <v>#REF!</v>
      </c>
      <c r="D47" s="276" t="n">
        <v>0</v>
      </c>
      <c r="E47" s="277" t="n">
        <v>0</v>
      </c>
      <c r="F47" s="278" t="n">
        <v>0</v>
      </c>
      <c r="G47" s="278" t="n">
        <v>0</v>
      </c>
      <c r="H47" s="278" t="n">
        <v>0</v>
      </c>
      <c r="I47" s="279" t="n">
        <v>0</v>
      </c>
      <c r="J47" s="280" t="n">
        <v>0</v>
      </c>
      <c r="K47" s="278" t="n">
        <v>0</v>
      </c>
      <c r="L47" s="278" t="n">
        <v>0</v>
      </c>
      <c r="M47" s="279" t="n">
        <v>0</v>
      </c>
      <c r="N47" s="280" t="n">
        <v>1</v>
      </c>
      <c r="O47" s="278" t="n">
        <v>0</v>
      </c>
      <c r="P47" s="278" t="n">
        <v>0</v>
      </c>
      <c r="Q47" s="279" t="n">
        <v>0</v>
      </c>
      <c r="R47" s="280" t="n">
        <v>0</v>
      </c>
      <c r="S47" s="278" t="n">
        <v>0</v>
      </c>
      <c r="T47" s="278" t="n">
        <v>0</v>
      </c>
      <c r="U47" s="279" t="n">
        <v>0</v>
      </c>
      <c r="V47" s="280" t="n">
        <v>0</v>
      </c>
      <c r="W47" s="278" t="n">
        <v>0</v>
      </c>
      <c r="X47" s="278" t="n">
        <v>0</v>
      </c>
      <c r="Y47" s="278" t="n">
        <v>0</v>
      </c>
      <c r="Z47" s="279" t="n">
        <v>0</v>
      </c>
      <c r="AA47" s="280" t="n">
        <v>0</v>
      </c>
      <c r="AB47" s="278" t="n">
        <v>0</v>
      </c>
      <c r="AC47" s="278" t="n">
        <v>0</v>
      </c>
      <c r="AD47" s="279" t="n">
        <v>0</v>
      </c>
      <c r="AE47" s="280" t="n">
        <v>0</v>
      </c>
      <c r="AF47" s="278" t="n">
        <v>0</v>
      </c>
      <c r="AG47" s="278" t="n">
        <v>2</v>
      </c>
      <c r="AH47" s="279" t="n">
        <v>9</v>
      </c>
      <c r="AI47" s="279" t="n">
        <v>0</v>
      </c>
      <c r="AJ47" s="280" t="n">
        <v>0</v>
      </c>
      <c r="AK47" s="278" t="n">
        <v>0</v>
      </c>
      <c r="AL47" s="278" t="n">
        <v>0</v>
      </c>
      <c r="AM47" s="279" t="n">
        <v>3</v>
      </c>
      <c r="AN47" s="280" t="n">
        <v>0</v>
      </c>
      <c r="AO47" s="278" t="n">
        <v>0</v>
      </c>
      <c r="AP47" s="278" t="n">
        <v>0</v>
      </c>
      <c r="AQ47" s="279" t="n">
        <v>5</v>
      </c>
      <c r="AR47" s="280" t="n">
        <v>5</v>
      </c>
      <c r="AS47" s="278" t="n">
        <v>4</v>
      </c>
      <c r="AT47" s="278" t="n">
        <v>1</v>
      </c>
      <c r="AU47" s="278" t="n">
        <v>1</v>
      </c>
      <c r="AV47" s="279" t="n">
        <v>2</v>
      </c>
      <c r="AW47" s="280" t="n">
        <v>5</v>
      </c>
      <c r="AX47" s="278" t="n">
        <v>5</v>
      </c>
      <c r="AY47" s="278" t="n">
        <v>0</v>
      </c>
      <c r="AZ47" s="279" t="n">
        <v>2</v>
      </c>
      <c r="BA47" s="280" t="n">
        <v>0</v>
      </c>
      <c r="BB47" s="278" t="n">
        <v>4</v>
      </c>
      <c r="BC47" s="278" t="n">
        <v>4</v>
      </c>
      <c r="BD47" s="279" t="n">
        <v>9</v>
      </c>
      <c r="BE47" s="280" t="n">
        <v>5</v>
      </c>
      <c r="BF47" s="278" t="n">
        <v>0</v>
      </c>
      <c r="BG47" s="278" t="n">
        <v>0</v>
      </c>
      <c r="BH47" s="279" t="n">
        <v>0</v>
      </c>
      <c r="BI47" s="280" t="n">
        <v>1</v>
      </c>
      <c r="BJ47" s="278" t="n">
        <v>0</v>
      </c>
      <c r="BK47" s="278" t="n">
        <v>0</v>
      </c>
      <c r="BL47" s="279" t="n">
        <v>5</v>
      </c>
      <c r="BM47" s="280" t="n">
        <v>6</v>
      </c>
      <c r="BN47" s="278" t="n">
        <v>0</v>
      </c>
      <c r="BO47" s="278" t="n">
        <v>0</v>
      </c>
      <c r="BP47" s="281" t="n">
        <v>0</v>
      </c>
      <c r="BQ47" s="282"/>
      <c r="BR47" s="283"/>
      <c r="BS47" s="283"/>
      <c r="BT47" s="284"/>
    </row>
    <row r="48" customFormat="false" ht="24" hidden="false" customHeight="true" outlineLevel="0" collapsed="false">
      <c r="B48" s="285" t="s">
        <v>85</v>
      </c>
      <c r="C48" s="286" t="e">
        <f aca="false">SUM(D48:BT48)</f>
        <v>#REF!</v>
      </c>
      <c r="D48" s="287" t="n">
        <v>0</v>
      </c>
      <c r="E48" s="288" t="n">
        <v>0</v>
      </c>
      <c r="F48" s="289" t="n">
        <v>0</v>
      </c>
      <c r="G48" s="289" t="n">
        <v>6</v>
      </c>
      <c r="H48" s="289" t="n">
        <v>4</v>
      </c>
      <c r="I48" s="290" t="n">
        <v>0</v>
      </c>
      <c r="J48" s="291" t="n">
        <v>1</v>
      </c>
      <c r="K48" s="289" t="n">
        <v>1</v>
      </c>
      <c r="L48" s="289" t="n">
        <v>0</v>
      </c>
      <c r="M48" s="290" t="n">
        <v>1</v>
      </c>
      <c r="N48" s="291" t="n">
        <v>0</v>
      </c>
      <c r="O48" s="289" t="n">
        <v>0</v>
      </c>
      <c r="P48" s="289" t="n">
        <v>2</v>
      </c>
      <c r="Q48" s="290" t="n">
        <v>9</v>
      </c>
      <c r="R48" s="291" t="n">
        <v>10</v>
      </c>
      <c r="S48" s="289" t="n">
        <v>7</v>
      </c>
      <c r="T48" s="289" t="n">
        <v>3</v>
      </c>
      <c r="U48" s="290" t="n">
        <v>19</v>
      </c>
      <c r="V48" s="291" t="n">
        <v>11</v>
      </c>
      <c r="W48" s="289" t="n">
        <v>0</v>
      </c>
      <c r="X48" s="289" t="n">
        <v>0</v>
      </c>
      <c r="Y48" s="289" t="n">
        <v>0</v>
      </c>
      <c r="Z48" s="290" t="n">
        <v>0</v>
      </c>
      <c r="AA48" s="291" t="n">
        <v>0</v>
      </c>
      <c r="AB48" s="289" t="n">
        <v>5</v>
      </c>
      <c r="AC48" s="289" t="n">
        <v>0</v>
      </c>
      <c r="AD48" s="290" t="n">
        <v>0</v>
      </c>
      <c r="AE48" s="291" t="n">
        <v>3</v>
      </c>
      <c r="AF48" s="289" t="n">
        <v>0</v>
      </c>
      <c r="AG48" s="289" t="n">
        <v>4</v>
      </c>
      <c r="AH48" s="290" t="n">
        <v>8</v>
      </c>
      <c r="AI48" s="290" t="n">
        <v>0</v>
      </c>
      <c r="AJ48" s="291" t="n">
        <v>5</v>
      </c>
      <c r="AK48" s="289" t="n">
        <v>5</v>
      </c>
      <c r="AL48" s="289" t="n">
        <v>3</v>
      </c>
      <c r="AM48" s="290" t="n">
        <v>2</v>
      </c>
      <c r="AN48" s="291" t="n">
        <v>12</v>
      </c>
      <c r="AO48" s="289" t="n">
        <v>3</v>
      </c>
      <c r="AP48" s="289" t="n">
        <v>0</v>
      </c>
      <c r="AQ48" s="290" t="n">
        <v>5</v>
      </c>
      <c r="AR48" s="291" t="n">
        <v>11</v>
      </c>
      <c r="AS48" s="289" t="n">
        <v>0</v>
      </c>
      <c r="AT48" s="289" t="n">
        <v>3</v>
      </c>
      <c r="AU48" s="289" t="n">
        <v>0</v>
      </c>
      <c r="AV48" s="290" t="n">
        <v>0</v>
      </c>
      <c r="AW48" s="291" t="n">
        <v>5</v>
      </c>
      <c r="AX48" s="289" t="n">
        <v>2</v>
      </c>
      <c r="AY48" s="289" t="n">
        <v>1</v>
      </c>
      <c r="AZ48" s="290" t="n">
        <v>8</v>
      </c>
      <c r="BA48" s="291" t="n">
        <v>0</v>
      </c>
      <c r="BB48" s="289" t="n">
        <v>0</v>
      </c>
      <c r="BC48" s="289" t="n">
        <v>0</v>
      </c>
      <c r="BD48" s="290" t="n">
        <v>0</v>
      </c>
      <c r="BE48" s="291" t="n">
        <v>5</v>
      </c>
      <c r="BF48" s="289" t="n">
        <v>0</v>
      </c>
      <c r="BG48" s="289" t="n">
        <v>0</v>
      </c>
      <c r="BH48" s="290" t="n">
        <v>0</v>
      </c>
      <c r="BI48" s="291" t="n">
        <v>0</v>
      </c>
      <c r="BJ48" s="289" t="n">
        <v>2</v>
      </c>
      <c r="BK48" s="289" t="n">
        <v>0</v>
      </c>
      <c r="BL48" s="290" t="n">
        <v>2</v>
      </c>
      <c r="BM48" s="291" t="n">
        <v>6</v>
      </c>
      <c r="BN48" s="289" t="n">
        <v>1</v>
      </c>
      <c r="BO48" s="289" t="n">
        <v>2</v>
      </c>
      <c r="BP48" s="292" t="n">
        <v>9</v>
      </c>
      <c r="BQ48" s="293"/>
      <c r="BR48" s="294"/>
      <c r="BS48" s="294"/>
      <c r="BT48" s="295"/>
    </row>
    <row r="49" customFormat="false" ht="24" hidden="false" customHeight="true" outlineLevel="0" collapsed="false">
      <c r="B49" s="285" t="s">
        <v>88</v>
      </c>
      <c r="C49" s="286" t="e">
        <f aca="false">SUM(D49:BT49)</f>
        <v>#REF!</v>
      </c>
      <c r="D49" s="287" t="n">
        <v>0</v>
      </c>
      <c r="E49" s="288" t="n">
        <v>0</v>
      </c>
      <c r="F49" s="289" t="n">
        <v>0</v>
      </c>
      <c r="G49" s="289" t="n">
        <v>4</v>
      </c>
      <c r="H49" s="289" t="n">
        <v>0</v>
      </c>
      <c r="I49" s="290" t="n">
        <v>0</v>
      </c>
      <c r="J49" s="291" t="n">
        <v>1</v>
      </c>
      <c r="K49" s="289" t="n">
        <v>1</v>
      </c>
      <c r="L49" s="289" t="n">
        <v>0</v>
      </c>
      <c r="M49" s="290" t="n">
        <v>3</v>
      </c>
      <c r="N49" s="291" t="n">
        <v>0</v>
      </c>
      <c r="O49" s="289" t="n">
        <v>3</v>
      </c>
      <c r="P49" s="289" t="n">
        <v>0</v>
      </c>
      <c r="Q49" s="290" t="n">
        <v>0</v>
      </c>
      <c r="R49" s="291" t="n">
        <v>0</v>
      </c>
      <c r="S49" s="289" t="n">
        <v>0</v>
      </c>
      <c r="T49" s="289" t="n">
        <v>0</v>
      </c>
      <c r="U49" s="290" t="n">
        <v>0</v>
      </c>
      <c r="V49" s="291" t="n">
        <v>3</v>
      </c>
      <c r="W49" s="289" t="n">
        <v>0</v>
      </c>
      <c r="X49" s="289" t="n">
        <v>0</v>
      </c>
      <c r="Y49" s="289" t="n">
        <v>0</v>
      </c>
      <c r="Z49" s="290" t="n">
        <v>0</v>
      </c>
      <c r="AA49" s="291" t="n">
        <v>0</v>
      </c>
      <c r="AB49" s="289" t="n">
        <v>0</v>
      </c>
      <c r="AC49" s="289" t="n">
        <v>0</v>
      </c>
      <c r="AD49" s="290" t="n">
        <v>0</v>
      </c>
      <c r="AE49" s="291" t="n">
        <v>0</v>
      </c>
      <c r="AF49" s="289" t="n">
        <v>0</v>
      </c>
      <c r="AG49" s="289" t="n">
        <v>0</v>
      </c>
      <c r="AH49" s="290" t="n">
        <v>0</v>
      </c>
      <c r="AI49" s="290" t="n">
        <v>0</v>
      </c>
      <c r="AJ49" s="291" t="n">
        <v>0</v>
      </c>
      <c r="AK49" s="289" t="n">
        <v>3</v>
      </c>
      <c r="AL49" s="289" t="n">
        <v>2</v>
      </c>
      <c r="AM49" s="290" t="n">
        <v>0</v>
      </c>
      <c r="AN49" s="291" t="n">
        <v>0</v>
      </c>
      <c r="AO49" s="289" t="n">
        <v>0</v>
      </c>
      <c r="AP49" s="289" t="n">
        <v>0</v>
      </c>
      <c r="AQ49" s="290" t="n">
        <v>3</v>
      </c>
      <c r="AR49" s="291" t="n">
        <v>4</v>
      </c>
      <c r="AS49" s="289" t="n">
        <v>2</v>
      </c>
      <c r="AT49" s="289" t="n">
        <v>0</v>
      </c>
      <c r="AU49" s="289" t="n">
        <v>0</v>
      </c>
      <c r="AV49" s="290" t="n">
        <v>2</v>
      </c>
      <c r="AW49" s="291" t="n">
        <v>5</v>
      </c>
      <c r="AX49" s="289" t="n">
        <v>0</v>
      </c>
      <c r="AY49" s="289" t="n">
        <v>2</v>
      </c>
      <c r="AZ49" s="290" t="n">
        <v>1</v>
      </c>
      <c r="BA49" s="291" t="n">
        <v>3</v>
      </c>
      <c r="BB49" s="289" t="n">
        <v>0</v>
      </c>
      <c r="BC49" s="289" t="n">
        <v>3</v>
      </c>
      <c r="BD49" s="290" t="n">
        <v>2</v>
      </c>
      <c r="BE49" s="291" t="n">
        <v>3</v>
      </c>
      <c r="BF49" s="289" t="n">
        <v>0</v>
      </c>
      <c r="BG49" s="289" t="n">
        <v>0</v>
      </c>
      <c r="BH49" s="290" t="n">
        <v>0</v>
      </c>
      <c r="BI49" s="291" t="n">
        <v>4</v>
      </c>
      <c r="BJ49" s="289" t="n">
        <v>0</v>
      </c>
      <c r="BK49" s="289" t="n">
        <v>0</v>
      </c>
      <c r="BL49" s="290" t="n">
        <v>5</v>
      </c>
      <c r="BM49" s="291" t="n">
        <v>0</v>
      </c>
      <c r="BN49" s="289" t="n">
        <v>5</v>
      </c>
      <c r="BO49" s="289" t="n">
        <v>1</v>
      </c>
      <c r="BP49" s="292" t="n">
        <v>0</v>
      </c>
      <c r="BQ49" s="293"/>
      <c r="BR49" s="294"/>
      <c r="BS49" s="294"/>
      <c r="BT49" s="295"/>
    </row>
    <row r="50" customFormat="false" ht="24" hidden="false" customHeight="true" outlineLevel="0" collapsed="false">
      <c r="B50" s="285" t="s">
        <v>90</v>
      </c>
      <c r="C50" s="286" t="e">
        <f aca="false">SUM(D50:BT50)</f>
        <v>#REF!</v>
      </c>
      <c r="D50" s="287" t="n">
        <v>0</v>
      </c>
      <c r="E50" s="288" t="n">
        <v>0</v>
      </c>
      <c r="F50" s="289" t="n">
        <v>0</v>
      </c>
      <c r="G50" s="289" t="n">
        <v>0</v>
      </c>
      <c r="H50" s="289" t="n">
        <v>1</v>
      </c>
      <c r="I50" s="290" t="n">
        <v>0</v>
      </c>
      <c r="J50" s="291" t="n">
        <v>0</v>
      </c>
      <c r="K50" s="289" t="n">
        <v>0</v>
      </c>
      <c r="L50" s="289" t="n">
        <v>0</v>
      </c>
      <c r="M50" s="290" t="n">
        <v>0</v>
      </c>
      <c r="N50" s="291" t="n">
        <v>0</v>
      </c>
      <c r="O50" s="289" t="n">
        <v>0</v>
      </c>
      <c r="P50" s="289" t="n">
        <v>0</v>
      </c>
      <c r="Q50" s="290" t="n">
        <v>0</v>
      </c>
      <c r="R50" s="291" t="n">
        <v>1</v>
      </c>
      <c r="S50" s="289" t="n">
        <v>0</v>
      </c>
      <c r="T50" s="289" t="n">
        <v>0</v>
      </c>
      <c r="U50" s="290" t="n">
        <v>0</v>
      </c>
      <c r="V50" s="291" t="n">
        <v>0</v>
      </c>
      <c r="W50" s="289" t="n">
        <v>20</v>
      </c>
      <c r="X50" s="289" t="n">
        <v>4</v>
      </c>
      <c r="Y50" s="289" t="n">
        <v>8</v>
      </c>
      <c r="Z50" s="290" t="n">
        <v>2</v>
      </c>
      <c r="AA50" s="291" t="n">
        <v>6</v>
      </c>
      <c r="AB50" s="289" t="n">
        <v>8</v>
      </c>
      <c r="AC50" s="289" t="n">
        <v>10</v>
      </c>
      <c r="AD50" s="290" t="n">
        <v>15</v>
      </c>
      <c r="AE50" s="291" t="n">
        <v>11</v>
      </c>
      <c r="AF50" s="289" t="n">
        <v>13</v>
      </c>
      <c r="AG50" s="289" t="n">
        <v>5</v>
      </c>
      <c r="AH50" s="290" t="n">
        <v>4</v>
      </c>
      <c r="AI50" s="290" t="n">
        <v>4</v>
      </c>
      <c r="AJ50" s="291" t="n">
        <v>11</v>
      </c>
      <c r="AK50" s="289" t="n">
        <v>1</v>
      </c>
      <c r="AL50" s="289" t="n">
        <v>8</v>
      </c>
      <c r="AM50" s="290" t="n">
        <v>5</v>
      </c>
      <c r="AN50" s="291" t="n">
        <v>7</v>
      </c>
      <c r="AO50" s="289" t="n">
        <v>13</v>
      </c>
      <c r="AP50" s="289" t="n">
        <v>7</v>
      </c>
      <c r="AQ50" s="290" t="n">
        <v>6</v>
      </c>
      <c r="AR50" s="291" t="n">
        <v>0</v>
      </c>
      <c r="AS50" s="289" t="n">
        <v>13</v>
      </c>
      <c r="AT50" s="289" t="n">
        <v>2</v>
      </c>
      <c r="AU50" s="289" t="n">
        <v>3</v>
      </c>
      <c r="AV50" s="290" t="n">
        <v>2</v>
      </c>
      <c r="AW50" s="291" t="n">
        <v>9</v>
      </c>
      <c r="AX50" s="289" t="n">
        <v>4</v>
      </c>
      <c r="AY50" s="289" t="n">
        <v>8</v>
      </c>
      <c r="AZ50" s="290" t="n">
        <v>1</v>
      </c>
      <c r="BA50" s="291" t="n">
        <v>6</v>
      </c>
      <c r="BB50" s="289" t="n">
        <v>19</v>
      </c>
      <c r="BC50" s="289" t="n">
        <v>8</v>
      </c>
      <c r="BD50" s="290" t="n">
        <v>10</v>
      </c>
      <c r="BE50" s="291" t="n">
        <v>6</v>
      </c>
      <c r="BF50" s="289" t="n">
        <v>23</v>
      </c>
      <c r="BG50" s="289" t="n">
        <v>16</v>
      </c>
      <c r="BH50" s="290" t="n">
        <v>22</v>
      </c>
      <c r="BI50" s="291" t="n">
        <v>23</v>
      </c>
      <c r="BJ50" s="289" t="n">
        <v>22</v>
      </c>
      <c r="BK50" s="289" t="n">
        <v>21</v>
      </c>
      <c r="BL50" s="290" t="n">
        <v>32</v>
      </c>
      <c r="BM50" s="291" t="n">
        <v>52</v>
      </c>
      <c r="BN50" s="289" t="n">
        <v>38</v>
      </c>
      <c r="BO50" s="289" t="n">
        <v>35</v>
      </c>
      <c r="BP50" s="292" t="n">
        <v>45</v>
      </c>
      <c r="BQ50" s="293"/>
      <c r="BR50" s="294"/>
      <c r="BS50" s="294"/>
      <c r="BT50" s="295"/>
    </row>
    <row r="51" customFormat="false" ht="34" hidden="false" customHeight="true" outlineLevel="0" collapsed="false">
      <c r="B51" s="296" t="s">
        <v>91</v>
      </c>
      <c r="C51" s="286" t="e">
        <f aca="false">SUM(D51:BT51)</f>
        <v>#REF!</v>
      </c>
      <c r="D51" s="287" t="n">
        <v>0</v>
      </c>
      <c r="E51" s="288" t="n">
        <v>0</v>
      </c>
      <c r="F51" s="289" t="n">
        <v>0</v>
      </c>
      <c r="G51" s="289" t="n">
        <v>8</v>
      </c>
      <c r="H51" s="289" t="n">
        <v>1</v>
      </c>
      <c r="I51" s="290" t="n">
        <v>0</v>
      </c>
      <c r="J51" s="291" t="n">
        <v>4</v>
      </c>
      <c r="K51" s="289" t="n">
        <v>4</v>
      </c>
      <c r="L51" s="289" t="n">
        <v>0</v>
      </c>
      <c r="M51" s="290" t="n">
        <v>1</v>
      </c>
      <c r="N51" s="291" t="n">
        <v>1</v>
      </c>
      <c r="O51" s="289" t="n">
        <v>0</v>
      </c>
      <c r="P51" s="289" t="n">
        <v>0</v>
      </c>
      <c r="Q51" s="290" t="n">
        <v>1</v>
      </c>
      <c r="R51" s="291" t="n">
        <v>6</v>
      </c>
      <c r="S51" s="289" t="n">
        <v>9</v>
      </c>
      <c r="T51" s="289" t="n">
        <v>2</v>
      </c>
      <c r="U51" s="290" t="n">
        <v>2</v>
      </c>
      <c r="V51" s="291" t="n">
        <v>8</v>
      </c>
      <c r="W51" s="289" t="n">
        <v>0</v>
      </c>
      <c r="X51" s="289" t="n">
        <v>2</v>
      </c>
      <c r="Y51" s="289" t="n">
        <v>0</v>
      </c>
      <c r="Z51" s="290" t="n">
        <v>1</v>
      </c>
      <c r="AA51" s="291" t="n">
        <v>5</v>
      </c>
      <c r="AB51" s="289" t="n">
        <v>0</v>
      </c>
      <c r="AC51" s="289" t="n">
        <v>0</v>
      </c>
      <c r="AD51" s="290" t="n">
        <v>12</v>
      </c>
      <c r="AE51" s="291" t="n">
        <v>0</v>
      </c>
      <c r="AF51" s="289" t="n">
        <v>6</v>
      </c>
      <c r="AG51" s="289" t="n">
        <v>8</v>
      </c>
      <c r="AH51" s="290" t="n">
        <v>2</v>
      </c>
      <c r="AI51" s="290" t="n">
        <v>12</v>
      </c>
      <c r="AJ51" s="291" t="n">
        <v>0</v>
      </c>
      <c r="AK51" s="289" t="n">
        <v>0</v>
      </c>
      <c r="AL51" s="289" t="n">
        <v>1</v>
      </c>
      <c r="AM51" s="290" t="n">
        <v>14</v>
      </c>
      <c r="AN51" s="291" t="n">
        <v>4</v>
      </c>
      <c r="AO51" s="289" t="n">
        <v>0</v>
      </c>
      <c r="AP51" s="289" t="n">
        <v>8</v>
      </c>
      <c r="AQ51" s="290" t="n">
        <v>0</v>
      </c>
      <c r="AR51" s="291" t="n">
        <v>0</v>
      </c>
      <c r="AS51" s="289" t="n">
        <v>2</v>
      </c>
      <c r="AT51" s="289" t="n">
        <v>0</v>
      </c>
      <c r="AU51" s="289" t="n">
        <v>8</v>
      </c>
      <c r="AV51" s="290" t="n">
        <v>7</v>
      </c>
      <c r="AW51" s="291" t="n">
        <v>0</v>
      </c>
      <c r="AX51" s="289" t="n">
        <v>0</v>
      </c>
      <c r="AY51" s="289" t="n">
        <v>0</v>
      </c>
      <c r="AZ51" s="290" t="n">
        <v>0</v>
      </c>
      <c r="BA51" s="291" t="n">
        <v>0</v>
      </c>
      <c r="BB51" s="289" t="n">
        <v>0</v>
      </c>
      <c r="BC51" s="289" t="n">
        <v>0</v>
      </c>
      <c r="BD51" s="290" t="n">
        <v>1</v>
      </c>
      <c r="BE51" s="291" t="n">
        <v>0</v>
      </c>
      <c r="BF51" s="289" t="n">
        <v>0</v>
      </c>
      <c r="BG51" s="289" t="n">
        <v>0</v>
      </c>
      <c r="BH51" s="290" t="n">
        <v>0</v>
      </c>
      <c r="BI51" s="291" t="n">
        <v>4</v>
      </c>
      <c r="BJ51" s="289" t="n">
        <v>0</v>
      </c>
      <c r="BK51" s="289" t="n">
        <v>0</v>
      </c>
      <c r="BL51" s="290" t="n">
        <v>0</v>
      </c>
      <c r="BM51" s="291" t="n">
        <v>0</v>
      </c>
      <c r="BN51" s="289" t="n">
        <v>0</v>
      </c>
      <c r="BO51" s="289" t="n">
        <v>0</v>
      </c>
      <c r="BP51" s="292" t="n">
        <v>0</v>
      </c>
      <c r="BQ51" s="293"/>
      <c r="BR51" s="294"/>
      <c r="BS51" s="294"/>
      <c r="BT51" s="295"/>
    </row>
    <row r="52" customFormat="false" ht="24" hidden="false" customHeight="true" outlineLevel="0" collapsed="false">
      <c r="B52" s="285" t="s">
        <v>92</v>
      </c>
      <c r="C52" s="286" t="e">
        <f aca="false">SUM(D52:BT52)</f>
        <v>#REF!</v>
      </c>
      <c r="D52" s="287" t="n">
        <v>0</v>
      </c>
      <c r="E52" s="288" t="n">
        <v>0</v>
      </c>
      <c r="F52" s="289" t="n">
        <v>0</v>
      </c>
      <c r="G52" s="289" t="n">
        <v>0</v>
      </c>
      <c r="H52" s="289" t="n">
        <v>8</v>
      </c>
      <c r="I52" s="290" t="n">
        <v>0</v>
      </c>
      <c r="J52" s="291" t="n">
        <v>0</v>
      </c>
      <c r="K52" s="289" t="n">
        <v>0</v>
      </c>
      <c r="L52" s="289" t="n">
        <v>1</v>
      </c>
      <c r="M52" s="290" t="n">
        <v>2</v>
      </c>
      <c r="N52" s="291" t="n">
        <v>0</v>
      </c>
      <c r="O52" s="289" t="n">
        <v>2</v>
      </c>
      <c r="P52" s="289" t="n">
        <v>18</v>
      </c>
      <c r="Q52" s="290" t="n">
        <v>15</v>
      </c>
      <c r="R52" s="291" t="n">
        <v>2</v>
      </c>
      <c r="S52" s="289" t="n">
        <v>9</v>
      </c>
      <c r="T52" s="289" t="n">
        <v>6</v>
      </c>
      <c r="U52" s="290" t="n">
        <v>2</v>
      </c>
      <c r="V52" s="291" t="n">
        <v>0</v>
      </c>
      <c r="W52" s="289" t="n">
        <v>0</v>
      </c>
      <c r="X52" s="289" t="n">
        <v>0</v>
      </c>
      <c r="Y52" s="289" t="n">
        <v>1</v>
      </c>
      <c r="Z52" s="290" t="n">
        <v>2</v>
      </c>
      <c r="AA52" s="291" t="n">
        <v>0</v>
      </c>
      <c r="AB52" s="289" t="n">
        <v>3</v>
      </c>
      <c r="AC52" s="289" t="n">
        <v>1</v>
      </c>
      <c r="AD52" s="290" t="n">
        <v>0</v>
      </c>
      <c r="AE52" s="291" t="n">
        <v>2</v>
      </c>
      <c r="AF52" s="289" t="n">
        <v>6</v>
      </c>
      <c r="AG52" s="289" t="n">
        <v>9</v>
      </c>
      <c r="AH52" s="290" t="n">
        <v>5</v>
      </c>
      <c r="AI52" s="290" t="n">
        <v>3</v>
      </c>
      <c r="AJ52" s="291" t="n">
        <v>7</v>
      </c>
      <c r="AK52" s="289" t="n">
        <v>1</v>
      </c>
      <c r="AL52" s="289" t="n">
        <v>0</v>
      </c>
      <c r="AM52" s="290" t="n">
        <v>10</v>
      </c>
      <c r="AN52" s="291" t="n">
        <v>0</v>
      </c>
      <c r="AO52" s="289" t="n">
        <v>0</v>
      </c>
      <c r="AP52" s="289" t="n">
        <v>3</v>
      </c>
      <c r="AQ52" s="290" t="n">
        <v>0</v>
      </c>
      <c r="AR52" s="291" t="n">
        <v>0</v>
      </c>
      <c r="AS52" s="289" t="n">
        <v>1</v>
      </c>
      <c r="AT52" s="289" t="n">
        <v>0</v>
      </c>
      <c r="AU52" s="289" t="n">
        <v>0</v>
      </c>
      <c r="AV52" s="290" t="n">
        <v>7</v>
      </c>
      <c r="AW52" s="291" t="n">
        <v>0</v>
      </c>
      <c r="AX52" s="289" t="n">
        <v>0</v>
      </c>
      <c r="AY52" s="289" t="n">
        <v>2</v>
      </c>
      <c r="AZ52" s="290" t="n">
        <v>1</v>
      </c>
      <c r="BA52" s="291" t="n">
        <v>5</v>
      </c>
      <c r="BB52" s="289" t="n">
        <v>2</v>
      </c>
      <c r="BC52" s="289" t="n">
        <v>1</v>
      </c>
      <c r="BD52" s="290" t="n">
        <v>1</v>
      </c>
      <c r="BE52" s="291" t="n">
        <v>0</v>
      </c>
      <c r="BF52" s="289" t="n">
        <v>0</v>
      </c>
      <c r="BG52" s="289" t="n">
        <v>0</v>
      </c>
      <c r="BH52" s="290" t="n">
        <v>0</v>
      </c>
      <c r="BI52" s="291" t="n">
        <v>0</v>
      </c>
      <c r="BJ52" s="289" t="n">
        <v>0</v>
      </c>
      <c r="BK52" s="289" t="n">
        <v>4</v>
      </c>
      <c r="BL52" s="290" t="n">
        <v>0</v>
      </c>
      <c r="BM52" s="291" t="n">
        <v>0</v>
      </c>
      <c r="BN52" s="289" t="n">
        <v>0</v>
      </c>
      <c r="BO52" s="289" t="n">
        <v>0</v>
      </c>
      <c r="BP52" s="292" t="n">
        <v>0</v>
      </c>
      <c r="BQ52" s="293"/>
      <c r="BR52" s="294"/>
      <c r="BS52" s="294"/>
      <c r="BT52" s="295"/>
    </row>
    <row r="53" customFormat="false" ht="24" hidden="false" customHeight="true" outlineLevel="0" collapsed="false">
      <c r="B53" s="285" t="s">
        <v>95</v>
      </c>
      <c r="C53" s="286" t="e">
        <f aca="false">SUM(D53:BT53)</f>
        <v>#REF!</v>
      </c>
      <c r="D53" s="287" t="n">
        <v>0</v>
      </c>
      <c r="E53" s="288" t="n">
        <v>0</v>
      </c>
      <c r="F53" s="289" t="n">
        <v>0</v>
      </c>
      <c r="G53" s="289" t="n">
        <v>0</v>
      </c>
      <c r="H53" s="289" t="n">
        <v>0</v>
      </c>
      <c r="I53" s="290" t="n">
        <v>0</v>
      </c>
      <c r="J53" s="291" t="n">
        <v>0</v>
      </c>
      <c r="K53" s="289" t="n">
        <v>0</v>
      </c>
      <c r="L53" s="289" t="n">
        <v>3</v>
      </c>
      <c r="M53" s="290" t="n">
        <v>2</v>
      </c>
      <c r="N53" s="291" t="n">
        <v>5</v>
      </c>
      <c r="O53" s="289" t="n">
        <v>10</v>
      </c>
      <c r="P53" s="289" t="n">
        <v>8</v>
      </c>
      <c r="Q53" s="290" t="n">
        <v>3</v>
      </c>
      <c r="R53" s="291" t="n">
        <v>10</v>
      </c>
      <c r="S53" s="289" t="n">
        <v>1</v>
      </c>
      <c r="T53" s="289" t="n">
        <v>3</v>
      </c>
      <c r="U53" s="290" t="n">
        <v>1</v>
      </c>
      <c r="V53" s="291" t="n">
        <v>3</v>
      </c>
      <c r="W53" s="289" t="n">
        <v>3</v>
      </c>
      <c r="X53" s="289" t="n">
        <v>4</v>
      </c>
      <c r="Y53" s="289" t="n">
        <v>0</v>
      </c>
      <c r="Z53" s="290" t="n">
        <v>0</v>
      </c>
      <c r="AA53" s="291" t="n">
        <v>6</v>
      </c>
      <c r="AB53" s="289" t="n">
        <v>7</v>
      </c>
      <c r="AC53" s="289" t="n">
        <v>2</v>
      </c>
      <c r="AD53" s="290" t="n">
        <v>2</v>
      </c>
      <c r="AE53" s="291" t="n">
        <v>1</v>
      </c>
      <c r="AF53" s="289" t="n">
        <v>0</v>
      </c>
      <c r="AG53" s="289" t="n">
        <v>1</v>
      </c>
      <c r="AH53" s="290" t="n">
        <v>0</v>
      </c>
      <c r="AI53" s="290" t="n">
        <v>0</v>
      </c>
      <c r="AJ53" s="291" t="n">
        <v>5</v>
      </c>
      <c r="AK53" s="289" t="n">
        <v>2</v>
      </c>
      <c r="AL53" s="289" t="n">
        <v>6</v>
      </c>
      <c r="AM53" s="290" t="n">
        <v>5</v>
      </c>
      <c r="AN53" s="291" t="n">
        <v>4</v>
      </c>
      <c r="AO53" s="289" t="n">
        <v>0</v>
      </c>
      <c r="AP53" s="289" t="n">
        <v>3</v>
      </c>
      <c r="AQ53" s="290" t="n">
        <v>0</v>
      </c>
      <c r="AR53" s="291" t="n">
        <v>5</v>
      </c>
      <c r="AS53" s="289" t="n">
        <v>0</v>
      </c>
      <c r="AT53" s="289" t="n">
        <v>1</v>
      </c>
      <c r="AU53" s="289" t="n">
        <v>1</v>
      </c>
      <c r="AV53" s="290" t="n">
        <v>1</v>
      </c>
      <c r="AW53" s="291" t="n">
        <v>0</v>
      </c>
      <c r="AX53" s="289" t="n">
        <v>5</v>
      </c>
      <c r="AY53" s="289" t="n">
        <v>0</v>
      </c>
      <c r="AZ53" s="290" t="n">
        <v>2</v>
      </c>
      <c r="BA53" s="291" t="n">
        <v>2</v>
      </c>
      <c r="BB53" s="289" t="n">
        <v>0</v>
      </c>
      <c r="BC53" s="289" t="n">
        <v>0</v>
      </c>
      <c r="BD53" s="290" t="n">
        <v>0</v>
      </c>
      <c r="BE53" s="291" t="n">
        <v>0</v>
      </c>
      <c r="BF53" s="289" t="n">
        <v>2</v>
      </c>
      <c r="BG53" s="289" t="n">
        <v>2</v>
      </c>
      <c r="BH53" s="290" t="n">
        <v>4</v>
      </c>
      <c r="BI53" s="291" t="n">
        <v>0</v>
      </c>
      <c r="BJ53" s="289" t="n">
        <v>1</v>
      </c>
      <c r="BK53" s="289" t="n">
        <v>0</v>
      </c>
      <c r="BL53" s="290" t="n">
        <v>0</v>
      </c>
      <c r="BM53" s="291" t="n">
        <v>0</v>
      </c>
      <c r="BN53" s="289" t="n">
        <v>0</v>
      </c>
      <c r="BO53" s="289" t="n">
        <v>0</v>
      </c>
      <c r="BP53" s="292" t="n">
        <v>0</v>
      </c>
      <c r="BQ53" s="293"/>
      <c r="BR53" s="294"/>
      <c r="BS53" s="294"/>
      <c r="BT53" s="295"/>
    </row>
    <row r="54" customFormat="false" ht="24" hidden="false" customHeight="true" outlineLevel="0" collapsed="false">
      <c r="B54" s="285" t="s">
        <v>98</v>
      </c>
      <c r="C54" s="286" t="e">
        <f aca="false">SUM(D54:BT54)</f>
        <v>#REF!</v>
      </c>
      <c r="D54" s="287" t="n">
        <v>0</v>
      </c>
      <c r="E54" s="288" t="n">
        <v>0</v>
      </c>
      <c r="F54" s="289" t="n">
        <v>0</v>
      </c>
      <c r="G54" s="289" t="n">
        <v>0</v>
      </c>
      <c r="H54" s="289" t="n">
        <v>0</v>
      </c>
      <c r="I54" s="290" t="n">
        <v>0</v>
      </c>
      <c r="J54" s="291" t="n">
        <v>0</v>
      </c>
      <c r="K54" s="289" t="n">
        <v>0</v>
      </c>
      <c r="L54" s="289" t="n">
        <v>0</v>
      </c>
      <c r="M54" s="290" t="n">
        <v>0</v>
      </c>
      <c r="N54" s="291" t="n">
        <v>0</v>
      </c>
      <c r="O54" s="289" t="n">
        <v>0</v>
      </c>
      <c r="P54" s="289" t="n">
        <v>0</v>
      </c>
      <c r="Q54" s="290" t="n">
        <v>0</v>
      </c>
      <c r="R54" s="291" t="n">
        <v>0</v>
      </c>
      <c r="S54" s="289" t="n">
        <v>0</v>
      </c>
      <c r="T54" s="289" t="n">
        <v>0</v>
      </c>
      <c r="U54" s="290" t="n">
        <v>0</v>
      </c>
      <c r="V54" s="291" t="n">
        <v>0</v>
      </c>
      <c r="W54" s="289" t="n">
        <v>0</v>
      </c>
      <c r="X54" s="289" t="n">
        <v>2</v>
      </c>
      <c r="Y54" s="289" t="n">
        <v>0</v>
      </c>
      <c r="Z54" s="290" t="n">
        <v>3</v>
      </c>
      <c r="AA54" s="291" t="n">
        <v>2</v>
      </c>
      <c r="AB54" s="289" t="n">
        <v>0</v>
      </c>
      <c r="AC54" s="289" t="n">
        <v>0</v>
      </c>
      <c r="AD54" s="290" t="n">
        <v>0</v>
      </c>
      <c r="AE54" s="291" t="n">
        <v>2</v>
      </c>
      <c r="AF54" s="289" t="n">
        <v>0</v>
      </c>
      <c r="AG54" s="289" t="n">
        <v>1</v>
      </c>
      <c r="AH54" s="290" t="n">
        <v>2</v>
      </c>
      <c r="AI54" s="290" t="n">
        <v>4</v>
      </c>
      <c r="AJ54" s="291" t="n">
        <v>3</v>
      </c>
      <c r="AK54" s="289" t="n">
        <v>3</v>
      </c>
      <c r="AL54" s="289" t="n">
        <v>0</v>
      </c>
      <c r="AM54" s="290" t="n">
        <v>5</v>
      </c>
      <c r="AN54" s="291" t="n">
        <v>8</v>
      </c>
      <c r="AO54" s="289" t="n">
        <v>0</v>
      </c>
      <c r="AP54" s="289" t="n">
        <v>3</v>
      </c>
      <c r="AQ54" s="290" t="n">
        <v>14</v>
      </c>
      <c r="AR54" s="291" t="n">
        <v>2</v>
      </c>
      <c r="AS54" s="289" t="n">
        <v>0</v>
      </c>
      <c r="AT54" s="289" t="n">
        <v>0</v>
      </c>
      <c r="AU54" s="289" t="n">
        <v>2</v>
      </c>
      <c r="AV54" s="290" t="n">
        <v>4</v>
      </c>
      <c r="AW54" s="291" t="n">
        <v>0</v>
      </c>
      <c r="AX54" s="289" t="n">
        <v>2</v>
      </c>
      <c r="AY54" s="289" t="n">
        <v>0</v>
      </c>
      <c r="AZ54" s="290" t="n">
        <v>0</v>
      </c>
      <c r="BA54" s="291" t="n">
        <v>0</v>
      </c>
      <c r="BB54" s="289" t="n">
        <v>0</v>
      </c>
      <c r="BC54" s="289" t="n">
        <v>4</v>
      </c>
      <c r="BD54" s="290" t="n">
        <v>0</v>
      </c>
      <c r="BE54" s="291" t="n">
        <v>0</v>
      </c>
      <c r="BF54" s="289" t="n">
        <v>5</v>
      </c>
      <c r="BG54" s="289" t="n">
        <v>0</v>
      </c>
      <c r="BH54" s="290" t="n">
        <v>0</v>
      </c>
      <c r="BI54" s="291" t="n">
        <v>0</v>
      </c>
      <c r="BJ54" s="289" t="n">
        <v>0</v>
      </c>
      <c r="BK54" s="289" t="n">
        <v>1</v>
      </c>
      <c r="BL54" s="290" t="n">
        <v>0</v>
      </c>
      <c r="BM54" s="291" t="n">
        <v>0</v>
      </c>
      <c r="BN54" s="289" t="n">
        <v>0</v>
      </c>
      <c r="BO54" s="289" t="n">
        <v>0</v>
      </c>
      <c r="BP54" s="292" t="n">
        <v>0</v>
      </c>
      <c r="BQ54" s="293"/>
      <c r="BR54" s="294"/>
      <c r="BS54" s="294"/>
      <c r="BT54" s="295"/>
    </row>
    <row r="55" customFormat="false" ht="24" hidden="false" customHeight="true" outlineLevel="0" collapsed="false">
      <c r="B55" s="297" t="s">
        <v>115</v>
      </c>
      <c r="C55" s="298" t="e">
        <f aca="false">SUM(D55:BT55)</f>
        <v>#REF!</v>
      </c>
      <c r="D55" s="299" t="n">
        <v>0</v>
      </c>
      <c r="E55" s="300" t="n">
        <v>0</v>
      </c>
      <c r="F55" s="301" t="n">
        <v>0</v>
      </c>
      <c r="G55" s="301" t="n">
        <v>0</v>
      </c>
      <c r="H55" s="301" t="n">
        <v>0</v>
      </c>
      <c r="I55" s="302" t="n">
        <v>0</v>
      </c>
      <c r="J55" s="303" t="n">
        <v>0</v>
      </c>
      <c r="K55" s="301" t="n">
        <v>0</v>
      </c>
      <c r="L55" s="301" t="n">
        <v>0</v>
      </c>
      <c r="M55" s="302" t="n">
        <v>0</v>
      </c>
      <c r="N55" s="303" t="n">
        <v>0</v>
      </c>
      <c r="O55" s="301" t="n">
        <v>0</v>
      </c>
      <c r="P55" s="301" t="n">
        <v>0</v>
      </c>
      <c r="Q55" s="302" t="n">
        <v>0</v>
      </c>
      <c r="R55" s="303" t="n">
        <v>0</v>
      </c>
      <c r="S55" s="301" t="n">
        <v>0</v>
      </c>
      <c r="T55" s="301" t="n">
        <v>0</v>
      </c>
      <c r="U55" s="302" t="n">
        <v>0</v>
      </c>
      <c r="V55" s="303" t="n">
        <v>0</v>
      </c>
      <c r="W55" s="301" t="n">
        <v>0</v>
      </c>
      <c r="X55" s="301" t="n">
        <v>0</v>
      </c>
      <c r="Y55" s="301" t="n">
        <v>5</v>
      </c>
      <c r="Z55" s="302" t="n">
        <v>0</v>
      </c>
      <c r="AA55" s="303" t="n">
        <v>0</v>
      </c>
      <c r="AB55" s="301" t="n">
        <v>2</v>
      </c>
      <c r="AC55" s="301" t="n">
        <v>4</v>
      </c>
      <c r="AD55" s="302" t="n">
        <v>0</v>
      </c>
      <c r="AE55" s="303" t="n">
        <v>2</v>
      </c>
      <c r="AF55" s="301" t="n">
        <v>4</v>
      </c>
      <c r="AG55" s="301" t="n">
        <v>0</v>
      </c>
      <c r="AH55" s="302" t="n">
        <v>1</v>
      </c>
      <c r="AI55" s="302" t="n">
        <v>6</v>
      </c>
      <c r="AJ55" s="303" t="n">
        <v>0</v>
      </c>
      <c r="AK55" s="301" t="n">
        <v>0</v>
      </c>
      <c r="AL55" s="301" t="n">
        <v>3</v>
      </c>
      <c r="AM55" s="302" t="n">
        <v>4</v>
      </c>
      <c r="AN55" s="303" t="n">
        <v>3</v>
      </c>
      <c r="AO55" s="301" t="n">
        <v>6</v>
      </c>
      <c r="AP55" s="301" t="n">
        <v>0</v>
      </c>
      <c r="AQ55" s="302" t="n">
        <v>0</v>
      </c>
      <c r="AR55" s="303" t="n">
        <v>0</v>
      </c>
      <c r="AS55" s="301" t="n">
        <v>0</v>
      </c>
      <c r="AT55" s="301" t="n">
        <v>0</v>
      </c>
      <c r="AU55" s="301" t="n">
        <v>0</v>
      </c>
      <c r="AV55" s="302" t="n">
        <v>7</v>
      </c>
      <c r="AW55" s="303" t="n">
        <v>0</v>
      </c>
      <c r="AX55" s="301" t="n">
        <v>0</v>
      </c>
      <c r="AY55" s="301" t="n">
        <v>0</v>
      </c>
      <c r="AZ55" s="302" t="n">
        <v>0</v>
      </c>
      <c r="BA55" s="303" t="n">
        <v>3</v>
      </c>
      <c r="BB55" s="301" t="n">
        <v>0</v>
      </c>
      <c r="BC55" s="301" t="n">
        <v>0</v>
      </c>
      <c r="BD55" s="302" t="n">
        <v>0</v>
      </c>
      <c r="BE55" s="303" t="n">
        <v>0</v>
      </c>
      <c r="BF55" s="301" t="n">
        <v>0</v>
      </c>
      <c r="BG55" s="301" t="n">
        <v>0</v>
      </c>
      <c r="BH55" s="302" t="n">
        <v>2</v>
      </c>
      <c r="BI55" s="303" t="n">
        <v>0</v>
      </c>
      <c r="BJ55" s="301" t="n">
        <v>3</v>
      </c>
      <c r="BK55" s="301" t="n">
        <v>7</v>
      </c>
      <c r="BL55" s="302" t="n">
        <v>2</v>
      </c>
      <c r="BM55" s="303" t="n">
        <v>0</v>
      </c>
      <c r="BN55" s="301" t="n">
        <v>3</v>
      </c>
      <c r="BO55" s="301" t="n">
        <v>0</v>
      </c>
      <c r="BP55" s="304" t="n">
        <v>0</v>
      </c>
      <c r="BQ55" s="305"/>
      <c r="BR55" s="306"/>
      <c r="BS55" s="306"/>
      <c r="BT55" s="307"/>
    </row>
    <row r="56" s="308" customFormat="true" ht="14.5" hidden="false" customHeight="false" outlineLevel="0" collapsed="false">
      <c r="C56" s="308" t="e">
        <f aca="false">SUM(C47:C55)</f>
        <v>#REF!</v>
      </c>
      <c r="D56" s="308" t="n">
        <f aca="false">SUM(D47:D55)</f>
        <v>0</v>
      </c>
      <c r="E56" s="308" t="n">
        <f aca="false">SUM(E47:E55)</f>
        <v>0</v>
      </c>
      <c r="F56" s="308" t="n">
        <f aca="false">SUM(F47:F55)</f>
        <v>0</v>
      </c>
      <c r="G56" s="308" t="e">
        <f aca="false">SUM(G47:G55)</f>
        <v>#REF!</v>
      </c>
      <c r="H56" s="308" t="e">
        <f aca="false">SUM(H47:H55)</f>
        <v>#REF!</v>
      </c>
      <c r="I56" s="308" t="e">
        <f aca="false">SUM(I47:I55)</f>
        <v>#REF!</v>
      </c>
      <c r="J56" s="308" t="e">
        <f aca="false">SUM(J47:J55)</f>
        <v>#REF!</v>
      </c>
      <c r="K56" s="308" t="e">
        <f aca="false">SUM(K47:K55)</f>
        <v>#REF!</v>
      </c>
      <c r="L56" s="308" t="e">
        <f aca="false">SUM(L47:L55)</f>
        <v>#REF!</v>
      </c>
      <c r="M56" s="308" t="e">
        <f aca="false">SUM(M47:M55)</f>
        <v>#REF!</v>
      </c>
      <c r="N56" s="308" t="e">
        <f aca="false">SUM(N47:N55)</f>
        <v>#REF!</v>
      </c>
      <c r="O56" s="308" t="e">
        <f aca="false">SUM(O47:O55)</f>
        <v>#REF!</v>
      </c>
      <c r="P56" s="308" t="e">
        <f aca="false">SUM(P47:P55)</f>
        <v>#REF!</v>
      </c>
      <c r="Q56" s="308" t="e">
        <f aca="false">SUM(Q47:Q55)</f>
        <v>#REF!</v>
      </c>
      <c r="R56" s="308" t="e">
        <f aca="false">SUM(R47:R55)</f>
        <v>#REF!</v>
      </c>
      <c r="S56" s="308" t="e">
        <f aca="false">SUM(S47:S55)</f>
        <v>#REF!</v>
      </c>
      <c r="T56" s="308" t="e">
        <f aca="false">SUM(T47:T55)</f>
        <v>#REF!</v>
      </c>
      <c r="U56" s="308" t="e">
        <f aca="false">SUM(U47:U55)</f>
        <v>#REF!</v>
      </c>
      <c r="V56" s="308" t="e">
        <f aca="false">SUM(V47:V55)</f>
        <v>#REF!</v>
      </c>
      <c r="W56" s="308" t="e">
        <f aca="false">SUM(W47:W55)</f>
        <v>#REF!</v>
      </c>
      <c r="X56" s="308" t="e">
        <f aca="false">SUM(X47:X55)</f>
        <v>#REF!</v>
      </c>
      <c r="Y56" s="308" t="e">
        <f aca="false">SUM(Y47:Y55)</f>
        <v>#REF!</v>
      </c>
      <c r="Z56" s="308" t="e">
        <f aca="false">SUM(Z47:Z55)</f>
        <v>#REF!</v>
      </c>
      <c r="AA56" s="308" t="e">
        <f aca="false">SUM(AA47:AA55)</f>
        <v>#REF!</v>
      </c>
      <c r="AB56" s="308" t="e">
        <f aca="false">SUM(AB47:AB55)</f>
        <v>#REF!</v>
      </c>
      <c r="AC56" s="308" t="e">
        <f aca="false">SUM(AC47:AC55)</f>
        <v>#REF!</v>
      </c>
      <c r="AD56" s="308" t="e">
        <f aca="false">SUM(AD47:AD55)</f>
        <v>#REF!</v>
      </c>
      <c r="AE56" s="308" t="e">
        <f aca="false">SUM(AE47:AE55)</f>
        <v>#REF!</v>
      </c>
      <c r="AF56" s="308" t="e">
        <f aca="false">SUM(AF47:AF55)</f>
        <v>#REF!</v>
      </c>
      <c r="AG56" s="308" t="e">
        <f aca="false">SUM(AG47:AG55)</f>
        <v>#REF!</v>
      </c>
      <c r="AH56" s="308" t="e">
        <f aca="false">SUM(AH47:AH55)</f>
        <v>#REF!</v>
      </c>
      <c r="AI56" s="308" t="e">
        <f aca="false">SUM(AI47:AI55)</f>
        <v>#REF!</v>
      </c>
      <c r="AJ56" s="308" t="e">
        <f aca="false">SUM(AJ47:AJ55)</f>
        <v>#REF!</v>
      </c>
      <c r="AK56" s="308" t="e">
        <f aca="false">SUM(AK47:AK55)</f>
        <v>#REF!</v>
      </c>
      <c r="AL56" s="308" t="e">
        <f aca="false">SUM(AL47:AL55)</f>
        <v>#REF!</v>
      </c>
      <c r="AM56" s="308" t="e">
        <f aca="false">SUM(AM47:AM55)</f>
        <v>#REF!</v>
      </c>
      <c r="AN56" s="308" t="e">
        <f aca="false">SUM(AN47:AN55)</f>
        <v>#REF!</v>
      </c>
      <c r="AO56" s="308" t="e">
        <f aca="false">SUM(AO47:AO55)</f>
        <v>#REF!</v>
      </c>
      <c r="AP56" s="308" t="e">
        <f aca="false">SUM(AP47:AP55)</f>
        <v>#REF!</v>
      </c>
      <c r="AQ56" s="308" t="e">
        <f aca="false">SUM(AQ47:AQ55)</f>
        <v>#REF!</v>
      </c>
      <c r="AR56" s="308" t="e">
        <f aca="false">SUM(AR47:AR55)</f>
        <v>#REF!</v>
      </c>
      <c r="AS56" s="308" t="e">
        <f aca="false">SUM(AS47:AS55)</f>
        <v>#REF!</v>
      </c>
      <c r="AT56" s="308" t="e">
        <f aca="false">SUM(AT47:AT55)</f>
        <v>#REF!</v>
      </c>
      <c r="AU56" s="308" t="e">
        <f aca="false">SUM(AU47:AU55)</f>
        <v>#REF!</v>
      </c>
      <c r="AV56" s="308" t="e">
        <f aca="false">SUM(AV47:AV55)</f>
        <v>#REF!</v>
      </c>
      <c r="AW56" s="308" t="e">
        <f aca="false">SUM(AW47:AW55)</f>
        <v>#REF!</v>
      </c>
      <c r="AX56" s="308" t="e">
        <f aca="false">SUM(AX47:AX55)</f>
        <v>#REF!</v>
      </c>
      <c r="AY56" s="308" t="e">
        <f aca="false">SUM(AY47:AY55)</f>
        <v>#REF!</v>
      </c>
      <c r="AZ56" s="308" t="e">
        <f aca="false">SUM(AZ47:AZ55)</f>
        <v>#REF!</v>
      </c>
      <c r="BA56" s="308" t="e">
        <f aca="false">SUM(BA47:BA55)</f>
        <v>#REF!</v>
      </c>
      <c r="BB56" s="308" t="e">
        <f aca="false">SUM(BB47:BB55)</f>
        <v>#REF!</v>
      </c>
      <c r="BC56" s="308" t="e">
        <f aca="false">SUM(BC47:BC55)</f>
        <v>#REF!</v>
      </c>
      <c r="BD56" s="308" t="e">
        <f aca="false">SUM(BD47:BD55)</f>
        <v>#REF!</v>
      </c>
      <c r="BE56" s="308" t="e">
        <f aca="false">SUM(BE47:BE55)</f>
        <v>#REF!</v>
      </c>
      <c r="BF56" s="308" t="e">
        <f aca="false">SUM(BF47:BF55)</f>
        <v>#REF!</v>
      </c>
      <c r="BG56" s="308" t="e">
        <f aca="false">SUM(BG47:BG55)</f>
        <v>#REF!</v>
      </c>
      <c r="BH56" s="308" t="e">
        <f aca="false">SUM(BH47:BH55)</f>
        <v>#REF!</v>
      </c>
      <c r="BI56" s="308" t="e">
        <f aca="false">SUM(BI47:BI55)</f>
        <v>#REF!</v>
      </c>
      <c r="BJ56" s="308" t="e">
        <f aca="false">SUM(BJ47:BJ55)</f>
        <v>#REF!</v>
      </c>
      <c r="BK56" s="308" t="e">
        <f aca="false">SUM(BK47:BK55)</f>
        <v>#REF!</v>
      </c>
      <c r="BL56" s="308" t="e">
        <f aca="false">SUM(BL47:BL55)</f>
        <v>#REF!</v>
      </c>
      <c r="BM56" s="308" t="e">
        <f aca="false">SUM(BM47:BM55)</f>
        <v>#REF!</v>
      </c>
      <c r="BN56" s="308" t="e">
        <f aca="false">SUM(BN47:BN55)</f>
        <v>#REF!</v>
      </c>
      <c r="BO56" s="308" t="e">
        <f aca="false">SUM(BO47:BO55)</f>
        <v>#REF!</v>
      </c>
      <c r="BP56" s="308" t="e">
        <f aca="false">SUM(BP47:BP55)</f>
        <v>#REF!</v>
      </c>
    </row>
    <row r="58" customFormat="false" ht="14.5" hidden="false" customHeight="false" outlineLevel="0" collapsed="false">
      <c r="B58" s="309" t="s">
        <v>488</v>
      </c>
      <c r="C58" s="309"/>
    </row>
    <row r="59" customFormat="false" ht="24" hidden="false" customHeight="true" outlineLevel="0" collapsed="false">
      <c r="B59" s="274" t="s">
        <v>82</v>
      </c>
      <c r="C59" s="310" t="e">
        <f aca="false">+C47/$C$56</f>
        <v>#REF!</v>
      </c>
      <c r="D59" s="311" t="n">
        <v>0</v>
      </c>
      <c r="E59" s="312" t="n">
        <v>0</v>
      </c>
      <c r="F59" s="313" t="n">
        <v>0</v>
      </c>
      <c r="G59" s="314" t="e">
        <f aca="false">+G47/$G$56</f>
        <v>#REF!</v>
      </c>
      <c r="H59" s="314" t="e">
        <f aca="false">+H47/H$56</f>
        <v>#REF!</v>
      </c>
      <c r="I59" s="315" t="n">
        <v>0</v>
      </c>
      <c r="J59" s="312" t="e">
        <f aca="false">+J47/J$56</f>
        <v>#REF!</v>
      </c>
      <c r="K59" s="314" t="e">
        <f aca="false">+K47/K$56</f>
        <v>#REF!</v>
      </c>
      <c r="L59" s="314" t="e">
        <f aca="false">+L47/L$56</f>
        <v>#REF!</v>
      </c>
      <c r="M59" s="315" t="e">
        <f aca="false">+M47/M$56</f>
        <v>#REF!</v>
      </c>
      <c r="N59" s="312" t="e">
        <f aca="false">+N47/N$56</f>
        <v>#REF!</v>
      </c>
      <c r="O59" s="314" t="e">
        <f aca="false">+O47/O$56</f>
        <v>#REF!</v>
      </c>
      <c r="P59" s="314" t="e">
        <f aca="false">+P47/P$56</f>
        <v>#REF!</v>
      </c>
      <c r="Q59" s="311" t="e">
        <f aca="false">+Q47/Q$56</f>
        <v>#REF!</v>
      </c>
      <c r="R59" s="312" t="e">
        <f aca="false">+R47/R$56</f>
        <v>#REF!</v>
      </c>
      <c r="S59" s="314" t="e">
        <f aca="false">+S47/S$56</f>
        <v>#REF!</v>
      </c>
      <c r="T59" s="314" t="e">
        <f aca="false">+T47/T$56</f>
        <v>#REF!</v>
      </c>
      <c r="U59" s="311" t="e">
        <f aca="false">+U47/U$56</f>
        <v>#REF!</v>
      </c>
      <c r="V59" s="312" t="e">
        <f aca="false">+V47/V$56</f>
        <v>#REF!</v>
      </c>
      <c r="W59" s="314" t="e">
        <f aca="false">+W47/W$56</f>
        <v>#REF!</v>
      </c>
      <c r="X59" s="314" t="e">
        <f aca="false">+X47/X$56</f>
        <v>#REF!</v>
      </c>
      <c r="Y59" s="314" t="e">
        <f aca="false">+Y47/Y$56</f>
        <v>#REF!</v>
      </c>
      <c r="Z59" s="311" t="e">
        <f aca="false">+Z47/Z$56</f>
        <v>#REF!</v>
      </c>
      <c r="AA59" s="312" t="e">
        <f aca="false">+AA47/AA$56</f>
        <v>#REF!</v>
      </c>
      <c r="AB59" s="314" t="e">
        <f aca="false">+AB47/AB$56</f>
        <v>#REF!</v>
      </c>
      <c r="AC59" s="314" t="e">
        <f aca="false">+AC47/AC$56</f>
        <v>#REF!</v>
      </c>
      <c r="AD59" s="311" t="e">
        <f aca="false">+AD47/AD$56</f>
        <v>#REF!</v>
      </c>
      <c r="AE59" s="312" t="e">
        <f aca="false">+AE47/AE$56</f>
        <v>#REF!</v>
      </c>
      <c r="AF59" s="314" t="e">
        <f aca="false">+AF47/AF$56</f>
        <v>#REF!</v>
      </c>
      <c r="AG59" s="314" t="e">
        <f aca="false">+AG47/AG$56</f>
        <v>#REF!</v>
      </c>
      <c r="AH59" s="314" t="e">
        <f aca="false">+AH47/AH$56</f>
        <v>#REF!</v>
      </c>
      <c r="AI59" s="311" t="e">
        <f aca="false">+AI47/AI$56</f>
        <v>#REF!</v>
      </c>
      <c r="AJ59" s="312" t="e">
        <f aca="false">+AJ47/AJ$56</f>
        <v>#REF!</v>
      </c>
      <c r="AK59" s="314" t="e">
        <f aca="false">+AK47/AK$56</f>
        <v>#REF!</v>
      </c>
      <c r="AL59" s="314" t="e">
        <f aca="false">+AL47/AL$56</f>
        <v>#REF!</v>
      </c>
      <c r="AM59" s="311" t="e">
        <f aca="false">+AM47/AM$56</f>
        <v>#REF!</v>
      </c>
      <c r="AN59" s="316" t="e">
        <f aca="false">+AN47/AN$56</f>
        <v>#REF!</v>
      </c>
      <c r="AO59" s="314" t="e">
        <f aca="false">+AO47/AO$56</f>
        <v>#REF!</v>
      </c>
      <c r="AP59" s="314" t="e">
        <f aca="false">+AP47/AP$56</f>
        <v>#REF!</v>
      </c>
      <c r="AQ59" s="311" t="e">
        <f aca="false">+AQ47/AQ$56</f>
        <v>#REF!</v>
      </c>
      <c r="AR59" s="312" t="e">
        <f aca="false">+AR47/AR$56</f>
        <v>#REF!</v>
      </c>
      <c r="AS59" s="314" t="e">
        <f aca="false">+AS47/AS$56</f>
        <v>#REF!</v>
      </c>
      <c r="AT59" s="314" t="e">
        <f aca="false">+AT47/AT$56</f>
        <v>#REF!</v>
      </c>
      <c r="AU59" s="314" t="e">
        <f aca="false">+AU47/AU$56</f>
        <v>#REF!</v>
      </c>
      <c r="AV59" s="311" t="e">
        <f aca="false">+AV47/AV$56</f>
        <v>#REF!</v>
      </c>
      <c r="AW59" s="312" t="e">
        <f aca="false">+AW47/AW$56</f>
        <v>#REF!</v>
      </c>
      <c r="AX59" s="314" t="e">
        <f aca="false">+AX47/AX$56</f>
        <v>#REF!</v>
      </c>
      <c r="AY59" s="314" t="e">
        <f aca="false">+AY47/AY$56</f>
        <v>#REF!</v>
      </c>
      <c r="AZ59" s="311" t="e">
        <f aca="false">+AZ47/AZ$56</f>
        <v>#REF!</v>
      </c>
      <c r="BA59" s="316" t="e">
        <f aca="false">+BA47/BA$56</f>
        <v>#REF!</v>
      </c>
      <c r="BB59" s="314" t="e">
        <f aca="false">+BB47/BB$56</f>
        <v>#REF!</v>
      </c>
      <c r="BC59" s="314" t="e">
        <f aca="false">+BC47/BC$56</f>
        <v>#REF!</v>
      </c>
      <c r="BD59" s="311" t="e">
        <f aca="false">+BD47/BD$56</f>
        <v>#REF!</v>
      </c>
      <c r="BE59" s="312" t="e">
        <f aca="false">+BE47/BE$56</f>
        <v>#REF!</v>
      </c>
      <c r="BF59" s="314" t="e">
        <f aca="false">+BF47/BF$56</f>
        <v>#REF!</v>
      </c>
      <c r="BG59" s="314" t="e">
        <f aca="false">+BG47/BG$56</f>
        <v>#REF!</v>
      </c>
      <c r="BH59" s="311" t="e">
        <f aca="false">+BH47/BH$56</f>
        <v>#REF!</v>
      </c>
      <c r="BI59" s="312" t="e">
        <f aca="false">+BI47/BI$56</f>
        <v>#REF!</v>
      </c>
      <c r="BJ59" s="314" t="e">
        <f aca="false">+BJ47/BJ$56</f>
        <v>#REF!</v>
      </c>
      <c r="BK59" s="314" t="e">
        <f aca="false">+BK47/BK$56</f>
        <v>#REF!</v>
      </c>
      <c r="BL59" s="311" t="e">
        <f aca="false">+BL47/BL$56</f>
        <v>#REF!</v>
      </c>
      <c r="BM59" s="312" t="e">
        <f aca="false">+BM47/BM$56</f>
        <v>#REF!</v>
      </c>
      <c r="BN59" s="314" t="e">
        <f aca="false">+BN47/BN$56</f>
        <v>#REF!</v>
      </c>
      <c r="BO59" s="314" t="e">
        <f aca="false">+BO47/BO$56</f>
        <v>#REF!</v>
      </c>
      <c r="BP59" s="315" t="e">
        <f aca="false">+BP47/BP$56</f>
        <v>#REF!</v>
      </c>
      <c r="BQ59" s="282"/>
      <c r="BR59" s="283"/>
      <c r="BS59" s="283"/>
      <c r="BT59" s="284"/>
    </row>
    <row r="60" customFormat="false" ht="24" hidden="false" customHeight="true" outlineLevel="0" collapsed="false">
      <c r="B60" s="285" t="s">
        <v>85</v>
      </c>
      <c r="C60" s="317" t="e">
        <f aca="false">+C48/$C$56</f>
        <v>#REF!</v>
      </c>
      <c r="D60" s="318" t="n">
        <v>0</v>
      </c>
      <c r="E60" s="319" t="n">
        <v>0</v>
      </c>
      <c r="F60" s="320" t="n">
        <v>0</v>
      </c>
      <c r="G60" s="321" t="e">
        <f aca="false">+G48/$G$56</f>
        <v>#REF!</v>
      </c>
      <c r="H60" s="321" t="e">
        <f aca="false">+H48/H$56</f>
        <v>#REF!</v>
      </c>
      <c r="I60" s="322" t="n">
        <v>0</v>
      </c>
      <c r="J60" s="319" t="e">
        <f aca="false">+J48/J$56</f>
        <v>#REF!</v>
      </c>
      <c r="K60" s="321" t="e">
        <f aca="false">+K48/K$56</f>
        <v>#REF!</v>
      </c>
      <c r="L60" s="321" t="e">
        <f aca="false">+L48/L$56</f>
        <v>#REF!</v>
      </c>
      <c r="M60" s="322" t="e">
        <f aca="false">+M48/M$56</f>
        <v>#REF!</v>
      </c>
      <c r="N60" s="319" t="e">
        <f aca="false">+N48/N$56</f>
        <v>#REF!</v>
      </c>
      <c r="O60" s="321" t="e">
        <f aca="false">+O48/O$56</f>
        <v>#REF!</v>
      </c>
      <c r="P60" s="321" t="e">
        <f aca="false">+P48/P$56</f>
        <v>#REF!</v>
      </c>
      <c r="Q60" s="318" t="e">
        <f aca="false">+Q48/Q$56</f>
        <v>#REF!</v>
      </c>
      <c r="R60" s="319" t="e">
        <f aca="false">+R48/R$56</f>
        <v>#REF!</v>
      </c>
      <c r="S60" s="321" t="e">
        <f aca="false">+S48/S$56</f>
        <v>#REF!</v>
      </c>
      <c r="T60" s="321" t="e">
        <f aca="false">+T48/T$56</f>
        <v>#REF!</v>
      </c>
      <c r="U60" s="318" t="e">
        <f aca="false">+U48/U$56</f>
        <v>#REF!</v>
      </c>
      <c r="V60" s="319" t="e">
        <f aca="false">+V48/V$56</f>
        <v>#REF!</v>
      </c>
      <c r="W60" s="321" t="e">
        <f aca="false">+W48/W$56</f>
        <v>#REF!</v>
      </c>
      <c r="X60" s="321" t="e">
        <f aca="false">+X48/X$56</f>
        <v>#REF!</v>
      </c>
      <c r="Y60" s="321" t="e">
        <f aca="false">+Y48/Y$56</f>
        <v>#REF!</v>
      </c>
      <c r="Z60" s="318" t="e">
        <f aca="false">+Z48/Z$56</f>
        <v>#REF!</v>
      </c>
      <c r="AA60" s="319" t="e">
        <f aca="false">+AA48/AA$56</f>
        <v>#REF!</v>
      </c>
      <c r="AB60" s="321" t="e">
        <f aca="false">+AB48/AB$56</f>
        <v>#REF!</v>
      </c>
      <c r="AC60" s="321" t="e">
        <f aca="false">+AC48/AC$56</f>
        <v>#REF!</v>
      </c>
      <c r="AD60" s="318" t="e">
        <f aca="false">+AD48/AD$56</f>
        <v>#REF!</v>
      </c>
      <c r="AE60" s="319" t="e">
        <f aca="false">+AE48/AE$56</f>
        <v>#REF!</v>
      </c>
      <c r="AF60" s="321" t="e">
        <f aca="false">+AF48/AF$56</f>
        <v>#REF!</v>
      </c>
      <c r="AG60" s="321" t="e">
        <f aca="false">+AG48/AG$56</f>
        <v>#REF!</v>
      </c>
      <c r="AH60" s="321" t="e">
        <f aca="false">+AH48/AH$56</f>
        <v>#REF!</v>
      </c>
      <c r="AI60" s="318" t="e">
        <f aca="false">+AI48/AI$56</f>
        <v>#REF!</v>
      </c>
      <c r="AJ60" s="319" t="e">
        <f aca="false">+AJ48/AJ$56</f>
        <v>#REF!</v>
      </c>
      <c r="AK60" s="321" t="e">
        <f aca="false">+AK48/AK$56</f>
        <v>#REF!</v>
      </c>
      <c r="AL60" s="321" t="e">
        <f aca="false">+AL48/AL$56</f>
        <v>#REF!</v>
      </c>
      <c r="AM60" s="318" t="e">
        <f aca="false">+AM48/AM$56</f>
        <v>#REF!</v>
      </c>
      <c r="AN60" s="323" t="e">
        <f aca="false">+AN48/AN$56</f>
        <v>#REF!</v>
      </c>
      <c r="AO60" s="321" t="e">
        <f aca="false">+AO48/AO$56</f>
        <v>#REF!</v>
      </c>
      <c r="AP60" s="321" t="e">
        <f aca="false">+AP48/AP$56</f>
        <v>#REF!</v>
      </c>
      <c r="AQ60" s="318" t="e">
        <f aca="false">+AQ48/AQ$56</f>
        <v>#REF!</v>
      </c>
      <c r="AR60" s="319" t="e">
        <f aca="false">+AR48/AR$56</f>
        <v>#REF!</v>
      </c>
      <c r="AS60" s="321" t="e">
        <f aca="false">+AS48/AS$56</f>
        <v>#REF!</v>
      </c>
      <c r="AT60" s="321" t="e">
        <f aca="false">+AT48/AT$56</f>
        <v>#REF!</v>
      </c>
      <c r="AU60" s="321" t="e">
        <f aca="false">+AU48/AU$56</f>
        <v>#REF!</v>
      </c>
      <c r="AV60" s="318" t="e">
        <f aca="false">+AV48/AV$56</f>
        <v>#REF!</v>
      </c>
      <c r="AW60" s="319" t="e">
        <f aca="false">+AW48/AW$56</f>
        <v>#REF!</v>
      </c>
      <c r="AX60" s="321" t="e">
        <f aca="false">+AX48/AX$56</f>
        <v>#REF!</v>
      </c>
      <c r="AY60" s="321" t="e">
        <f aca="false">+AY48/AY$56</f>
        <v>#REF!</v>
      </c>
      <c r="AZ60" s="318" t="e">
        <f aca="false">+AZ48/AZ$56</f>
        <v>#REF!</v>
      </c>
      <c r="BA60" s="323" t="e">
        <f aca="false">+BA48/BA$56</f>
        <v>#REF!</v>
      </c>
      <c r="BB60" s="321" t="e">
        <f aca="false">+BB48/BB$56</f>
        <v>#REF!</v>
      </c>
      <c r="BC60" s="321" t="e">
        <f aca="false">+BC48/BC$56</f>
        <v>#REF!</v>
      </c>
      <c r="BD60" s="318" t="e">
        <f aca="false">+BD48/BD$56</f>
        <v>#REF!</v>
      </c>
      <c r="BE60" s="319" t="e">
        <f aca="false">+BE48/BE$56</f>
        <v>#REF!</v>
      </c>
      <c r="BF60" s="321" t="e">
        <f aca="false">+BF48/BF$56</f>
        <v>#REF!</v>
      </c>
      <c r="BG60" s="321" t="e">
        <f aca="false">+BG48/BG$56</f>
        <v>#REF!</v>
      </c>
      <c r="BH60" s="318" t="e">
        <f aca="false">+BH48/BH$56</f>
        <v>#REF!</v>
      </c>
      <c r="BI60" s="319" t="e">
        <f aca="false">+BI48/BI$56</f>
        <v>#REF!</v>
      </c>
      <c r="BJ60" s="321" t="e">
        <f aca="false">+BJ48/BJ$56</f>
        <v>#REF!</v>
      </c>
      <c r="BK60" s="321" t="e">
        <f aca="false">+BK48/BK$56</f>
        <v>#REF!</v>
      </c>
      <c r="BL60" s="318" t="e">
        <f aca="false">+BL48/BL$56</f>
        <v>#REF!</v>
      </c>
      <c r="BM60" s="319" t="e">
        <f aca="false">+BM48/BM$56</f>
        <v>#REF!</v>
      </c>
      <c r="BN60" s="321" t="e">
        <f aca="false">+BN48/BN$56</f>
        <v>#REF!</v>
      </c>
      <c r="BO60" s="321" t="e">
        <f aca="false">+BO48/BO$56</f>
        <v>#REF!</v>
      </c>
      <c r="BP60" s="322" t="e">
        <f aca="false">+BP48/BP$56</f>
        <v>#REF!</v>
      </c>
      <c r="BQ60" s="293"/>
      <c r="BR60" s="294"/>
      <c r="BS60" s="294"/>
      <c r="BT60" s="295"/>
    </row>
    <row r="61" customFormat="false" ht="24" hidden="false" customHeight="true" outlineLevel="0" collapsed="false">
      <c r="B61" s="285" t="s">
        <v>88</v>
      </c>
      <c r="C61" s="317" t="e">
        <f aca="false">+C49/$C$56</f>
        <v>#REF!</v>
      </c>
      <c r="D61" s="318" t="n">
        <v>0</v>
      </c>
      <c r="E61" s="319" t="n">
        <v>0</v>
      </c>
      <c r="F61" s="320" t="n">
        <v>0</v>
      </c>
      <c r="G61" s="321" t="e">
        <f aca="false">+G49/$G$56</f>
        <v>#REF!</v>
      </c>
      <c r="H61" s="321" t="e">
        <f aca="false">+H49/H$56</f>
        <v>#REF!</v>
      </c>
      <c r="I61" s="322" t="n">
        <v>0</v>
      </c>
      <c r="J61" s="319" t="e">
        <f aca="false">+J49/J$56</f>
        <v>#REF!</v>
      </c>
      <c r="K61" s="321" t="e">
        <f aca="false">+K49/K$56</f>
        <v>#REF!</v>
      </c>
      <c r="L61" s="321" t="e">
        <f aca="false">+L49/L$56</f>
        <v>#REF!</v>
      </c>
      <c r="M61" s="322" t="e">
        <f aca="false">+M49/M$56</f>
        <v>#REF!</v>
      </c>
      <c r="N61" s="319" t="e">
        <f aca="false">+N49/N$56</f>
        <v>#REF!</v>
      </c>
      <c r="O61" s="321" t="e">
        <f aca="false">+O49/O$56</f>
        <v>#REF!</v>
      </c>
      <c r="P61" s="321" t="e">
        <f aca="false">+P49/P$56</f>
        <v>#REF!</v>
      </c>
      <c r="Q61" s="318" t="e">
        <f aca="false">+Q49/Q$56</f>
        <v>#REF!</v>
      </c>
      <c r="R61" s="319" t="e">
        <f aca="false">+R49/R$56</f>
        <v>#REF!</v>
      </c>
      <c r="S61" s="321" t="e">
        <f aca="false">+S49/S$56</f>
        <v>#REF!</v>
      </c>
      <c r="T61" s="321" t="e">
        <f aca="false">+T49/T$56</f>
        <v>#REF!</v>
      </c>
      <c r="U61" s="318" t="e">
        <f aca="false">+U49/U$56</f>
        <v>#REF!</v>
      </c>
      <c r="V61" s="319" t="e">
        <f aca="false">+V49/V$56</f>
        <v>#REF!</v>
      </c>
      <c r="W61" s="321" t="e">
        <f aca="false">+W49/W$56</f>
        <v>#REF!</v>
      </c>
      <c r="X61" s="321" t="e">
        <f aca="false">+X49/X$56</f>
        <v>#REF!</v>
      </c>
      <c r="Y61" s="321" t="e">
        <f aca="false">+Y49/Y$56</f>
        <v>#REF!</v>
      </c>
      <c r="Z61" s="318" t="e">
        <f aca="false">+Z49/Z$56</f>
        <v>#REF!</v>
      </c>
      <c r="AA61" s="319" t="e">
        <f aca="false">+AA49/AA$56</f>
        <v>#REF!</v>
      </c>
      <c r="AB61" s="321" t="e">
        <f aca="false">+AB49/AB$56</f>
        <v>#REF!</v>
      </c>
      <c r="AC61" s="321" t="e">
        <f aca="false">+AC49/AC$56</f>
        <v>#REF!</v>
      </c>
      <c r="AD61" s="318" t="e">
        <f aca="false">+AD49/AD$56</f>
        <v>#REF!</v>
      </c>
      <c r="AE61" s="319" t="e">
        <f aca="false">+AE49/AE$56</f>
        <v>#REF!</v>
      </c>
      <c r="AF61" s="321" t="e">
        <f aca="false">+AF49/AF$56</f>
        <v>#REF!</v>
      </c>
      <c r="AG61" s="321" t="e">
        <f aca="false">+AG49/AG$56</f>
        <v>#REF!</v>
      </c>
      <c r="AH61" s="321" t="e">
        <f aca="false">+AH49/AH$56</f>
        <v>#REF!</v>
      </c>
      <c r="AI61" s="318" t="e">
        <f aca="false">+AI49/AI$56</f>
        <v>#REF!</v>
      </c>
      <c r="AJ61" s="319" t="e">
        <f aca="false">+AJ49/AJ$56</f>
        <v>#REF!</v>
      </c>
      <c r="AK61" s="321" t="e">
        <f aca="false">+AK49/AK$56</f>
        <v>#REF!</v>
      </c>
      <c r="AL61" s="321" t="e">
        <f aca="false">+AL49/AL$56</f>
        <v>#REF!</v>
      </c>
      <c r="AM61" s="318" t="e">
        <f aca="false">+AM49/AM$56</f>
        <v>#REF!</v>
      </c>
      <c r="AN61" s="323" t="e">
        <f aca="false">+AN49/AN$56</f>
        <v>#REF!</v>
      </c>
      <c r="AO61" s="321" t="e">
        <f aca="false">+AO49/AO$56</f>
        <v>#REF!</v>
      </c>
      <c r="AP61" s="321" t="e">
        <f aca="false">+AP49/AP$56</f>
        <v>#REF!</v>
      </c>
      <c r="AQ61" s="318" t="e">
        <f aca="false">+AQ49/AQ$56</f>
        <v>#REF!</v>
      </c>
      <c r="AR61" s="319" t="e">
        <f aca="false">+AR49/AR$56</f>
        <v>#REF!</v>
      </c>
      <c r="AS61" s="321" t="e">
        <f aca="false">+AS49/AS$56</f>
        <v>#REF!</v>
      </c>
      <c r="AT61" s="321" t="e">
        <f aca="false">+AT49/AT$56</f>
        <v>#REF!</v>
      </c>
      <c r="AU61" s="321" t="e">
        <f aca="false">+AU49/AU$56</f>
        <v>#REF!</v>
      </c>
      <c r="AV61" s="318" t="e">
        <f aca="false">+AV49/AV$56</f>
        <v>#REF!</v>
      </c>
      <c r="AW61" s="319" t="e">
        <f aca="false">+AW49/AW$56</f>
        <v>#REF!</v>
      </c>
      <c r="AX61" s="321" t="e">
        <f aca="false">+AX49/AX$56</f>
        <v>#REF!</v>
      </c>
      <c r="AY61" s="321" t="e">
        <f aca="false">+AY49/AY$56</f>
        <v>#REF!</v>
      </c>
      <c r="AZ61" s="318" t="e">
        <f aca="false">+AZ49/AZ$56</f>
        <v>#REF!</v>
      </c>
      <c r="BA61" s="323" t="e">
        <f aca="false">+BA49/BA$56</f>
        <v>#REF!</v>
      </c>
      <c r="BB61" s="321" t="e">
        <f aca="false">+BB49/BB$56</f>
        <v>#REF!</v>
      </c>
      <c r="BC61" s="321" t="e">
        <f aca="false">+BC49/BC$56</f>
        <v>#REF!</v>
      </c>
      <c r="BD61" s="318" t="e">
        <f aca="false">+BD49/BD$56</f>
        <v>#REF!</v>
      </c>
      <c r="BE61" s="319" t="e">
        <f aca="false">+BE49/BE$56</f>
        <v>#REF!</v>
      </c>
      <c r="BF61" s="321" t="e">
        <f aca="false">+BF49/BF$56</f>
        <v>#REF!</v>
      </c>
      <c r="BG61" s="321" t="e">
        <f aca="false">+BG49/BG$56</f>
        <v>#REF!</v>
      </c>
      <c r="BH61" s="318" t="e">
        <f aca="false">+BH49/BH$56</f>
        <v>#REF!</v>
      </c>
      <c r="BI61" s="319" t="e">
        <f aca="false">+BI49/BI$56</f>
        <v>#REF!</v>
      </c>
      <c r="BJ61" s="321" t="e">
        <f aca="false">+BJ49/BJ$56</f>
        <v>#REF!</v>
      </c>
      <c r="BK61" s="321" t="e">
        <f aca="false">+BK49/BK$56</f>
        <v>#REF!</v>
      </c>
      <c r="BL61" s="318" t="e">
        <f aca="false">+BL49/BL$56</f>
        <v>#REF!</v>
      </c>
      <c r="BM61" s="319" t="e">
        <f aca="false">+BM49/BM$56</f>
        <v>#REF!</v>
      </c>
      <c r="BN61" s="321" t="e">
        <f aca="false">+BN49/BN$56</f>
        <v>#REF!</v>
      </c>
      <c r="BO61" s="321" t="e">
        <f aca="false">+BO49/BO$56</f>
        <v>#REF!</v>
      </c>
      <c r="BP61" s="322" t="e">
        <f aca="false">+BP49/BP$56</f>
        <v>#REF!</v>
      </c>
      <c r="BQ61" s="293"/>
      <c r="BR61" s="294"/>
      <c r="BS61" s="294"/>
      <c r="BT61" s="295"/>
    </row>
    <row r="62" customFormat="false" ht="24" hidden="false" customHeight="true" outlineLevel="0" collapsed="false">
      <c r="B62" s="285" t="s">
        <v>90</v>
      </c>
      <c r="C62" s="317" t="e">
        <f aca="false">+C50/$C$56</f>
        <v>#REF!</v>
      </c>
      <c r="D62" s="318" t="n">
        <v>0</v>
      </c>
      <c r="E62" s="319" t="n">
        <v>0</v>
      </c>
      <c r="F62" s="320" t="n">
        <v>0</v>
      </c>
      <c r="G62" s="321" t="e">
        <f aca="false">+G50/$G$56</f>
        <v>#REF!</v>
      </c>
      <c r="H62" s="321" t="e">
        <f aca="false">+H50/H$56</f>
        <v>#REF!</v>
      </c>
      <c r="I62" s="322" t="n">
        <v>0</v>
      </c>
      <c r="J62" s="319" t="e">
        <f aca="false">+J50/J$56</f>
        <v>#REF!</v>
      </c>
      <c r="K62" s="321" t="e">
        <f aca="false">+K50/K$56</f>
        <v>#REF!</v>
      </c>
      <c r="L62" s="321" t="e">
        <f aca="false">+L50/L$56</f>
        <v>#REF!</v>
      </c>
      <c r="M62" s="322" t="e">
        <f aca="false">+M50/M$56</f>
        <v>#REF!</v>
      </c>
      <c r="N62" s="319" t="e">
        <f aca="false">+N50/N$56</f>
        <v>#REF!</v>
      </c>
      <c r="O62" s="321" t="e">
        <f aca="false">+O50/O$56</f>
        <v>#REF!</v>
      </c>
      <c r="P62" s="321" t="e">
        <f aca="false">+P50/P$56</f>
        <v>#REF!</v>
      </c>
      <c r="Q62" s="318" t="e">
        <f aca="false">+Q50/Q$56</f>
        <v>#REF!</v>
      </c>
      <c r="R62" s="319" t="e">
        <f aca="false">+R50/R$56</f>
        <v>#REF!</v>
      </c>
      <c r="S62" s="321" t="e">
        <f aca="false">+S50/S$56</f>
        <v>#REF!</v>
      </c>
      <c r="T62" s="321" t="e">
        <f aca="false">+T50/T$56</f>
        <v>#REF!</v>
      </c>
      <c r="U62" s="318" t="e">
        <f aca="false">+U50/U$56</f>
        <v>#REF!</v>
      </c>
      <c r="V62" s="319" t="e">
        <f aca="false">+V50/V$56</f>
        <v>#REF!</v>
      </c>
      <c r="W62" s="321" t="e">
        <f aca="false">+W50/W$56</f>
        <v>#REF!</v>
      </c>
      <c r="X62" s="321" t="e">
        <f aca="false">+X50/X$56</f>
        <v>#REF!</v>
      </c>
      <c r="Y62" s="321" t="e">
        <f aca="false">+Y50/Y$56</f>
        <v>#REF!</v>
      </c>
      <c r="Z62" s="318" t="e">
        <f aca="false">+Z50/Z$56</f>
        <v>#REF!</v>
      </c>
      <c r="AA62" s="319" t="e">
        <f aca="false">+AA50/AA$56</f>
        <v>#REF!</v>
      </c>
      <c r="AB62" s="321" t="e">
        <f aca="false">+AB50/AB$56</f>
        <v>#REF!</v>
      </c>
      <c r="AC62" s="321" t="e">
        <f aca="false">+AC50/AC$56</f>
        <v>#REF!</v>
      </c>
      <c r="AD62" s="318" t="e">
        <f aca="false">+AD50/AD$56</f>
        <v>#REF!</v>
      </c>
      <c r="AE62" s="319" t="e">
        <f aca="false">+AE50/AE$56</f>
        <v>#REF!</v>
      </c>
      <c r="AF62" s="321" t="e">
        <f aca="false">+AF50/AF$56</f>
        <v>#REF!</v>
      </c>
      <c r="AG62" s="321" t="e">
        <f aca="false">+AG50/AG$56</f>
        <v>#REF!</v>
      </c>
      <c r="AH62" s="321" t="e">
        <f aca="false">+AH50/AH$56</f>
        <v>#REF!</v>
      </c>
      <c r="AI62" s="318" t="e">
        <f aca="false">+AI50/AI$56</f>
        <v>#REF!</v>
      </c>
      <c r="AJ62" s="319" t="e">
        <f aca="false">+AJ50/AJ$56</f>
        <v>#REF!</v>
      </c>
      <c r="AK62" s="321" t="e">
        <f aca="false">+AK50/AK$56</f>
        <v>#REF!</v>
      </c>
      <c r="AL62" s="321" t="e">
        <f aca="false">+AL50/AL$56</f>
        <v>#REF!</v>
      </c>
      <c r="AM62" s="318" t="e">
        <f aca="false">+AM50/AM$56</f>
        <v>#REF!</v>
      </c>
      <c r="AN62" s="323" t="e">
        <f aca="false">+AN50/AN$56</f>
        <v>#REF!</v>
      </c>
      <c r="AO62" s="321" t="e">
        <f aca="false">+AO50/AO$56</f>
        <v>#REF!</v>
      </c>
      <c r="AP62" s="321" t="e">
        <f aca="false">+AP50/AP$56</f>
        <v>#REF!</v>
      </c>
      <c r="AQ62" s="318" t="e">
        <f aca="false">+AQ50/AQ$56</f>
        <v>#REF!</v>
      </c>
      <c r="AR62" s="319" t="e">
        <f aca="false">+AR50/AR$56</f>
        <v>#REF!</v>
      </c>
      <c r="AS62" s="321" t="e">
        <f aca="false">+AS50/AS$56</f>
        <v>#REF!</v>
      </c>
      <c r="AT62" s="321" t="e">
        <f aca="false">+AT50/AT$56</f>
        <v>#REF!</v>
      </c>
      <c r="AU62" s="321" t="e">
        <f aca="false">+AU50/AU$56</f>
        <v>#REF!</v>
      </c>
      <c r="AV62" s="318" t="e">
        <f aca="false">+AV50/AV$56</f>
        <v>#REF!</v>
      </c>
      <c r="AW62" s="319" t="e">
        <f aca="false">+AW50/AW$56</f>
        <v>#REF!</v>
      </c>
      <c r="AX62" s="321" t="e">
        <f aca="false">+AX50/AX$56</f>
        <v>#REF!</v>
      </c>
      <c r="AY62" s="321" t="e">
        <f aca="false">+AY50/AY$56</f>
        <v>#REF!</v>
      </c>
      <c r="AZ62" s="318" t="e">
        <f aca="false">+AZ50/AZ$56</f>
        <v>#REF!</v>
      </c>
      <c r="BA62" s="323" t="e">
        <f aca="false">+BA50/BA$56</f>
        <v>#REF!</v>
      </c>
      <c r="BB62" s="321" t="e">
        <f aca="false">+BB50/BB$56</f>
        <v>#REF!</v>
      </c>
      <c r="BC62" s="321" t="e">
        <f aca="false">+BC50/BC$56</f>
        <v>#REF!</v>
      </c>
      <c r="BD62" s="318" t="e">
        <f aca="false">+BD50/BD$56</f>
        <v>#REF!</v>
      </c>
      <c r="BE62" s="319" t="e">
        <f aca="false">+BE50/BE$56</f>
        <v>#REF!</v>
      </c>
      <c r="BF62" s="321" t="e">
        <f aca="false">+BF50/BF$56</f>
        <v>#REF!</v>
      </c>
      <c r="BG62" s="321" t="e">
        <f aca="false">+BG50/BG$56</f>
        <v>#REF!</v>
      </c>
      <c r="BH62" s="318" t="e">
        <f aca="false">+BH50/BH$56</f>
        <v>#REF!</v>
      </c>
      <c r="BI62" s="319" t="e">
        <f aca="false">+BI50/BI$56</f>
        <v>#REF!</v>
      </c>
      <c r="BJ62" s="321" t="e">
        <f aca="false">+BJ50/BJ$56</f>
        <v>#REF!</v>
      </c>
      <c r="BK62" s="321" t="e">
        <f aca="false">+BK50/BK$56</f>
        <v>#REF!</v>
      </c>
      <c r="BL62" s="318" t="e">
        <f aca="false">+BL50/BL$56</f>
        <v>#REF!</v>
      </c>
      <c r="BM62" s="319" t="e">
        <f aca="false">+BM50/BM$56</f>
        <v>#REF!</v>
      </c>
      <c r="BN62" s="321" t="e">
        <f aca="false">+BN50/BN$56</f>
        <v>#REF!</v>
      </c>
      <c r="BO62" s="321" t="e">
        <f aca="false">+BO50/BO$56</f>
        <v>#REF!</v>
      </c>
      <c r="BP62" s="322" t="e">
        <f aca="false">+BP50/BP$56</f>
        <v>#REF!</v>
      </c>
      <c r="BQ62" s="293"/>
      <c r="BR62" s="294"/>
      <c r="BS62" s="294"/>
      <c r="BT62" s="295"/>
    </row>
    <row r="63" customFormat="false" ht="34.5" hidden="false" customHeight="true" outlineLevel="0" collapsed="false">
      <c r="B63" s="296" t="s">
        <v>91</v>
      </c>
      <c r="C63" s="317" t="e">
        <f aca="false">+C51/$C$56</f>
        <v>#REF!</v>
      </c>
      <c r="D63" s="318" t="n">
        <v>0</v>
      </c>
      <c r="E63" s="319" t="n">
        <v>0</v>
      </c>
      <c r="F63" s="320" t="n">
        <v>0</v>
      </c>
      <c r="G63" s="321" t="e">
        <f aca="false">+G51/$G$56</f>
        <v>#REF!</v>
      </c>
      <c r="H63" s="321" t="e">
        <f aca="false">+H51/H$56</f>
        <v>#REF!</v>
      </c>
      <c r="I63" s="322" t="n">
        <v>0</v>
      </c>
      <c r="J63" s="319" t="e">
        <f aca="false">+J51/J$56</f>
        <v>#REF!</v>
      </c>
      <c r="K63" s="321" t="e">
        <f aca="false">+K51/K$56</f>
        <v>#REF!</v>
      </c>
      <c r="L63" s="321" t="e">
        <f aca="false">+L51/L$56</f>
        <v>#REF!</v>
      </c>
      <c r="M63" s="322" t="e">
        <f aca="false">+M51/M$56</f>
        <v>#REF!</v>
      </c>
      <c r="N63" s="319" t="e">
        <f aca="false">+N51/N$56</f>
        <v>#REF!</v>
      </c>
      <c r="O63" s="321" t="e">
        <f aca="false">+O51/O$56</f>
        <v>#REF!</v>
      </c>
      <c r="P63" s="321" t="e">
        <f aca="false">+P51/P$56</f>
        <v>#REF!</v>
      </c>
      <c r="Q63" s="318" t="e">
        <f aca="false">+Q51/Q$56</f>
        <v>#REF!</v>
      </c>
      <c r="R63" s="319" t="e">
        <f aca="false">+R51/R$56</f>
        <v>#REF!</v>
      </c>
      <c r="S63" s="321" t="e">
        <f aca="false">+S51/S$56</f>
        <v>#REF!</v>
      </c>
      <c r="T63" s="321" t="e">
        <f aca="false">+T51/T$56</f>
        <v>#REF!</v>
      </c>
      <c r="U63" s="318" t="e">
        <f aca="false">+U51/U$56</f>
        <v>#REF!</v>
      </c>
      <c r="V63" s="319" t="e">
        <f aca="false">+V51/V$56</f>
        <v>#REF!</v>
      </c>
      <c r="W63" s="321" t="e">
        <f aca="false">+W51/W$56</f>
        <v>#REF!</v>
      </c>
      <c r="X63" s="321" t="e">
        <f aca="false">+X51/X$56</f>
        <v>#REF!</v>
      </c>
      <c r="Y63" s="321" t="e">
        <f aca="false">+Y51/Y$56</f>
        <v>#REF!</v>
      </c>
      <c r="Z63" s="318" t="e">
        <f aca="false">+Z51/Z$56</f>
        <v>#REF!</v>
      </c>
      <c r="AA63" s="319" t="e">
        <f aca="false">+AA51/AA$56</f>
        <v>#REF!</v>
      </c>
      <c r="AB63" s="321" t="e">
        <f aca="false">+AB51/AB$56</f>
        <v>#REF!</v>
      </c>
      <c r="AC63" s="321" t="e">
        <f aca="false">+AC51/AC$56</f>
        <v>#REF!</v>
      </c>
      <c r="AD63" s="318" t="e">
        <f aca="false">+AD51/AD$56</f>
        <v>#REF!</v>
      </c>
      <c r="AE63" s="319" t="e">
        <f aca="false">+AE51/AE$56</f>
        <v>#REF!</v>
      </c>
      <c r="AF63" s="321" t="e">
        <f aca="false">+AF51/AF$56</f>
        <v>#REF!</v>
      </c>
      <c r="AG63" s="321" t="e">
        <f aca="false">+AG51/AG$56</f>
        <v>#REF!</v>
      </c>
      <c r="AH63" s="321" t="e">
        <f aca="false">+AH51/AH$56</f>
        <v>#REF!</v>
      </c>
      <c r="AI63" s="318" t="e">
        <f aca="false">+AI51/AI$56</f>
        <v>#REF!</v>
      </c>
      <c r="AJ63" s="319" t="e">
        <f aca="false">+AJ51/AJ$56</f>
        <v>#REF!</v>
      </c>
      <c r="AK63" s="321" t="e">
        <f aca="false">+AK51/AK$56</f>
        <v>#REF!</v>
      </c>
      <c r="AL63" s="321" t="e">
        <f aca="false">+AL51/AL$56</f>
        <v>#REF!</v>
      </c>
      <c r="AM63" s="318" t="e">
        <f aca="false">+AM51/AM$56</f>
        <v>#REF!</v>
      </c>
      <c r="AN63" s="323" t="e">
        <f aca="false">+AN51/AN$56</f>
        <v>#REF!</v>
      </c>
      <c r="AO63" s="321" t="e">
        <f aca="false">+AO51/AO$56</f>
        <v>#REF!</v>
      </c>
      <c r="AP63" s="321" t="e">
        <f aca="false">+AP51/AP$56</f>
        <v>#REF!</v>
      </c>
      <c r="AQ63" s="318" t="e">
        <f aca="false">+AQ51/AQ$56</f>
        <v>#REF!</v>
      </c>
      <c r="AR63" s="319" t="e">
        <f aca="false">+AR51/AR$56</f>
        <v>#REF!</v>
      </c>
      <c r="AS63" s="321" t="e">
        <f aca="false">+AS51/AS$56</f>
        <v>#REF!</v>
      </c>
      <c r="AT63" s="321" t="e">
        <f aca="false">+AT51/AT$56</f>
        <v>#REF!</v>
      </c>
      <c r="AU63" s="321" t="e">
        <f aca="false">+AU51/AU$56</f>
        <v>#REF!</v>
      </c>
      <c r="AV63" s="318" t="e">
        <f aca="false">+AV51/AV$56</f>
        <v>#REF!</v>
      </c>
      <c r="AW63" s="319" t="e">
        <f aca="false">+AW51/AW$56</f>
        <v>#REF!</v>
      </c>
      <c r="AX63" s="321" t="e">
        <f aca="false">+AX51/AX$56</f>
        <v>#REF!</v>
      </c>
      <c r="AY63" s="321" t="e">
        <f aca="false">+AY51/AY$56</f>
        <v>#REF!</v>
      </c>
      <c r="AZ63" s="318" t="e">
        <f aca="false">+AZ51/AZ$56</f>
        <v>#REF!</v>
      </c>
      <c r="BA63" s="323" t="e">
        <f aca="false">+BA51/BA$56</f>
        <v>#REF!</v>
      </c>
      <c r="BB63" s="321" t="e">
        <f aca="false">+BB51/BB$56</f>
        <v>#REF!</v>
      </c>
      <c r="BC63" s="321" t="e">
        <f aca="false">+BC51/BC$56</f>
        <v>#REF!</v>
      </c>
      <c r="BD63" s="318" t="e">
        <f aca="false">+BD51/BD$56</f>
        <v>#REF!</v>
      </c>
      <c r="BE63" s="319" t="e">
        <f aca="false">+BE51/BE$56</f>
        <v>#REF!</v>
      </c>
      <c r="BF63" s="321" t="e">
        <f aca="false">+BF51/BF$56</f>
        <v>#REF!</v>
      </c>
      <c r="BG63" s="321" t="e">
        <f aca="false">+BG51/BG$56</f>
        <v>#REF!</v>
      </c>
      <c r="BH63" s="318" t="e">
        <f aca="false">+BH51/BH$56</f>
        <v>#REF!</v>
      </c>
      <c r="BI63" s="319" t="e">
        <f aca="false">+BI51/BI$56</f>
        <v>#REF!</v>
      </c>
      <c r="BJ63" s="321" t="e">
        <f aca="false">+BJ51/BJ$56</f>
        <v>#REF!</v>
      </c>
      <c r="BK63" s="321" t="e">
        <f aca="false">+BK51/BK$56</f>
        <v>#REF!</v>
      </c>
      <c r="BL63" s="318" t="e">
        <f aca="false">+BL51/BL$56</f>
        <v>#REF!</v>
      </c>
      <c r="BM63" s="319" t="e">
        <f aca="false">+BM51/BM$56</f>
        <v>#REF!</v>
      </c>
      <c r="BN63" s="321" t="e">
        <f aca="false">+BN51/BN$56</f>
        <v>#REF!</v>
      </c>
      <c r="BO63" s="321" t="e">
        <f aca="false">+BO51/BO$56</f>
        <v>#REF!</v>
      </c>
      <c r="BP63" s="322" t="e">
        <f aca="false">+BP51/BP$56</f>
        <v>#REF!</v>
      </c>
      <c r="BQ63" s="293"/>
      <c r="BR63" s="294"/>
      <c r="BS63" s="294"/>
      <c r="BT63" s="295"/>
    </row>
    <row r="64" customFormat="false" ht="24" hidden="false" customHeight="true" outlineLevel="0" collapsed="false">
      <c r="B64" s="285" t="s">
        <v>92</v>
      </c>
      <c r="C64" s="317" t="e">
        <f aca="false">+C52/$C$56</f>
        <v>#REF!</v>
      </c>
      <c r="D64" s="318" t="n">
        <v>0</v>
      </c>
      <c r="E64" s="319" t="n">
        <v>0</v>
      </c>
      <c r="F64" s="320" t="n">
        <v>0</v>
      </c>
      <c r="G64" s="321" t="e">
        <f aca="false">+G52/$G$56</f>
        <v>#REF!</v>
      </c>
      <c r="H64" s="321" t="e">
        <f aca="false">+H52/H$56</f>
        <v>#REF!</v>
      </c>
      <c r="I64" s="322" t="n">
        <v>0</v>
      </c>
      <c r="J64" s="319" t="e">
        <f aca="false">+J52/J$56</f>
        <v>#REF!</v>
      </c>
      <c r="K64" s="321" t="e">
        <f aca="false">+K52/K$56</f>
        <v>#REF!</v>
      </c>
      <c r="L64" s="321" t="e">
        <f aca="false">+L52/L$56</f>
        <v>#REF!</v>
      </c>
      <c r="M64" s="322" t="e">
        <f aca="false">+M52/M$56</f>
        <v>#REF!</v>
      </c>
      <c r="N64" s="319" t="e">
        <f aca="false">+N52/N$56</f>
        <v>#REF!</v>
      </c>
      <c r="O64" s="321" t="e">
        <f aca="false">+O52/O$56</f>
        <v>#REF!</v>
      </c>
      <c r="P64" s="321" t="e">
        <f aca="false">+P52/P$56</f>
        <v>#REF!</v>
      </c>
      <c r="Q64" s="318" t="e">
        <f aca="false">+Q52/Q$56</f>
        <v>#REF!</v>
      </c>
      <c r="R64" s="319" t="e">
        <f aca="false">+R52/R$56</f>
        <v>#REF!</v>
      </c>
      <c r="S64" s="321" t="e">
        <f aca="false">+S52/S$56</f>
        <v>#REF!</v>
      </c>
      <c r="T64" s="321" t="e">
        <f aca="false">+T52/T$56</f>
        <v>#REF!</v>
      </c>
      <c r="U64" s="318" t="e">
        <f aca="false">+U52/U$56</f>
        <v>#REF!</v>
      </c>
      <c r="V64" s="319" t="e">
        <f aca="false">+V52/V$56</f>
        <v>#REF!</v>
      </c>
      <c r="W64" s="321" t="e">
        <f aca="false">+W52/W$56</f>
        <v>#REF!</v>
      </c>
      <c r="X64" s="321" t="e">
        <f aca="false">+X52/X$56</f>
        <v>#REF!</v>
      </c>
      <c r="Y64" s="321" t="e">
        <f aca="false">+Y52/Y$56</f>
        <v>#REF!</v>
      </c>
      <c r="Z64" s="318" t="e">
        <f aca="false">+Z52/Z$56</f>
        <v>#REF!</v>
      </c>
      <c r="AA64" s="319" t="e">
        <f aca="false">+AA52/AA$56</f>
        <v>#REF!</v>
      </c>
      <c r="AB64" s="321" t="e">
        <f aca="false">+AB52/AB$56</f>
        <v>#REF!</v>
      </c>
      <c r="AC64" s="321" t="e">
        <f aca="false">+AC52/AC$56</f>
        <v>#REF!</v>
      </c>
      <c r="AD64" s="318" t="e">
        <f aca="false">+AD52/AD$56</f>
        <v>#REF!</v>
      </c>
      <c r="AE64" s="319" t="e">
        <f aca="false">+AE52/AE$56</f>
        <v>#REF!</v>
      </c>
      <c r="AF64" s="321" t="e">
        <f aca="false">+AF52/AF$56</f>
        <v>#REF!</v>
      </c>
      <c r="AG64" s="321" t="e">
        <f aca="false">+AG52/AG$56</f>
        <v>#REF!</v>
      </c>
      <c r="AH64" s="321" t="e">
        <f aca="false">+AH52/AH$56</f>
        <v>#REF!</v>
      </c>
      <c r="AI64" s="318" t="e">
        <f aca="false">+AI52/AI$56</f>
        <v>#REF!</v>
      </c>
      <c r="AJ64" s="319" t="e">
        <f aca="false">+AJ52/AJ$56</f>
        <v>#REF!</v>
      </c>
      <c r="AK64" s="321" t="e">
        <f aca="false">+AK52/AK$56</f>
        <v>#REF!</v>
      </c>
      <c r="AL64" s="321" t="e">
        <f aca="false">+AL52/AL$56</f>
        <v>#REF!</v>
      </c>
      <c r="AM64" s="318" t="e">
        <f aca="false">+AM52/AM$56</f>
        <v>#REF!</v>
      </c>
      <c r="AN64" s="323" t="e">
        <f aca="false">+AN52/AN$56</f>
        <v>#REF!</v>
      </c>
      <c r="AO64" s="321" t="e">
        <f aca="false">+AO52/AO$56</f>
        <v>#REF!</v>
      </c>
      <c r="AP64" s="321" t="e">
        <f aca="false">+AP52/AP$56</f>
        <v>#REF!</v>
      </c>
      <c r="AQ64" s="318" t="e">
        <f aca="false">+AQ52/AQ$56</f>
        <v>#REF!</v>
      </c>
      <c r="AR64" s="319" t="e">
        <f aca="false">+AR52/AR$56</f>
        <v>#REF!</v>
      </c>
      <c r="AS64" s="321" t="e">
        <f aca="false">+AS52/AS$56</f>
        <v>#REF!</v>
      </c>
      <c r="AT64" s="321" t="e">
        <f aca="false">+AT52/AT$56</f>
        <v>#REF!</v>
      </c>
      <c r="AU64" s="321" t="e">
        <f aca="false">+AU52/AU$56</f>
        <v>#REF!</v>
      </c>
      <c r="AV64" s="318" t="e">
        <f aca="false">+AV52/AV$56</f>
        <v>#REF!</v>
      </c>
      <c r="AW64" s="319" t="e">
        <f aca="false">+AW52/AW$56</f>
        <v>#REF!</v>
      </c>
      <c r="AX64" s="321" t="e">
        <f aca="false">+AX52/AX$56</f>
        <v>#REF!</v>
      </c>
      <c r="AY64" s="321" t="e">
        <f aca="false">+AY52/AY$56</f>
        <v>#REF!</v>
      </c>
      <c r="AZ64" s="318" t="e">
        <f aca="false">+AZ52/AZ$56</f>
        <v>#REF!</v>
      </c>
      <c r="BA64" s="323" t="e">
        <f aca="false">+BA52/BA$56</f>
        <v>#REF!</v>
      </c>
      <c r="BB64" s="321" t="e">
        <f aca="false">+BB52/BB$56</f>
        <v>#REF!</v>
      </c>
      <c r="BC64" s="321" t="e">
        <f aca="false">+BC52/BC$56</f>
        <v>#REF!</v>
      </c>
      <c r="BD64" s="318" t="e">
        <f aca="false">+BD52/BD$56</f>
        <v>#REF!</v>
      </c>
      <c r="BE64" s="319" t="e">
        <f aca="false">+BE52/BE$56</f>
        <v>#REF!</v>
      </c>
      <c r="BF64" s="321" t="e">
        <f aca="false">+BF52/BF$56</f>
        <v>#REF!</v>
      </c>
      <c r="BG64" s="321" t="e">
        <f aca="false">+BG52/BG$56</f>
        <v>#REF!</v>
      </c>
      <c r="BH64" s="318" t="e">
        <f aca="false">+BH52/BH$56</f>
        <v>#REF!</v>
      </c>
      <c r="BI64" s="319" t="e">
        <f aca="false">+BI52/BI$56</f>
        <v>#REF!</v>
      </c>
      <c r="BJ64" s="321" t="e">
        <f aca="false">+BJ52/BJ$56</f>
        <v>#REF!</v>
      </c>
      <c r="BK64" s="321" t="e">
        <f aca="false">+BK52/BK$56</f>
        <v>#REF!</v>
      </c>
      <c r="BL64" s="318" t="e">
        <f aca="false">+BL52/BL$56</f>
        <v>#REF!</v>
      </c>
      <c r="BM64" s="319" t="e">
        <f aca="false">+BM52/BM$56</f>
        <v>#REF!</v>
      </c>
      <c r="BN64" s="321" t="e">
        <f aca="false">+BN52/BN$56</f>
        <v>#REF!</v>
      </c>
      <c r="BO64" s="321" t="e">
        <f aca="false">+BO52/BO$56</f>
        <v>#REF!</v>
      </c>
      <c r="BP64" s="322" t="e">
        <f aca="false">+BP52/BP$56</f>
        <v>#REF!</v>
      </c>
      <c r="BQ64" s="293"/>
      <c r="BR64" s="294"/>
      <c r="BS64" s="294"/>
      <c r="BT64" s="295"/>
    </row>
    <row r="65" customFormat="false" ht="24" hidden="false" customHeight="true" outlineLevel="0" collapsed="false">
      <c r="B65" s="285" t="s">
        <v>95</v>
      </c>
      <c r="C65" s="317" t="e">
        <f aca="false">+C53/$C$56</f>
        <v>#REF!</v>
      </c>
      <c r="D65" s="318" t="n">
        <v>0</v>
      </c>
      <c r="E65" s="319" t="n">
        <v>0</v>
      </c>
      <c r="F65" s="320" t="n">
        <v>0</v>
      </c>
      <c r="G65" s="321" t="e">
        <f aca="false">+G53/$G$56</f>
        <v>#REF!</v>
      </c>
      <c r="H65" s="321" t="e">
        <f aca="false">+H53/H$56</f>
        <v>#REF!</v>
      </c>
      <c r="I65" s="322" t="n">
        <v>0</v>
      </c>
      <c r="J65" s="319" t="e">
        <f aca="false">+J53/J$56</f>
        <v>#REF!</v>
      </c>
      <c r="K65" s="321" t="e">
        <f aca="false">+K53/K$56</f>
        <v>#REF!</v>
      </c>
      <c r="L65" s="321" t="e">
        <f aca="false">+L53/L$56</f>
        <v>#REF!</v>
      </c>
      <c r="M65" s="322" t="e">
        <f aca="false">+M53/M$56</f>
        <v>#REF!</v>
      </c>
      <c r="N65" s="319" t="e">
        <f aca="false">+N53/N$56</f>
        <v>#REF!</v>
      </c>
      <c r="O65" s="321" t="e">
        <f aca="false">+O53/O$56</f>
        <v>#REF!</v>
      </c>
      <c r="P65" s="321" t="e">
        <f aca="false">+P53/P$56</f>
        <v>#REF!</v>
      </c>
      <c r="Q65" s="318" t="e">
        <f aca="false">+Q53/Q$56</f>
        <v>#REF!</v>
      </c>
      <c r="R65" s="319" t="e">
        <f aca="false">+R53/R$56</f>
        <v>#REF!</v>
      </c>
      <c r="S65" s="321" t="e">
        <f aca="false">+S53/S$56</f>
        <v>#REF!</v>
      </c>
      <c r="T65" s="321" t="e">
        <f aca="false">+T53/T$56</f>
        <v>#REF!</v>
      </c>
      <c r="U65" s="318" t="e">
        <f aca="false">+U53/U$56</f>
        <v>#REF!</v>
      </c>
      <c r="V65" s="319" t="e">
        <f aca="false">+V53/V$56</f>
        <v>#REF!</v>
      </c>
      <c r="W65" s="321" t="e">
        <f aca="false">+W53/W$56</f>
        <v>#REF!</v>
      </c>
      <c r="X65" s="321" t="e">
        <f aca="false">+X53/X$56</f>
        <v>#REF!</v>
      </c>
      <c r="Y65" s="321" t="e">
        <f aca="false">+Y53/Y$56</f>
        <v>#REF!</v>
      </c>
      <c r="Z65" s="318" t="e">
        <f aca="false">+Z53/Z$56</f>
        <v>#REF!</v>
      </c>
      <c r="AA65" s="319" t="e">
        <f aca="false">+AA53/AA$56</f>
        <v>#REF!</v>
      </c>
      <c r="AB65" s="321" t="e">
        <f aca="false">+AB53/AB$56</f>
        <v>#REF!</v>
      </c>
      <c r="AC65" s="321" t="e">
        <f aca="false">+AC53/AC$56</f>
        <v>#REF!</v>
      </c>
      <c r="AD65" s="318" t="e">
        <f aca="false">+AD53/AD$56</f>
        <v>#REF!</v>
      </c>
      <c r="AE65" s="319" t="e">
        <f aca="false">+AE53/AE$56</f>
        <v>#REF!</v>
      </c>
      <c r="AF65" s="321" t="e">
        <f aca="false">+AF53/AF$56</f>
        <v>#REF!</v>
      </c>
      <c r="AG65" s="321" t="e">
        <f aca="false">+AG53/AG$56</f>
        <v>#REF!</v>
      </c>
      <c r="AH65" s="321" t="e">
        <f aca="false">+AH53/AH$56</f>
        <v>#REF!</v>
      </c>
      <c r="AI65" s="318" t="e">
        <f aca="false">+AI53/AI$56</f>
        <v>#REF!</v>
      </c>
      <c r="AJ65" s="319" t="e">
        <f aca="false">+AJ53/AJ$56</f>
        <v>#REF!</v>
      </c>
      <c r="AK65" s="321" t="e">
        <f aca="false">+AK53/AK$56</f>
        <v>#REF!</v>
      </c>
      <c r="AL65" s="321" t="e">
        <f aca="false">+AL53/AL$56</f>
        <v>#REF!</v>
      </c>
      <c r="AM65" s="318" t="e">
        <f aca="false">+AM53/AM$56</f>
        <v>#REF!</v>
      </c>
      <c r="AN65" s="323" t="e">
        <f aca="false">+AN53/AN$56</f>
        <v>#REF!</v>
      </c>
      <c r="AO65" s="321" t="e">
        <f aca="false">+AO53/AO$56</f>
        <v>#REF!</v>
      </c>
      <c r="AP65" s="321" t="e">
        <f aca="false">+AP53/AP$56</f>
        <v>#REF!</v>
      </c>
      <c r="AQ65" s="318" t="e">
        <f aca="false">+AQ53/AQ$56</f>
        <v>#REF!</v>
      </c>
      <c r="AR65" s="319" t="e">
        <f aca="false">+AR53/AR$56</f>
        <v>#REF!</v>
      </c>
      <c r="AS65" s="321" t="e">
        <f aca="false">+AS53/AS$56</f>
        <v>#REF!</v>
      </c>
      <c r="AT65" s="321" t="e">
        <f aca="false">+AT53/AT$56</f>
        <v>#REF!</v>
      </c>
      <c r="AU65" s="321" t="e">
        <f aca="false">+AU53/AU$56</f>
        <v>#REF!</v>
      </c>
      <c r="AV65" s="318" t="e">
        <f aca="false">+AV53/AV$56</f>
        <v>#REF!</v>
      </c>
      <c r="AW65" s="319" t="e">
        <f aca="false">+AW53/AW$56</f>
        <v>#REF!</v>
      </c>
      <c r="AX65" s="321" t="e">
        <f aca="false">+AX53/AX$56</f>
        <v>#REF!</v>
      </c>
      <c r="AY65" s="321" t="e">
        <f aca="false">+AY53/AY$56</f>
        <v>#REF!</v>
      </c>
      <c r="AZ65" s="318" t="e">
        <f aca="false">+AZ53/AZ$56</f>
        <v>#REF!</v>
      </c>
      <c r="BA65" s="323" t="e">
        <f aca="false">+BA53/BA$56</f>
        <v>#REF!</v>
      </c>
      <c r="BB65" s="321" t="e">
        <f aca="false">+BB53/BB$56</f>
        <v>#REF!</v>
      </c>
      <c r="BC65" s="321" t="e">
        <f aca="false">+BC53/BC$56</f>
        <v>#REF!</v>
      </c>
      <c r="BD65" s="318" t="e">
        <f aca="false">+BD53/BD$56</f>
        <v>#REF!</v>
      </c>
      <c r="BE65" s="319" t="e">
        <f aca="false">+BE53/BE$56</f>
        <v>#REF!</v>
      </c>
      <c r="BF65" s="321" t="e">
        <f aca="false">+BF53/BF$56</f>
        <v>#REF!</v>
      </c>
      <c r="BG65" s="321" t="e">
        <f aca="false">+BG53/BG$56</f>
        <v>#REF!</v>
      </c>
      <c r="BH65" s="318" t="e">
        <f aca="false">+BH53/BH$56</f>
        <v>#REF!</v>
      </c>
      <c r="BI65" s="319" t="e">
        <f aca="false">+BI53/BI$56</f>
        <v>#REF!</v>
      </c>
      <c r="BJ65" s="321" t="e">
        <f aca="false">+BJ53/BJ$56</f>
        <v>#REF!</v>
      </c>
      <c r="BK65" s="321" t="e">
        <f aca="false">+BK53/BK$56</f>
        <v>#REF!</v>
      </c>
      <c r="BL65" s="318" t="e">
        <f aca="false">+BL53/BL$56</f>
        <v>#REF!</v>
      </c>
      <c r="BM65" s="319" t="e">
        <f aca="false">+BM53/BM$56</f>
        <v>#REF!</v>
      </c>
      <c r="BN65" s="321" t="e">
        <f aca="false">+BN53/BN$56</f>
        <v>#REF!</v>
      </c>
      <c r="BO65" s="321" t="e">
        <f aca="false">+BO53/BO$56</f>
        <v>#REF!</v>
      </c>
      <c r="BP65" s="322" t="e">
        <f aca="false">+BP53/BP$56</f>
        <v>#REF!</v>
      </c>
      <c r="BQ65" s="293"/>
      <c r="BR65" s="294"/>
      <c r="BS65" s="294"/>
      <c r="BT65" s="295"/>
    </row>
    <row r="66" customFormat="false" ht="24" hidden="false" customHeight="true" outlineLevel="0" collapsed="false">
      <c r="B66" s="285" t="s">
        <v>98</v>
      </c>
      <c r="C66" s="317" t="e">
        <f aca="false">+C54/$C$56</f>
        <v>#REF!</v>
      </c>
      <c r="D66" s="318" t="n">
        <v>0</v>
      </c>
      <c r="E66" s="319" t="n">
        <v>0</v>
      </c>
      <c r="F66" s="320" t="n">
        <v>0</v>
      </c>
      <c r="G66" s="321" t="e">
        <f aca="false">+G54/$G$56</f>
        <v>#REF!</v>
      </c>
      <c r="H66" s="321" t="e">
        <f aca="false">+H54/H$56</f>
        <v>#REF!</v>
      </c>
      <c r="I66" s="322" t="n">
        <v>0</v>
      </c>
      <c r="J66" s="319" t="e">
        <f aca="false">+J54/J$56</f>
        <v>#REF!</v>
      </c>
      <c r="K66" s="321" t="e">
        <f aca="false">+K54/K$56</f>
        <v>#REF!</v>
      </c>
      <c r="L66" s="321" t="e">
        <f aca="false">+L54/L$56</f>
        <v>#REF!</v>
      </c>
      <c r="M66" s="322" t="e">
        <f aca="false">+M54/M$56</f>
        <v>#REF!</v>
      </c>
      <c r="N66" s="319" t="e">
        <f aca="false">+N54/N$56</f>
        <v>#REF!</v>
      </c>
      <c r="O66" s="321" t="e">
        <f aca="false">+O54/O$56</f>
        <v>#REF!</v>
      </c>
      <c r="P66" s="321" t="e">
        <f aca="false">+P54/P$56</f>
        <v>#REF!</v>
      </c>
      <c r="Q66" s="318" t="e">
        <f aca="false">+Q54/Q$56</f>
        <v>#REF!</v>
      </c>
      <c r="R66" s="319" t="e">
        <f aca="false">+R54/R$56</f>
        <v>#REF!</v>
      </c>
      <c r="S66" s="321" t="e">
        <f aca="false">+S54/S$56</f>
        <v>#REF!</v>
      </c>
      <c r="T66" s="321" t="e">
        <f aca="false">+T54/T$56</f>
        <v>#REF!</v>
      </c>
      <c r="U66" s="318" t="e">
        <f aca="false">+U54/U$56</f>
        <v>#REF!</v>
      </c>
      <c r="V66" s="319" t="e">
        <f aca="false">+V54/V$56</f>
        <v>#REF!</v>
      </c>
      <c r="W66" s="321" t="e">
        <f aca="false">+W54/W$56</f>
        <v>#REF!</v>
      </c>
      <c r="X66" s="321" t="e">
        <f aca="false">+X54/X$56</f>
        <v>#REF!</v>
      </c>
      <c r="Y66" s="321" t="e">
        <f aca="false">+Y54/Y$56</f>
        <v>#REF!</v>
      </c>
      <c r="Z66" s="318" t="e">
        <f aca="false">+Z54/Z$56</f>
        <v>#REF!</v>
      </c>
      <c r="AA66" s="319" t="e">
        <f aca="false">+AA54/AA$56</f>
        <v>#REF!</v>
      </c>
      <c r="AB66" s="321" t="e">
        <f aca="false">+AB54/AB$56</f>
        <v>#REF!</v>
      </c>
      <c r="AC66" s="321" t="e">
        <f aca="false">+AC54/AC$56</f>
        <v>#REF!</v>
      </c>
      <c r="AD66" s="318" t="e">
        <f aca="false">+AD54/AD$56</f>
        <v>#REF!</v>
      </c>
      <c r="AE66" s="319" t="e">
        <f aca="false">+AE54/AE$56</f>
        <v>#REF!</v>
      </c>
      <c r="AF66" s="321" t="e">
        <f aca="false">+AF54/AF$56</f>
        <v>#REF!</v>
      </c>
      <c r="AG66" s="321" t="e">
        <f aca="false">+AG54/AG$56</f>
        <v>#REF!</v>
      </c>
      <c r="AH66" s="321" t="e">
        <f aca="false">+AH54/AH$56</f>
        <v>#REF!</v>
      </c>
      <c r="AI66" s="318" t="e">
        <f aca="false">+AI54/AI$56</f>
        <v>#REF!</v>
      </c>
      <c r="AJ66" s="319" t="e">
        <f aca="false">+AJ54/AJ$56</f>
        <v>#REF!</v>
      </c>
      <c r="AK66" s="321" t="e">
        <f aca="false">+AK54/AK$56</f>
        <v>#REF!</v>
      </c>
      <c r="AL66" s="321" t="e">
        <f aca="false">+AL54/AL$56</f>
        <v>#REF!</v>
      </c>
      <c r="AM66" s="318" t="e">
        <f aca="false">+AM54/AM$56</f>
        <v>#REF!</v>
      </c>
      <c r="AN66" s="323" t="e">
        <f aca="false">+AN54/AN$56</f>
        <v>#REF!</v>
      </c>
      <c r="AO66" s="321" t="e">
        <f aca="false">+AO54/AO$56</f>
        <v>#REF!</v>
      </c>
      <c r="AP66" s="321" t="e">
        <f aca="false">+AP54/AP$56</f>
        <v>#REF!</v>
      </c>
      <c r="AQ66" s="318" t="e">
        <f aca="false">+AQ54/AQ$56</f>
        <v>#REF!</v>
      </c>
      <c r="AR66" s="319" t="e">
        <f aca="false">+AR54/AR$56</f>
        <v>#REF!</v>
      </c>
      <c r="AS66" s="321" t="e">
        <f aca="false">+AS54/AS$56</f>
        <v>#REF!</v>
      </c>
      <c r="AT66" s="321" t="e">
        <f aca="false">+AT54/AT$56</f>
        <v>#REF!</v>
      </c>
      <c r="AU66" s="321" t="e">
        <f aca="false">+AU54/AU$56</f>
        <v>#REF!</v>
      </c>
      <c r="AV66" s="318" t="e">
        <f aca="false">+AV54/AV$56</f>
        <v>#REF!</v>
      </c>
      <c r="AW66" s="319" t="e">
        <f aca="false">+AW54/AW$56</f>
        <v>#REF!</v>
      </c>
      <c r="AX66" s="321" t="e">
        <f aca="false">+AX54/AX$56</f>
        <v>#REF!</v>
      </c>
      <c r="AY66" s="321" t="e">
        <f aca="false">+AY54/AY$56</f>
        <v>#REF!</v>
      </c>
      <c r="AZ66" s="318" t="e">
        <f aca="false">+AZ54/AZ$56</f>
        <v>#REF!</v>
      </c>
      <c r="BA66" s="323" t="e">
        <f aca="false">+BA54/BA$56</f>
        <v>#REF!</v>
      </c>
      <c r="BB66" s="321" t="e">
        <f aca="false">+BB54/BB$56</f>
        <v>#REF!</v>
      </c>
      <c r="BC66" s="321" t="e">
        <f aca="false">+BC54/BC$56</f>
        <v>#REF!</v>
      </c>
      <c r="BD66" s="318" t="e">
        <f aca="false">+BD54/BD$56</f>
        <v>#REF!</v>
      </c>
      <c r="BE66" s="319" t="e">
        <f aca="false">+BE54/BE$56</f>
        <v>#REF!</v>
      </c>
      <c r="BF66" s="321" t="e">
        <f aca="false">+BF54/BF$56</f>
        <v>#REF!</v>
      </c>
      <c r="BG66" s="321" t="e">
        <f aca="false">+BG54/BG$56</f>
        <v>#REF!</v>
      </c>
      <c r="BH66" s="318" t="e">
        <f aca="false">+BH54/BH$56</f>
        <v>#REF!</v>
      </c>
      <c r="BI66" s="319" t="e">
        <f aca="false">+BI54/BI$56</f>
        <v>#REF!</v>
      </c>
      <c r="BJ66" s="321" t="e">
        <f aca="false">+BJ54/BJ$56</f>
        <v>#REF!</v>
      </c>
      <c r="BK66" s="321" t="e">
        <f aca="false">+BK54/BK$56</f>
        <v>#REF!</v>
      </c>
      <c r="BL66" s="318" t="e">
        <f aca="false">+BL54/BL$56</f>
        <v>#REF!</v>
      </c>
      <c r="BM66" s="319" t="e">
        <f aca="false">+BM54/BM$56</f>
        <v>#REF!</v>
      </c>
      <c r="BN66" s="321" t="e">
        <f aca="false">+BN54/BN$56</f>
        <v>#REF!</v>
      </c>
      <c r="BO66" s="321" t="e">
        <f aca="false">+BO54/BO$56</f>
        <v>#REF!</v>
      </c>
      <c r="BP66" s="322" t="e">
        <f aca="false">+BP54/BP$56</f>
        <v>#REF!</v>
      </c>
      <c r="BQ66" s="293"/>
      <c r="BR66" s="294"/>
      <c r="BS66" s="294"/>
      <c r="BT66" s="295"/>
    </row>
    <row r="67" customFormat="false" ht="24" hidden="false" customHeight="true" outlineLevel="0" collapsed="false">
      <c r="B67" s="297" t="s">
        <v>115</v>
      </c>
      <c r="C67" s="324" t="e">
        <f aca="false">+C55/$C$56</f>
        <v>#REF!</v>
      </c>
      <c r="D67" s="325" t="n">
        <v>0</v>
      </c>
      <c r="E67" s="326" t="n">
        <v>0</v>
      </c>
      <c r="F67" s="327" t="n">
        <v>0</v>
      </c>
      <c r="G67" s="328" t="e">
        <f aca="false">+G55/$G$56</f>
        <v>#REF!</v>
      </c>
      <c r="H67" s="328" t="e">
        <f aca="false">+H55/H$56</f>
        <v>#REF!</v>
      </c>
      <c r="I67" s="329" t="n">
        <v>0</v>
      </c>
      <c r="J67" s="326" t="e">
        <f aca="false">+J55/J$56</f>
        <v>#REF!</v>
      </c>
      <c r="K67" s="328" t="e">
        <f aca="false">+K55/K$56</f>
        <v>#REF!</v>
      </c>
      <c r="L67" s="328" t="e">
        <f aca="false">+L55/L$56</f>
        <v>#REF!</v>
      </c>
      <c r="M67" s="329" t="e">
        <f aca="false">+M55/M$56</f>
        <v>#REF!</v>
      </c>
      <c r="N67" s="326" t="e">
        <f aca="false">+N55/N$56</f>
        <v>#REF!</v>
      </c>
      <c r="O67" s="328" t="e">
        <f aca="false">+O55/O$56</f>
        <v>#REF!</v>
      </c>
      <c r="P67" s="328" t="e">
        <f aca="false">+P55/P$56</f>
        <v>#REF!</v>
      </c>
      <c r="Q67" s="325" t="e">
        <f aca="false">+Q55/Q$56</f>
        <v>#REF!</v>
      </c>
      <c r="R67" s="326" t="e">
        <f aca="false">+R55/R$56</f>
        <v>#REF!</v>
      </c>
      <c r="S67" s="328" t="e">
        <f aca="false">+S55/S$56</f>
        <v>#REF!</v>
      </c>
      <c r="T67" s="328" t="e">
        <f aca="false">+T55/T$56</f>
        <v>#REF!</v>
      </c>
      <c r="U67" s="325" t="e">
        <f aca="false">+U55/U$56</f>
        <v>#REF!</v>
      </c>
      <c r="V67" s="326" t="e">
        <f aca="false">+V55/V$56</f>
        <v>#REF!</v>
      </c>
      <c r="W67" s="328" t="e">
        <f aca="false">+W55/W$56</f>
        <v>#REF!</v>
      </c>
      <c r="X67" s="328" t="e">
        <f aca="false">+X55/X$56</f>
        <v>#REF!</v>
      </c>
      <c r="Y67" s="328" t="e">
        <f aca="false">+Y55/Y$56</f>
        <v>#REF!</v>
      </c>
      <c r="Z67" s="325" t="e">
        <f aca="false">+Z55/Z$56</f>
        <v>#REF!</v>
      </c>
      <c r="AA67" s="326" t="e">
        <f aca="false">+AA55/AA$56</f>
        <v>#REF!</v>
      </c>
      <c r="AB67" s="328" t="e">
        <f aca="false">+AB55/AB$56</f>
        <v>#REF!</v>
      </c>
      <c r="AC67" s="328" t="e">
        <f aca="false">+AC55/AC$56</f>
        <v>#REF!</v>
      </c>
      <c r="AD67" s="325" t="e">
        <f aca="false">+AD55/AD$56</f>
        <v>#REF!</v>
      </c>
      <c r="AE67" s="326" t="e">
        <f aca="false">+AE55/AE$56</f>
        <v>#REF!</v>
      </c>
      <c r="AF67" s="328" t="e">
        <f aca="false">+AF55/AF$56</f>
        <v>#REF!</v>
      </c>
      <c r="AG67" s="328" t="e">
        <f aca="false">+AG55/AG$56</f>
        <v>#REF!</v>
      </c>
      <c r="AH67" s="328" t="e">
        <f aca="false">+AH55/AH$56</f>
        <v>#REF!</v>
      </c>
      <c r="AI67" s="325" t="e">
        <f aca="false">+AI55/AI$56</f>
        <v>#REF!</v>
      </c>
      <c r="AJ67" s="326" t="e">
        <f aca="false">+AJ55/AJ$56</f>
        <v>#REF!</v>
      </c>
      <c r="AK67" s="328" t="e">
        <f aca="false">+AK55/AK$56</f>
        <v>#REF!</v>
      </c>
      <c r="AL67" s="328" t="e">
        <f aca="false">+AL55/AL$56</f>
        <v>#REF!</v>
      </c>
      <c r="AM67" s="325" t="e">
        <f aca="false">+AM55/AM$56</f>
        <v>#REF!</v>
      </c>
      <c r="AN67" s="330" t="e">
        <f aca="false">+AN55/AN$56</f>
        <v>#REF!</v>
      </c>
      <c r="AO67" s="328" t="e">
        <f aca="false">+AO55/AO$56</f>
        <v>#REF!</v>
      </c>
      <c r="AP67" s="328" t="e">
        <f aca="false">+AP55/AP$56</f>
        <v>#REF!</v>
      </c>
      <c r="AQ67" s="325" t="e">
        <f aca="false">+AQ55/AQ$56</f>
        <v>#REF!</v>
      </c>
      <c r="AR67" s="326" t="e">
        <f aca="false">+AR55/AR$56</f>
        <v>#REF!</v>
      </c>
      <c r="AS67" s="328" t="e">
        <f aca="false">+AS55/AS$56</f>
        <v>#REF!</v>
      </c>
      <c r="AT67" s="328" t="e">
        <f aca="false">+AT55/AT$56</f>
        <v>#REF!</v>
      </c>
      <c r="AU67" s="328" t="e">
        <f aca="false">+AU55/AU$56</f>
        <v>#REF!</v>
      </c>
      <c r="AV67" s="325" t="e">
        <f aca="false">+AV55/AV$56</f>
        <v>#REF!</v>
      </c>
      <c r="AW67" s="326" t="e">
        <f aca="false">+AW55/AW$56</f>
        <v>#REF!</v>
      </c>
      <c r="AX67" s="328" t="e">
        <f aca="false">+AX55/AX$56</f>
        <v>#REF!</v>
      </c>
      <c r="AY67" s="328" t="e">
        <f aca="false">+AY55/AY$56</f>
        <v>#REF!</v>
      </c>
      <c r="AZ67" s="325" t="e">
        <f aca="false">+AZ55/AZ$56</f>
        <v>#REF!</v>
      </c>
      <c r="BA67" s="330" t="e">
        <f aca="false">+BA55/BA$56</f>
        <v>#REF!</v>
      </c>
      <c r="BB67" s="328" t="e">
        <f aca="false">+BB55/BB$56</f>
        <v>#REF!</v>
      </c>
      <c r="BC67" s="328" t="e">
        <f aca="false">+BC55/BC$56</f>
        <v>#REF!</v>
      </c>
      <c r="BD67" s="325" t="e">
        <f aca="false">+BD55/BD$56</f>
        <v>#REF!</v>
      </c>
      <c r="BE67" s="326" t="e">
        <f aca="false">+BE55/BE$56</f>
        <v>#REF!</v>
      </c>
      <c r="BF67" s="328" t="e">
        <f aca="false">+BF55/BF$56</f>
        <v>#REF!</v>
      </c>
      <c r="BG67" s="328" t="e">
        <f aca="false">+BG55/BG$56</f>
        <v>#REF!</v>
      </c>
      <c r="BH67" s="325" t="e">
        <f aca="false">+BH55/BH$56</f>
        <v>#REF!</v>
      </c>
      <c r="BI67" s="326" t="e">
        <f aca="false">+BI55/BI$56</f>
        <v>#REF!</v>
      </c>
      <c r="BJ67" s="328" t="e">
        <f aca="false">+BJ55/BJ$56</f>
        <v>#REF!</v>
      </c>
      <c r="BK67" s="328" t="e">
        <f aca="false">+BK55/BK$56</f>
        <v>#REF!</v>
      </c>
      <c r="BL67" s="325" t="e">
        <f aca="false">+BL55/BL$56</f>
        <v>#REF!</v>
      </c>
      <c r="BM67" s="326" t="e">
        <f aca="false">+BM55/BM$56</f>
        <v>#REF!</v>
      </c>
      <c r="BN67" s="328" t="e">
        <f aca="false">+BN55/BN$56</f>
        <v>#REF!</v>
      </c>
      <c r="BO67" s="328" t="e">
        <f aca="false">+BO55/BO$56</f>
        <v>#REF!</v>
      </c>
      <c r="BP67" s="329" t="e">
        <f aca="false">+BP55/BP$56</f>
        <v>#REF!</v>
      </c>
      <c r="BQ67" s="305"/>
      <c r="BR67" s="306"/>
      <c r="BS67" s="306"/>
      <c r="BT67" s="307"/>
    </row>
  </sheetData>
  <mergeCells count="30">
    <mergeCell ref="C2:Q5"/>
    <mergeCell ref="R2:S5"/>
    <mergeCell ref="U2:Y2"/>
    <mergeCell ref="Z2:AC2"/>
    <mergeCell ref="U3:Y3"/>
    <mergeCell ref="Z3:AC3"/>
    <mergeCell ref="U4:Y4"/>
    <mergeCell ref="Z4:AC4"/>
    <mergeCell ref="U5:Y5"/>
    <mergeCell ref="Z5:AC5"/>
    <mergeCell ref="E40:H40"/>
    <mergeCell ref="I40:M40"/>
    <mergeCell ref="N40:Q40"/>
    <mergeCell ref="R40:U40"/>
    <mergeCell ref="V40:Z40"/>
    <mergeCell ref="AA40:AD40"/>
    <mergeCell ref="AE40:AI40"/>
    <mergeCell ref="AJ40:AM40"/>
    <mergeCell ref="AN40:AQ40"/>
    <mergeCell ref="AR40:AV40"/>
    <mergeCell ref="AW40:AZ40"/>
    <mergeCell ref="BA40:BD40"/>
    <mergeCell ref="BE40:BH40"/>
    <mergeCell ref="BI40:BL40"/>
    <mergeCell ref="BM40:BP40"/>
    <mergeCell ref="BQ40:BT40"/>
    <mergeCell ref="B42:C42"/>
    <mergeCell ref="B43:C43"/>
    <mergeCell ref="B45:C45"/>
    <mergeCell ref="B58:C58"/>
  </mergeCells>
  <printOptions headings="false" gridLines="false" gridLinesSet="true" horizontalCentered="false" verticalCentered="false"/>
  <pageMargins left="0.511805555555556" right="0.118055555555556" top="0.354166666666667" bottom="0.35416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IJ21"/>
  <sheetViews>
    <sheetView showFormulas="false" showGridLines="true" showRowColHeaders="true" showZeros="true" rightToLeft="false" tabSelected="true" showOutlineSymbols="true" defaultGridColor="true" view="normal" topLeftCell="A3" colorId="64" zoomScale="100" zoomScaleNormal="100" zoomScalePageLayoutView="100" workbookViewId="0">
      <selection pane="topLeft" activeCell="II11" activeCellId="0" sqref="II11"/>
    </sheetView>
  </sheetViews>
  <sheetFormatPr defaultColWidth="10.6796875" defaultRowHeight="14.5" zeroHeight="false" outlineLevelRow="0" outlineLevelCol="1"/>
  <cols>
    <col collapsed="false" customWidth="true" hidden="false" outlineLevel="0" max="1" min="1" style="0" width="35.82"/>
    <col collapsed="false" customWidth="true" hidden="false" outlineLevel="1" max="2" min="2" style="0" width="3.54"/>
    <col collapsed="false" customWidth="true" hidden="false" outlineLevel="1" max="3" min="3" style="0" width="2.18"/>
    <col collapsed="false" customWidth="true" hidden="false" outlineLevel="1" max="4" min="4" style="0" width="4"/>
    <col collapsed="false" customWidth="true" hidden="false" outlineLevel="1" max="5" min="5" style="0" width="3"/>
    <col collapsed="false" customWidth="true" hidden="false" outlineLevel="1" max="7" min="6" style="0" width="3.54"/>
    <col collapsed="false" customWidth="true" hidden="false" outlineLevel="1" max="8" min="8" style="0" width="2.18"/>
    <col collapsed="false" customWidth="true" hidden="false" outlineLevel="1" max="9" min="9" style="0" width="4"/>
    <col collapsed="false" customWidth="true" hidden="false" outlineLevel="1" max="10" min="10" style="0" width="3"/>
    <col collapsed="false" customWidth="true" hidden="false" outlineLevel="1" max="12" min="11" style="0" width="3.54"/>
    <col collapsed="false" customWidth="true" hidden="false" outlineLevel="1" max="13" min="13" style="0" width="3.45"/>
    <col collapsed="false" customWidth="true" hidden="false" outlineLevel="1" max="14" min="14" style="0" width="4"/>
    <col collapsed="false" customWidth="true" hidden="false" outlineLevel="1" max="15" min="15" style="0" width="3"/>
    <col collapsed="false" customWidth="true" hidden="false" outlineLevel="1" max="17" min="16" style="0" width="3.54"/>
    <col collapsed="false" customWidth="true" hidden="false" outlineLevel="1" max="18" min="18" style="0" width="2.82"/>
    <col collapsed="false" customWidth="true" hidden="false" outlineLevel="1" max="19" min="19" style="0" width="4"/>
    <col collapsed="false" customWidth="true" hidden="false" outlineLevel="1" max="20" min="20" style="0" width="3"/>
    <col collapsed="false" customWidth="true" hidden="false" outlineLevel="1" max="22" min="21" style="0" width="3.54"/>
    <col collapsed="false" customWidth="true" hidden="false" outlineLevel="1" max="23" min="23" style="0" width="2.82"/>
    <col collapsed="false" customWidth="true" hidden="false" outlineLevel="1" max="24" min="24" style="0" width="4"/>
    <col collapsed="false" customWidth="true" hidden="false" outlineLevel="1" max="25" min="25" style="0" width="3"/>
    <col collapsed="false" customWidth="true" hidden="false" outlineLevel="1" max="27" min="26" style="0" width="3.54"/>
    <col collapsed="false" customWidth="true" hidden="false" outlineLevel="1" max="28" min="28" style="0" width="2.18"/>
    <col collapsed="false" customWidth="true" hidden="false" outlineLevel="1" max="29" min="29" style="0" width="4"/>
    <col collapsed="false" customWidth="true" hidden="false" outlineLevel="1" max="30" min="30" style="0" width="3"/>
    <col collapsed="false" customWidth="true" hidden="false" outlineLevel="1" max="32" min="31" style="0" width="3.54"/>
    <col collapsed="false" customWidth="true" hidden="false" outlineLevel="1" max="33" min="33" style="0" width="2.18"/>
    <col collapsed="false" customWidth="true" hidden="false" outlineLevel="1" max="34" min="34" style="0" width="4"/>
    <col collapsed="false" customWidth="true" hidden="false" outlineLevel="1" max="35" min="35" style="0" width="3"/>
    <col collapsed="false" customWidth="true" hidden="false" outlineLevel="1" max="37" min="36" style="0" width="3.54"/>
    <col collapsed="false" customWidth="true" hidden="false" outlineLevel="1" max="38" min="38" style="0" width="2.18"/>
    <col collapsed="false" customWidth="true" hidden="false" outlineLevel="1" max="39" min="39" style="0" width="4"/>
    <col collapsed="false" customWidth="true" hidden="false" outlineLevel="1" max="40" min="40" style="0" width="3"/>
    <col collapsed="false" customWidth="true" hidden="false" outlineLevel="1" max="42" min="41" style="0" width="3.54"/>
    <col collapsed="false" customWidth="true" hidden="false" outlineLevel="1" max="43" min="43" style="0" width="2.18"/>
    <col collapsed="false" customWidth="true" hidden="false" outlineLevel="1" max="44" min="44" style="0" width="4"/>
    <col collapsed="false" customWidth="true" hidden="false" outlineLevel="1" max="45" min="45" style="0" width="3"/>
    <col collapsed="false" customWidth="true" hidden="false" outlineLevel="1" max="47" min="46" style="0" width="3.54"/>
    <col collapsed="false" customWidth="true" hidden="false" outlineLevel="1" max="48" min="48" style="0" width="2.18"/>
    <col collapsed="false" customWidth="true" hidden="false" outlineLevel="1" max="49" min="49" style="0" width="4"/>
    <col collapsed="false" customWidth="true" hidden="false" outlineLevel="1" max="50" min="50" style="0" width="3"/>
    <col collapsed="false" customWidth="true" hidden="false" outlineLevel="1" max="52" min="51" style="0" width="3.54"/>
    <col collapsed="false" customWidth="true" hidden="false" outlineLevel="1" max="53" min="53" style="0" width="2.18"/>
    <col collapsed="false" customWidth="true" hidden="false" outlineLevel="1" max="54" min="54" style="0" width="4"/>
    <col collapsed="false" customWidth="true" hidden="false" outlineLevel="1" max="55" min="55" style="0" width="3"/>
    <col collapsed="false" customWidth="true" hidden="false" outlineLevel="1" max="57" min="56" style="0" width="3.54"/>
    <col collapsed="false" customWidth="true" hidden="false" outlineLevel="1" max="58" min="58" style="0" width="2.18"/>
    <col collapsed="false" customWidth="true" hidden="false" outlineLevel="1" max="59" min="59" style="0" width="4"/>
    <col collapsed="false" customWidth="true" hidden="false" outlineLevel="1" max="60" min="60" style="0" width="3"/>
    <col collapsed="false" customWidth="true" hidden="false" outlineLevel="1" max="62" min="61" style="0" width="3.54"/>
    <col collapsed="false" customWidth="true" hidden="false" outlineLevel="1" max="63" min="63" style="0" width="2.18"/>
    <col collapsed="false" customWidth="true" hidden="false" outlineLevel="1" max="64" min="64" style="0" width="4"/>
    <col collapsed="false" customWidth="true" hidden="false" outlineLevel="1" max="65" min="65" style="0" width="3"/>
    <col collapsed="false" customWidth="true" hidden="false" outlineLevel="1" max="67" min="66" style="0" width="3.54"/>
    <col collapsed="false" customWidth="true" hidden="false" outlineLevel="1" max="68" min="68" style="0" width="2.18"/>
    <col collapsed="false" customWidth="true" hidden="false" outlineLevel="1" max="69" min="69" style="0" width="4"/>
    <col collapsed="false" customWidth="true" hidden="false" outlineLevel="1" max="70" min="70" style="0" width="3"/>
    <col collapsed="false" customWidth="true" hidden="false" outlineLevel="1" max="72" min="71" style="0" width="3.54"/>
    <col collapsed="false" customWidth="true" hidden="false" outlineLevel="1" max="73" min="73" style="0" width="2.18"/>
    <col collapsed="false" customWidth="true" hidden="false" outlineLevel="1" max="74" min="74" style="0" width="4"/>
    <col collapsed="false" customWidth="true" hidden="false" outlineLevel="1" max="75" min="75" style="0" width="3"/>
    <col collapsed="false" customWidth="true" hidden="false" outlineLevel="1" max="77" min="76" style="0" width="3.54"/>
    <col collapsed="false" customWidth="true" hidden="false" outlineLevel="1" max="78" min="78" style="0" width="2.18"/>
    <col collapsed="false" customWidth="true" hidden="false" outlineLevel="1" max="79" min="79" style="0" width="4"/>
    <col collapsed="false" customWidth="true" hidden="false" outlineLevel="1" max="80" min="80" style="0" width="3"/>
    <col collapsed="false" customWidth="true" hidden="false" outlineLevel="1" max="82" min="81" style="0" width="3.54"/>
    <col collapsed="false" customWidth="true" hidden="false" outlineLevel="1" max="83" min="83" style="0" width="2.18"/>
    <col collapsed="false" customWidth="true" hidden="false" outlineLevel="1" max="84" min="84" style="0" width="4"/>
    <col collapsed="false" customWidth="true" hidden="false" outlineLevel="1" max="85" min="85" style="0" width="3"/>
    <col collapsed="false" customWidth="true" hidden="false" outlineLevel="1" max="87" min="86" style="0" width="3.54"/>
    <col collapsed="false" customWidth="true" hidden="false" outlineLevel="1" max="88" min="88" style="0" width="2.18"/>
    <col collapsed="false" customWidth="true" hidden="false" outlineLevel="1" max="89" min="89" style="0" width="4"/>
    <col collapsed="false" customWidth="true" hidden="false" outlineLevel="1" max="90" min="90" style="0" width="3"/>
    <col collapsed="false" customWidth="true" hidden="false" outlineLevel="1" max="92" min="91" style="0" width="3.54"/>
    <col collapsed="false" customWidth="true" hidden="false" outlineLevel="1" max="93" min="93" style="0" width="2.18"/>
    <col collapsed="false" customWidth="true" hidden="false" outlineLevel="1" max="94" min="94" style="0" width="4"/>
    <col collapsed="false" customWidth="true" hidden="false" outlineLevel="1" max="95" min="95" style="0" width="3"/>
    <col collapsed="false" customWidth="true" hidden="false" outlineLevel="1" max="97" min="96" style="0" width="3.54"/>
    <col collapsed="false" customWidth="true" hidden="false" outlineLevel="1" max="98" min="98" style="0" width="2.18"/>
    <col collapsed="false" customWidth="true" hidden="false" outlineLevel="1" max="99" min="99" style="0" width="4"/>
    <col collapsed="false" customWidth="true" hidden="false" outlineLevel="1" max="100" min="100" style="0" width="3"/>
    <col collapsed="false" customWidth="true" hidden="false" outlineLevel="1" max="102" min="101" style="0" width="3.54"/>
    <col collapsed="false" customWidth="true" hidden="false" outlineLevel="1" max="103" min="103" style="0" width="2.18"/>
    <col collapsed="false" customWidth="true" hidden="false" outlineLevel="1" max="104" min="104" style="0" width="4"/>
    <col collapsed="false" customWidth="true" hidden="false" outlineLevel="1" max="105" min="105" style="0" width="3"/>
    <col collapsed="false" customWidth="true" hidden="false" outlineLevel="1" max="107" min="106" style="0" width="3.54"/>
    <col collapsed="false" customWidth="true" hidden="false" outlineLevel="1" max="108" min="108" style="0" width="2.18"/>
    <col collapsed="false" customWidth="true" hidden="false" outlineLevel="1" max="109" min="109" style="0" width="4"/>
    <col collapsed="false" customWidth="true" hidden="false" outlineLevel="1" max="110" min="110" style="0" width="3"/>
    <col collapsed="false" customWidth="true" hidden="false" outlineLevel="1" max="112" min="111" style="0" width="3.54"/>
    <col collapsed="false" customWidth="true" hidden="false" outlineLevel="1" max="113" min="113" style="0" width="2.82"/>
    <col collapsed="false" customWidth="true" hidden="false" outlineLevel="1" max="114" min="114" style="0" width="4"/>
    <col collapsed="false" customWidth="true" hidden="false" outlineLevel="1" max="115" min="115" style="0" width="3"/>
    <col collapsed="false" customWidth="true" hidden="false" outlineLevel="1" max="117" min="116" style="0" width="3.54"/>
    <col collapsed="false" customWidth="true" hidden="false" outlineLevel="1" max="118" min="118" style="0" width="2.18"/>
    <col collapsed="false" customWidth="true" hidden="false" outlineLevel="1" max="119" min="119" style="0" width="4"/>
    <col collapsed="false" customWidth="true" hidden="false" outlineLevel="1" max="120" min="120" style="0" width="3"/>
    <col collapsed="false" customWidth="true" hidden="false" outlineLevel="1" max="122" min="121" style="0" width="3.54"/>
    <col collapsed="false" customWidth="true" hidden="false" outlineLevel="1" max="123" min="123" style="0" width="2.18"/>
    <col collapsed="false" customWidth="true" hidden="false" outlineLevel="1" max="124" min="124" style="0" width="4"/>
    <col collapsed="false" customWidth="true" hidden="false" outlineLevel="1" max="125" min="125" style="0" width="3"/>
    <col collapsed="false" customWidth="true" hidden="false" outlineLevel="1" max="127" min="126" style="0" width="3.54"/>
    <col collapsed="false" customWidth="true" hidden="false" outlineLevel="1" max="128" min="128" style="0" width="2.18"/>
    <col collapsed="false" customWidth="true" hidden="false" outlineLevel="1" max="129" min="129" style="0" width="4"/>
    <col collapsed="false" customWidth="true" hidden="false" outlineLevel="1" max="130" min="130" style="0" width="3"/>
    <col collapsed="false" customWidth="true" hidden="false" outlineLevel="1" max="132" min="131" style="0" width="3.54"/>
    <col collapsed="false" customWidth="true" hidden="false" outlineLevel="1" max="133" min="133" style="0" width="2.18"/>
    <col collapsed="false" customWidth="true" hidden="false" outlineLevel="1" max="134" min="134" style="0" width="4"/>
    <col collapsed="false" customWidth="true" hidden="false" outlineLevel="1" max="135" min="135" style="0" width="3"/>
    <col collapsed="false" customWidth="true" hidden="false" outlineLevel="1" max="137" min="136" style="0" width="3.54"/>
    <col collapsed="false" customWidth="true" hidden="false" outlineLevel="1" max="138" min="138" style="0" width="2.18"/>
    <col collapsed="false" customWidth="true" hidden="false" outlineLevel="1" max="139" min="139" style="0" width="4"/>
    <col collapsed="false" customWidth="true" hidden="false" outlineLevel="1" max="140" min="140" style="0" width="3"/>
    <col collapsed="false" customWidth="true" hidden="false" outlineLevel="1" max="142" min="141" style="0" width="3.54"/>
    <col collapsed="false" customWidth="true" hidden="false" outlineLevel="1" max="144" min="143" style="0" width="4"/>
    <col collapsed="false" customWidth="true" hidden="false" outlineLevel="1" max="145" min="145" style="0" width="3"/>
    <col collapsed="false" customWidth="true" hidden="false" outlineLevel="1" max="147" min="146" style="0" width="3.54"/>
    <col collapsed="false" customWidth="true" hidden="false" outlineLevel="1" max="148" min="148" style="0" width="2.18"/>
    <col collapsed="false" customWidth="true" hidden="false" outlineLevel="1" max="149" min="149" style="0" width="4"/>
    <col collapsed="false" customWidth="true" hidden="false" outlineLevel="1" max="150" min="150" style="0" width="3"/>
    <col collapsed="false" customWidth="true" hidden="false" outlineLevel="1" max="152" min="151" style="0" width="3.54"/>
    <col collapsed="false" customWidth="true" hidden="false" outlineLevel="1" max="153" min="153" style="0" width="2.18"/>
    <col collapsed="false" customWidth="true" hidden="false" outlineLevel="1" max="154" min="154" style="0" width="4"/>
    <col collapsed="false" customWidth="true" hidden="false" outlineLevel="1" max="155" min="155" style="0" width="3"/>
    <col collapsed="false" customWidth="true" hidden="false" outlineLevel="1" max="157" min="156" style="0" width="3.54"/>
    <col collapsed="false" customWidth="true" hidden="false" outlineLevel="1" max="158" min="158" style="0" width="3.27"/>
    <col collapsed="false" customWidth="true" hidden="false" outlineLevel="1" max="159" min="159" style="0" width="4"/>
    <col collapsed="false" customWidth="true" hidden="false" outlineLevel="1" max="160" min="160" style="0" width="3"/>
    <col collapsed="false" customWidth="true" hidden="false" outlineLevel="1" max="162" min="161" style="0" width="3.54"/>
    <col collapsed="false" customWidth="true" hidden="false" outlineLevel="1" max="163" min="163" style="0" width="2.18"/>
    <col collapsed="false" customWidth="true" hidden="false" outlineLevel="1" max="164" min="164" style="0" width="4"/>
    <col collapsed="false" customWidth="true" hidden="false" outlineLevel="1" max="165" min="165" style="0" width="3"/>
    <col collapsed="false" customWidth="true" hidden="false" outlineLevel="1" max="167" min="166" style="0" width="3.54"/>
    <col collapsed="false" customWidth="true" hidden="false" outlineLevel="1" max="168" min="168" style="0" width="3.73"/>
    <col collapsed="false" customWidth="true" hidden="false" outlineLevel="1" max="169" min="169" style="0" width="4"/>
    <col collapsed="false" customWidth="true" hidden="false" outlineLevel="1" max="170" min="170" style="0" width="3"/>
    <col collapsed="false" customWidth="true" hidden="false" outlineLevel="1" max="172" min="171" style="0" width="3.54"/>
    <col collapsed="false" customWidth="true" hidden="false" outlineLevel="1" max="173" min="173" style="0" width="2.18"/>
    <col collapsed="false" customWidth="true" hidden="false" outlineLevel="1" max="174" min="174" style="0" width="4"/>
    <col collapsed="false" customWidth="true" hidden="false" outlineLevel="1" max="175" min="175" style="0" width="3"/>
    <col collapsed="false" customWidth="true" hidden="false" outlineLevel="1" max="177" min="176" style="0" width="3.54"/>
    <col collapsed="false" customWidth="true" hidden="false" outlineLevel="1" max="178" min="178" style="0" width="2.18"/>
    <col collapsed="false" customWidth="true" hidden="false" outlineLevel="1" max="179" min="179" style="0" width="4"/>
    <col collapsed="false" customWidth="true" hidden="false" outlineLevel="1" max="180" min="180" style="0" width="3"/>
    <col collapsed="false" customWidth="true" hidden="false" outlineLevel="1" max="181" min="181" style="0" width="3.73"/>
    <col collapsed="false" customWidth="true" hidden="false" outlineLevel="1" max="182" min="182" style="0" width="3.54"/>
    <col collapsed="false" customWidth="true" hidden="false" outlineLevel="1" max="183" min="183" style="0" width="2.18"/>
    <col collapsed="false" customWidth="true" hidden="false" outlineLevel="1" max="184" min="184" style="0" width="4"/>
    <col collapsed="false" customWidth="true" hidden="false" outlineLevel="1" max="185" min="185" style="0" width="3"/>
    <col collapsed="false" customWidth="true" hidden="false" outlineLevel="1" max="186" min="186" style="0" width="3.73"/>
    <col collapsed="false" customWidth="true" hidden="false" outlineLevel="1" max="187" min="187" style="0" width="3.54"/>
    <col collapsed="false" customWidth="true" hidden="false" outlineLevel="1" max="188" min="188" style="0" width="2.18"/>
    <col collapsed="false" customWidth="true" hidden="false" outlineLevel="1" max="189" min="189" style="0" width="4"/>
    <col collapsed="false" customWidth="true" hidden="false" outlineLevel="1" max="190" min="190" style="0" width="3"/>
    <col collapsed="false" customWidth="true" hidden="false" outlineLevel="1" max="191" min="191" style="0" width="3.73"/>
    <col collapsed="false" customWidth="true" hidden="false" outlineLevel="1" max="192" min="192" style="0" width="3.54"/>
    <col collapsed="false" customWidth="true" hidden="false" outlineLevel="1" max="193" min="193" style="0" width="3.45"/>
    <col collapsed="false" customWidth="true" hidden="false" outlineLevel="1" max="194" min="194" style="0" width="4"/>
    <col collapsed="false" customWidth="true" hidden="false" outlineLevel="1" max="195" min="195" style="0" width="3"/>
    <col collapsed="false" customWidth="true" hidden="false" outlineLevel="1" max="196" min="196" style="0" width="3.73"/>
    <col collapsed="false" customWidth="true" hidden="false" outlineLevel="1" max="197" min="197" style="0" width="3.54"/>
    <col collapsed="false" customWidth="true" hidden="false" outlineLevel="1" max="198" min="198" style="0" width="2.82"/>
    <col collapsed="false" customWidth="true" hidden="false" outlineLevel="1" max="199" min="199" style="0" width="4"/>
    <col collapsed="false" customWidth="true" hidden="false" outlineLevel="1" max="200" min="200" style="0" width="3"/>
    <col collapsed="false" customWidth="true" hidden="false" outlineLevel="1" max="201" min="201" style="0" width="3.73"/>
    <col collapsed="false" customWidth="true" hidden="false" outlineLevel="1" max="202" min="202" style="0" width="3.54"/>
    <col collapsed="false" customWidth="true" hidden="false" outlineLevel="1" max="203" min="203" style="0" width="2.18"/>
    <col collapsed="false" customWidth="true" hidden="false" outlineLevel="1" max="204" min="204" style="0" width="4"/>
    <col collapsed="false" customWidth="true" hidden="false" outlineLevel="1" max="205" min="205" style="0" width="3"/>
    <col collapsed="false" customWidth="true" hidden="false" outlineLevel="1" max="206" min="206" style="0" width="3.73"/>
    <col collapsed="false" customWidth="true" hidden="false" outlineLevel="1" max="207" min="207" style="0" width="3.54"/>
    <col collapsed="false" customWidth="true" hidden="false" outlineLevel="1" max="208" min="208" style="0" width="2.82"/>
    <col collapsed="false" customWidth="true" hidden="false" outlineLevel="1" max="209" min="209" style="0" width="4"/>
    <col collapsed="false" customWidth="true" hidden="false" outlineLevel="1" max="210" min="210" style="0" width="3"/>
    <col collapsed="false" customWidth="true" hidden="false" outlineLevel="1" max="211" min="211" style="0" width="3.73"/>
    <col collapsed="false" customWidth="true" hidden="false" outlineLevel="1" max="212" min="212" style="0" width="3.54"/>
    <col collapsed="false" customWidth="true" hidden="false" outlineLevel="1" max="213" min="213" style="0" width="2.18"/>
    <col collapsed="false" customWidth="true" hidden="false" outlineLevel="1" max="214" min="214" style="0" width="4"/>
    <col collapsed="false" customWidth="true" hidden="false" outlineLevel="1" max="215" min="215" style="0" width="3"/>
    <col collapsed="false" customWidth="true" hidden="false" outlineLevel="1" max="216" min="216" style="0" width="3.73"/>
    <col collapsed="false" customWidth="true" hidden="false" outlineLevel="1" max="217" min="217" style="0" width="3.54"/>
    <col collapsed="false" customWidth="true" hidden="false" outlineLevel="1" max="218" min="218" style="0" width="2.82"/>
    <col collapsed="false" customWidth="true" hidden="false" outlineLevel="1" max="219" min="219" style="0" width="4"/>
    <col collapsed="false" customWidth="true" hidden="false" outlineLevel="1" max="220" min="220" style="0" width="3"/>
    <col collapsed="false" customWidth="true" hidden="false" outlineLevel="1" max="221" min="221" style="0" width="3.73"/>
    <col collapsed="false" customWidth="true" hidden="false" outlineLevel="1" max="222" min="222" style="0" width="3.54"/>
    <col collapsed="false" customWidth="true" hidden="false" outlineLevel="1" max="223" min="223" style="0" width="2.18"/>
    <col collapsed="false" customWidth="true" hidden="false" outlineLevel="1" max="224" min="224" style="0" width="4"/>
    <col collapsed="false" customWidth="true" hidden="false" outlineLevel="1" max="225" min="225" style="0" width="3"/>
    <col collapsed="false" customWidth="true" hidden="false" outlineLevel="1" max="226" min="226" style="0" width="3.73"/>
    <col collapsed="false" customWidth="true" hidden="false" outlineLevel="1" max="227" min="227" style="0" width="3.54"/>
    <col collapsed="false" customWidth="true" hidden="false" outlineLevel="1" max="228" min="228" style="0" width="2.18"/>
    <col collapsed="false" customWidth="true" hidden="false" outlineLevel="1" max="229" min="229" style="0" width="4"/>
    <col collapsed="false" customWidth="true" hidden="false" outlineLevel="1" max="230" min="230" style="0" width="3"/>
    <col collapsed="false" customWidth="true" hidden="false" outlineLevel="1" max="231" min="231" style="0" width="3.73"/>
    <col collapsed="false" customWidth="true" hidden="false" outlineLevel="1" max="232" min="232" style="0" width="3.54"/>
    <col collapsed="false" customWidth="true" hidden="false" outlineLevel="1" max="233" min="233" style="0" width="2.18"/>
    <col collapsed="false" customWidth="true" hidden="false" outlineLevel="1" max="234" min="234" style="0" width="4"/>
    <col collapsed="false" customWidth="true" hidden="false" outlineLevel="1" max="235" min="235" style="0" width="3"/>
    <col collapsed="false" customWidth="true" hidden="false" outlineLevel="1" max="236" min="236" style="0" width="3.73"/>
    <col collapsed="false" customWidth="true" hidden="false" outlineLevel="1" max="237" min="237" style="0" width="3.54"/>
    <col collapsed="false" customWidth="true" hidden="false" outlineLevel="1" max="238" min="238" style="0" width="2.18"/>
    <col collapsed="false" customWidth="true" hidden="false" outlineLevel="1" max="239" min="239" style="0" width="4"/>
    <col collapsed="false" customWidth="true" hidden="false" outlineLevel="1" max="240" min="240" style="0" width="3"/>
    <col collapsed="false" customWidth="true" hidden="false" outlineLevel="1" max="241" min="241" style="0" width="3.73"/>
    <col collapsed="false" customWidth="true" hidden="false" outlineLevel="0" max="242" min="242" style="0" width="17.27"/>
  </cols>
  <sheetData>
    <row r="1" customFormat="false" ht="21" hidden="true" customHeight="true" outlineLevel="0" collapsed="false">
      <c r="A1" s="331" t="s">
        <v>489</v>
      </c>
      <c r="B1" s="331"/>
      <c r="C1" s="331"/>
      <c r="D1" s="331"/>
      <c r="E1" s="331"/>
      <c r="F1" s="331"/>
      <c r="G1" s="331"/>
      <c r="H1" s="331"/>
      <c r="I1" s="331"/>
      <c r="J1" s="331"/>
      <c r="K1" s="331"/>
      <c r="L1" s="331"/>
      <c r="M1" s="331"/>
      <c r="N1" s="331"/>
      <c r="O1" s="331"/>
      <c r="P1" s="331"/>
      <c r="Q1" s="331"/>
      <c r="R1" s="331"/>
      <c r="S1" s="331"/>
      <c r="T1" s="331"/>
      <c r="U1" s="331"/>
      <c r="V1" s="332"/>
      <c r="W1" s="332"/>
      <c r="X1" s="332"/>
      <c r="Y1" s="332"/>
      <c r="Z1" s="332"/>
      <c r="AA1" s="332"/>
      <c r="AB1" s="332"/>
      <c r="AC1" s="332"/>
      <c r="AD1" s="332"/>
      <c r="AE1" s="332"/>
      <c r="AF1" s="332"/>
      <c r="AG1" s="332"/>
      <c r="AH1" s="332"/>
      <c r="AI1" s="332"/>
      <c r="AJ1" s="332"/>
      <c r="AK1" s="332"/>
      <c r="AL1" s="332"/>
      <c r="AM1" s="332"/>
      <c r="AN1" s="332"/>
      <c r="AO1" s="332"/>
      <c r="AP1" s="332"/>
      <c r="AQ1" s="332"/>
      <c r="AR1" s="332"/>
      <c r="AS1" s="332"/>
      <c r="AT1" s="332"/>
      <c r="AU1" s="332"/>
      <c r="AV1" s="332"/>
      <c r="AW1" s="332"/>
      <c r="AX1" s="332"/>
      <c r="AY1" s="332"/>
      <c r="AZ1" s="332"/>
      <c r="BA1" s="332"/>
      <c r="BB1" s="332"/>
      <c r="BC1" s="332"/>
      <c r="BD1" s="332"/>
      <c r="BE1" s="332"/>
      <c r="BF1" s="332"/>
      <c r="BG1" s="332"/>
      <c r="BH1" s="332"/>
      <c r="BI1" s="332"/>
      <c r="BJ1" s="332"/>
      <c r="BK1" s="332"/>
      <c r="BL1" s="332"/>
      <c r="BM1" s="332"/>
      <c r="BN1" s="332"/>
      <c r="BO1" s="332"/>
      <c r="BP1" s="332"/>
      <c r="BQ1" s="332"/>
      <c r="BR1" s="332"/>
      <c r="BS1" s="332"/>
      <c r="BT1" s="332"/>
      <c r="BU1" s="332"/>
      <c r="BV1" s="332"/>
      <c r="BW1" s="332"/>
      <c r="BX1" s="332"/>
      <c r="BY1" s="332"/>
      <c r="BZ1" s="332"/>
      <c r="CA1" s="332"/>
      <c r="CB1" s="332"/>
      <c r="CC1" s="332"/>
      <c r="CD1" s="332"/>
      <c r="CE1" s="332"/>
      <c r="CF1" s="332"/>
      <c r="CG1" s="332"/>
      <c r="CH1" s="332"/>
      <c r="CI1" s="332"/>
      <c r="CJ1" s="332"/>
      <c r="CK1" s="332"/>
      <c r="CL1" s="332"/>
      <c r="CM1" s="332"/>
      <c r="CN1" s="332"/>
      <c r="CO1" s="332"/>
      <c r="CP1" s="332"/>
      <c r="CQ1" s="332"/>
      <c r="CR1" s="332"/>
      <c r="CS1" s="332"/>
      <c r="CT1" s="332"/>
      <c r="CU1" s="332"/>
      <c r="CV1" s="332"/>
      <c r="CW1" s="332"/>
      <c r="CX1" s="332"/>
      <c r="CY1" s="332"/>
      <c r="CZ1" s="332"/>
      <c r="DA1" s="332"/>
      <c r="DB1" s="332"/>
      <c r="DC1" s="332"/>
      <c r="DD1" s="332"/>
      <c r="DE1" s="332"/>
      <c r="DF1" s="332"/>
      <c r="DG1" s="332"/>
      <c r="DH1" s="332"/>
      <c r="DI1" s="332"/>
      <c r="DJ1" s="332"/>
      <c r="DK1" s="332"/>
      <c r="DL1" s="332"/>
      <c r="DM1" s="332"/>
      <c r="DN1" s="332"/>
      <c r="DO1" s="332"/>
      <c r="DP1" s="332"/>
      <c r="DQ1" s="332"/>
      <c r="DR1" s="332"/>
      <c r="DS1" s="332"/>
      <c r="DT1" s="332"/>
      <c r="DU1" s="332"/>
      <c r="DV1" s="332"/>
      <c r="DW1" s="332"/>
      <c r="DX1" s="332"/>
      <c r="DY1" s="332"/>
      <c r="DZ1" s="332"/>
      <c r="EA1" s="332"/>
      <c r="EB1" s="332"/>
      <c r="EC1" s="332"/>
      <c r="ED1" s="332"/>
      <c r="EE1" s="332"/>
      <c r="EF1" s="332"/>
      <c r="EG1" s="332"/>
      <c r="EH1" s="332"/>
      <c r="EI1" s="332"/>
      <c r="EJ1" s="332"/>
      <c r="EK1" s="332"/>
      <c r="EL1" s="332"/>
      <c r="EM1" s="332"/>
      <c r="EN1" s="332"/>
      <c r="EO1" s="332"/>
      <c r="EP1" s="332"/>
      <c r="EQ1" s="332"/>
      <c r="ER1" s="332"/>
      <c r="ES1" s="332"/>
      <c r="ET1" s="332"/>
      <c r="EU1" s="332"/>
      <c r="EV1" s="332"/>
      <c r="EW1" s="332"/>
      <c r="EX1" s="332"/>
      <c r="EY1" s="332"/>
      <c r="EZ1" s="332"/>
      <c r="FA1" s="332"/>
      <c r="FB1" s="332"/>
      <c r="FC1" s="332"/>
      <c r="FD1" s="332"/>
      <c r="FE1" s="332"/>
      <c r="FF1" s="332"/>
      <c r="FG1" s="332"/>
      <c r="FH1" s="332"/>
      <c r="FI1" s="332"/>
      <c r="FJ1" s="332"/>
      <c r="FK1" s="332"/>
      <c r="FL1" s="332"/>
      <c r="FM1" s="332"/>
      <c r="FN1" s="332"/>
      <c r="FO1" s="332"/>
      <c r="FP1" s="332"/>
      <c r="FQ1" s="332"/>
      <c r="FR1" s="332"/>
      <c r="FS1" s="332"/>
      <c r="FT1" s="332"/>
      <c r="FU1" s="332"/>
      <c r="FV1" s="332"/>
      <c r="FW1" s="332"/>
      <c r="FX1" s="332"/>
      <c r="FY1" s="332"/>
      <c r="FZ1" s="332"/>
      <c r="GA1" s="332"/>
      <c r="GB1" s="332"/>
      <c r="GC1" s="332"/>
      <c r="GD1" s="332"/>
      <c r="GE1" s="332"/>
      <c r="GF1" s="332"/>
      <c r="GG1" s="332"/>
      <c r="GH1" s="332"/>
      <c r="GI1" s="332"/>
      <c r="GJ1" s="332"/>
      <c r="GK1" s="332"/>
      <c r="GL1" s="332"/>
      <c r="GM1" s="332"/>
      <c r="GN1" s="332"/>
      <c r="GO1" s="332"/>
      <c r="GP1" s="332"/>
      <c r="GQ1" s="332"/>
      <c r="GR1" s="332"/>
      <c r="GS1" s="332"/>
      <c r="GT1" s="332"/>
      <c r="GU1" s="332"/>
      <c r="GV1" s="332"/>
      <c r="GW1" s="332"/>
      <c r="GX1" s="332"/>
      <c r="GY1" s="332"/>
      <c r="GZ1" s="332"/>
      <c r="HA1" s="332"/>
      <c r="HB1" s="332"/>
      <c r="HC1" s="332"/>
      <c r="HD1" s="332"/>
      <c r="HE1" s="332"/>
      <c r="HF1" s="332"/>
      <c r="HG1" s="332"/>
      <c r="HH1" s="332"/>
      <c r="HI1" s="332"/>
      <c r="HJ1" s="332"/>
      <c r="HK1" s="332"/>
      <c r="HL1" s="332"/>
      <c r="HM1" s="332"/>
      <c r="HN1" s="332"/>
      <c r="HO1" s="332"/>
      <c r="HP1" s="332"/>
      <c r="HQ1" s="332"/>
      <c r="HR1" s="332"/>
      <c r="HS1" s="332"/>
      <c r="HT1" s="332"/>
      <c r="HU1" s="332"/>
      <c r="HV1" s="332"/>
      <c r="HW1" s="332"/>
      <c r="HX1" s="332"/>
      <c r="HY1" s="332"/>
      <c r="HZ1" s="332"/>
      <c r="IA1" s="332"/>
      <c r="IB1" s="332"/>
      <c r="IC1" s="332"/>
      <c r="ID1" s="332"/>
      <c r="IE1" s="332"/>
      <c r="IF1" s="332"/>
      <c r="IG1" s="332"/>
    </row>
    <row r="2" customFormat="false" ht="16.5" hidden="true" customHeight="true" outlineLevel="0" collapsed="false">
      <c r="A2" s="333"/>
    </row>
    <row r="3" s="339" customFormat="true" ht="47.15" hidden="false" customHeight="true" outlineLevel="0" collapsed="false">
      <c r="A3" s="334"/>
      <c r="B3" s="335" t="s">
        <v>490</v>
      </c>
      <c r="C3" s="335"/>
      <c r="D3" s="335"/>
      <c r="E3" s="335"/>
      <c r="F3" s="335"/>
      <c r="G3" s="335"/>
      <c r="H3" s="335"/>
      <c r="I3" s="335"/>
      <c r="J3" s="335"/>
      <c r="K3" s="335"/>
      <c r="L3" s="335" t="s">
        <v>491</v>
      </c>
      <c r="M3" s="335"/>
      <c r="N3" s="335"/>
      <c r="O3" s="335"/>
      <c r="P3" s="335"/>
      <c r="Q3" s="335"/>
      <c r="R3" s="335"/>
      <c r="S3" s="335"/>
      <c r="T3" s="335"/>
      <c r="U3" s="335"/>
      <c r="V3" s="335"/>
      <c r="W3" s="335"/>
      <c r="X3" s="335"/>
      <c r="Y3" s="335"/>
      <c r="Z3" s="335"/>
      <c r="AA3" s="335"/>
      <c r="AB3" s="335"/>
      <c r="AC3" s="335"/>
      <c r="AD3" s="335"/>
      <c r="AE3" s="335"/>
      <c r="AF3" s="336" t="s">
        <v>492</v>
      </c>
      <c r="AG3" s="336"/>
      <c r="AH3" s="336"/>
      <c r="AI3" s="336"/>
      <c r="AJ3" s="336"/>
      <c r="AK3" s="336"/>
      <c r="AL3" s="336"/>
      <c r="AM3" s="336"/>
      <c r="AN3" s="336"/>
      <c r="AO3" s="336"/>
      <c r="AP3" s="336"/>
      <c r="AQ3" s="336"/>
      <c r="AR3" s="336"/>
      <c r="AS3" s="336"/>
      <c r="AT3" s="336"/>
      <c r="AU3" s="336"/>
      <c r="AV3" s="336"/>
      <c r="AW3" s="336"/>
      <c r="AX3" s="336"/>
      <c r="AY3" s="336"/>
      <c r="AZ3" s="336"/>
      <c r="BA3" s="336"/>
      <c r="BB3" s="336"/>
      <c r="BC3" s="336"/>
      <c r="BD3" s="336"/>
      <c r="BE3" s="335" t="s">
        <v>493</v>
      </c>
      <c r="BF3" s="335"/>
      <c r="BG3" s="335"/>
      <c r="BH3" s="335"/>
      <c r="BI3" s="335"/>
      <c r="BJ3" s="335"/>
      <c r="BK3" s="335"/>
      <c r="BL3" s="335"/>
      <c r="BM3" s="335"/>
      <c r="BN3" s="335"/>
      <c r="BO3" s="335"/>
      <c r="BP3" s="335"/>
      <c r="BQ3" s="335"/>
      <c r="BR3" s="335"/>
      <c r="BS3" s="335"/>
      <c r="BT3" s="335"/>
      <c r="BU3" s="335"/>
      <c r="BV3" s="335"/>
      <c r="BW3" s="335"/>
      <c r="BX3" s="335"/>
      <c r="BY3" s="335" t="s">
        <v>494</v>
      </c>
      <c r="BZ3" s="335"/>
      <c r="CA3" s="335"/>
      <c r="CB3" s="335"/>
      <c r="CC3" s="335"/>
      <c r="CD3" s="335"/>
      <c r="CE3" s="335"/>
      <c r="CF3" s="335"/>
      <c r="CG3" s="335"/>
      <c r="CH3" s="335"/>
      <c r="CI3" s="335"/>
      <c r="CJ3" s="335"/>
      <c r="CK3" s="335"/>
      <c r="CL3" s="335"/>
      <c r="CM3" s="335"/>
      <c r="CN3" s="335"/>
      <c r="CO3" s="335"/>
      <c r="CP3" s="335"/>
      <c r="CQ3" s="335"/>
      <c r="CR3" s="335"/>
      <c r="CS3" s="335" t="s">
        <v>495</v>
      </c>
      <c r="CT3" s="335"/>
      <c r="CU3" s="335"/>
      <c r="CV3" s="335"/>
      <c r="CW3" s="335"/>
      <c r="CX3" s="335"/>
      <c r="CY3" s="335"/>
      <c r="CZ3" s="335"/>
      <c r="DA3" s="335"/>
      <c r="DB3" s="335"/>
      <c r="DC3" s="335"/>
      <c r="DD3" s="335"/>
      <c r="DE3" s="335"/>
      <c r="DF3" s="335"/>
      <c r="DG3" s="335"/>
      <c r="DH3" s="335"/>
      <c r="DI3" s="335"/>
      <c r="DJ3" s="335"/>
      <c r="DK3" s="335"/>
      <c r="DL3" s="335"/>
      <c r="DM3" s="335"/>
      <c r="DN3" s="335"/>
      <c r="DO3" s="335"/>
      <c r="DP3" s="335"/>
      <c r="DQ3" s="335"/>
      <c r="DR3" s="335" t="s">
        <v>496</v>
      </c>
      <c r="DS3" s="335"/>
      <c r="DT3" s="335"/>
      <c r="DU3" s="335"/>
      <c r="DV3" s="335"/>
      <c r="DW3" s="335"/>
      <c r="DX3" s="335"/>
      <c r="DY3" s="335"/>
      <c r="DZ3" s="335"/>
      <c r="EA3" s="335"/>
      <c r="EB3" s="335"/>
      <c r="EC3" s="335"/>
      <c r="ED3" s="335"/>
      <c r="EE3" s="335"/>
      <c r="EF3" s="335"/>
      <c r="EG3" s="335"/>
      <c r="EH3" s="335"/>
      <c r="EI3" s="335"/>
      <c r="EJ3" s="335"/>
      <c r="EK3" s="335"/>
      <c r="EL3" s="336" t="s">
        <v>497</v>
      </c>
      <c r="EM3" s="336"/>
      <c r="EN3" s="336"/>
      <c r="EO3" s="336"/>
      <c r="EP3" s="336"/>
      <c r="EQ3" s="336"/>
      <c r="ER3" s="336"/>
      <c r="ES3" s="336"/>
      <c r="ET3" s="336"/>
      <c r="EU3" s="336"/>
      <c r="EV3" s="336"/>
      <c r="EW3" s="336"/>
      <c r="EX3" s="336"/>
      <c r="EY3" s="336"/>
      <c r="EZ3" s="336"/>
      <c r="FA3" s="336"/>
      <c r="FB3" s="336"/>
      <c r="FC3" s="336"/>
      <c r="FD3" s="336"/>
      <c r="FE3" s="336"/>
      <c r="FF3" s="336"/>
      <c r="FG3" s="336"/>
      <c r="FH3" s="336"/>
      <c r="FI3" s="336"/>
      <c r="FJ3" s="336"/>
      <c r="FK3" s="335" t="s">
        <v>498</v>
      </c>
      <c r="FL3" s="335"/>
      <c r="FM3" s="335"/>
      <c r="FN3" s="335"/>
      <c r="FO3" s="335"/>
      <c r="FP3" s="335"/>
      <c r="FQ3" s="335"/>
      <c r="FR3" s="335"/>
      <c r="FS3" s="335"/>
      <c r="FT3" s="335"/>
      <c r="FU3" s="335"/>
      <c r="FV3" s="335"/>
      <c r="FW3" s="335"/>
      <c r="FX3" s="335"/>
      <c r="FY3" s="335"/>
      <c r="FZ3" s="335"/>
      <c r="GA3" s="335"/>
      <c r="GB3" s="335"/>
      <c r="GC3" s="335"/>
      <c r="GD3" s="335"/>
      <c r="GE3" s="335" t="s">
        <v>499</v>
      </c>
      <c r="GF3" s="335"/>
      <c r="GG3" s="335"/>
      <c r="GH3" s="335"/>
      <c r="GI3" s="335"/>
      <c r="GJ3" s="335"/>
      <c r="GK3" s="335"/>
      <c r="GL3" s="335"/>
      <c r="GM3" s="335"/>
      <c r="GN3" s="335"/>
      <c r="GO3" s="335"/>
      <c r="GP3" s="335"/>
      <c r="GQ3" s="335"/>
      <c r="GR3" s="335"/>
      <c r="GS3" s="335"/>
      <c r="GT3" s="335"/>
      <c r="GU3" s="335"/>
      <c r="GV3" s="335"/>
      <c r="GW3" s="335"/>
      <c r="GX3" s="335"/>
      <c r="GY3" s="337" t="s">
        <v>500</v>
      </c>
      <c r="GZ3" s="337"/>
      <c r="HA3" s="337"/>
      <c r="HB3" s="337"/>
      <c r="HC3" s="337"/>
      <c r="HD3" s="337"/>
      <c r="HE3" s="337"/>
      <c r="HF3" s="337"/>
      <c r="HG3" s="337"/>
      <c r="HH3" s="337"/>
      <c r="HI3" s="337"/>
      <c r="HJ3" s="337"/>
      <c r="HK3" s="337"/>
      <c r="HL3" s="337"/>
      <c r="HM3" s="337"/>
      <c r="HN3" s="337"/>
      <c r="HO3" s="337"/>
      <c r="HP3" s="337"/>
      <c r="HQ3" s="337"/>
      <c r="HR3" s="337"/>
      <c r="HS3" s="337"/>
      <c r="HT3" s="337"/>
      <c r="HU3" s="337"/>
      <c r="HV3" s="337"/>
      <c r="HW3" s="337"/>
      <c r="HX3" s="338" t="s">
        <v>501</v>
      </c>
      <c r="HY3" s="338"/>
      <c r="HZ3" s="338"/>
      <c r="IA3" s="338"/>
      <c r="IB3" s="338"/>
      <c r="IC3" s="338" t="s">
        <v>501</v>
      </c>
      <c r="ID3" s="338"/>
      <c r="IE3" s="338"/>
      <c r="IF3" s="338"/>
      <c r="IG3" s="338"/>
    </row>
    <row r="4" s="339" customFormat="true" ht="15" hidden="false" customHeight="false" outlineLevel="0" collapsed="false">
      <c r="A4" s="340"/>
      <c r="B4" s="341" t="n">
        <v>45740</v>
      </c>
      <c r="C4" s="341"/>
      <c r="D4" s="341"/>
      <c r="E4" s="341"/>
      <c r="F4" s="341"/>
      <c r="G4" s="341" t="n">
        <f aca="false">+B4+7</f>
        <v>45747</v>
      </c>
      <c r="H4" s="341"/>
      <c r="I4" s="341"/>
      <c r="J4" s="341"/>
      <c r="K4" s="341"/>
      <c r="L4" s="341" t="n">
        <f aca="false">+G4+7</f>
        <v>45754</v>
      </c>
      <c r="M4" s="341"/>
      <c r="N4" s="341"/>
      <c r="O4" s="341"/>
      <c r="P4" s="341"/>
      <c r="Q4" s="341" t="n">
        <f aca="false">+L4+7</f>
        <v>45761</v>
      </c>
      <c r="R4" s="341"/>
      <c r="S4" s="341"/>
      <c r="T4" s="341"/>
      <c r="U4" s="341"/>
      <c r="V4" s="341" t="n">
        <f aca="false">+Q4+7</f>
        <v>45768</v>
      </c>
      <c r="W4" s="341"/>
      <c r="X4" s="341"/>
      <c r="Y4" s="341"/>
      <c r="Z4" s="341"/>
      <c r="AA4" s="341" t="n">
        <f aca="false">+V4+7</f>
        <v>45775</v>
      </c>
      <c r="AB4" s="341"/>
      <c r="AC4" s="341"/>
      <c r="AD4" s="341"/>
      <c r="AE4" s="341"/>
      <c r="AF4" s="341" t="n">
        <f aca="false">+AA4+7</f>
        <v>45782</v>
      </c>
      <c r="AG4" s="341"/>
      <c r="AH4" s="341"/>
      <c r="AI4" s="341"/>
      <c r="AJ4" s="341"/>
      <c r="AK4" s="341" t="n">
        <f aca="false">+AF4+7</f>
        <v>45789</v>
      </c>
      <c r="AL4" s="341"/>
      <c r="AM4" s="341"/>
      <c r="AN4" s="341"/>
      <c r="AO4" s="341"/>
      <c r="AP4" s="341" t="n">
        <f aca="false">+AK4+7</f>
        <v>45796</v>
      </c>
      <c r="AQ4" s="341"/>
      <c r="AR4" s="341"/>
      <c r="AS4" s="341"/>
      <c r="AT4" s="341"/>
      <c r="AU4" s="341" t="n">
        <f aca="false">+AP4+7</f>
        <v>45803</v>
      </c>
      <c r="AV4" s="341"/>
      <c r="AW4" s="341"/>
      <c r="AX4" s="341"/>
      <c r="AY4" s="341"/>
      <c r="AZ4" s="341" t="n">
        <v>45807</v>
      </c>
      <c r="BA4" s="341"/>
      <c r="BB4" s="341"/>
      <c r="BC4" s="341"/>
      <c r="BD4" s="341"/>
      <c r="BE4" s="341" t="n">
        <f aca="false">+AZ4+7</f>
        <v>45814</v>
      </c>
      <c r="BF4" s="341"/>
      <c r="BG4" s="341"/>
      <c r="BH4" s="341"/>
      <c r="BI4" s="341"/>
      <c r="BJ4" s="341" t="n">
        <f aca="false">+BE4+7</f>
        <v>45821</v>
      </c>
      <c r="BK4" s="341"/>
      <c r="BL4" s="341"/>
      <c r="BM4" s="341"/>
      <c r="BN4" s="341"/>
      <c r="BO4" s="341" t="n">
        <f aca="false">+BJ4+7</f>
        <v>45828</v>
      </c>
      <c r="BP4" s="341"/>
      <c r="BQ4" s="341"/>
      <c r="BR4" s="341"/>
      <c r="BS4" s="341"/>
      <c r="BT4" s="341" t="n">
        <f aca="false">+BO4+7</f>
        <v>45835</v>
      </c>
      <c r="BU4" s="341"/>
      <c r="BV4" s="341"/>
      <c r="BW4" s="341"/>
      <c r="BX4" s="341"/>
      <c r="BY4" s="342" t="n">
        <f aca="false">+BT4+7</f>
        <v>45842</v>
      </c>
      <c r="BZ4" s="342"/>
      <c r="CA4" s="342"/>
      <c r="CB4" s="342"/>
      <c r="CC4" s="342"/>
      <c r="CD4" s="342" t="n">
        <f aca="false">+BY4+7</f>
        <v>45849</v>
      </c>
      <c r="CE4" s="342"/>
      <c r="CF4" s="342"/>
      <c r="CG4" s="342"/>
      <c r="CH4" s="342"/>
      <c r="CI4" s="342" t="n">
        <f aca="false">+CD4+7</f>
        <v>45856</v>
      </c>
      <c r="CJ4" s="342"/>
      <c r="CK4" s="342"/>
      <c r="CL4" s="342"/>
      <c r="CM4" s="342"/>
      <c r="CN4" s="342" t="n">
        <f aca="false">+CI4+7</f>
        <v>45863</v>
      </c>
      <c r="CO4" s="342"/>
      <c r="CP4" s="342"/>
      <c r="CQ4" s="342"/>
      <c r="CR4" s="342"/>
      <c r="CS4" s="341" t="n">
        <f aca="false">+CN4+7</f>
        <v>45870</v>
      </c>
      <c r="CT4" s="341"/>
      <c r="CU4" s="341"/>
      <c r="CV4" s="341"/>
      <c r="CW4" s="341"/>
      <c r="CX4" s="341" t="n">
        <f aca="false">+CS4+7</f>
        <v>45877</v>
      </c>
      <c r="CY4" s="341"/>
      <c r="CZ4" s="341"/>
      <c r="DA4" s="341"/>
      <c r="DB4" s="341"/>
      <c r="DC4" s="341" t="n">
        <f aca="false">+CX4+7</f>
        <v>45884</v>
      </c>
      <c r="DD4" s="341"/>
      <c r="DE4" s="341"/>
      <c r="DF4" s="341"/>
      <c r="DG4" s="341"/>
      <c r="DH4" s="341" t="n">
        <f aca="false">+DC4+7</f>
        <v>45891</v>
      </c>
      <c r="DI4" s="341"/>
      <c r="DJ4" s="341"/>
      <c r="DK4" s="341"/>
      <c r="DL4" s="341"/>
      <c r="DM4" s="341" t="n">
        <f aca="false">+DH4+7</f>
        <v>45898</v>
      </c>
      <c r="DN4" s="341"/>
      <c r="DO4" s="341"/>
      <c r="DP4" s="341"/>
      <c r="DQ4" s="341"/>
      <c r="DR4" s="341" t="n">
        <f aca="false">+DM4+7</f>
        <v>45905</v>
      </c>
      <c r="DS4" s="341"/>
      <c r="DT4" s="341"/>
      <c r="DU4" s="341"/>
      <c r="DV4" s="341"/>
      <c r="DW4" s="341" t="n">
        <f aca="false">+DR4+7</f>
        <v>45912</v>
      </c>
      <c r="DX4" s="341"/>
      <c r="DY4" s="341"/>
      <c r="DZ4" s="341"/>
      <c r="EA4" s="341"/>
      <c r="EB4" s="341" t="n">
        <f aca="false">+DW4+7</f>
        <v>45919</v>
      </c>
      <c r="EC4" s="341"/>
      <c r="ED4" s="341"/>
      <c r="EE4" s="341"/>
      <c r="EF4" s="341"/>
      <c r="EG4" s="341" t="n">
        <f aca="false">+EB4+7</f>
        <v>45926</v>
      </c>
      <c r="EH4" s="341"/>
      <c r="EI4" s="341"/>
      <c r="EJ4" s="341"/>
      <c r="EK4" s="341"/>
      <c r="EL4" s="341" t="n">
        <f aca="false">+EG4+7</f>
        <v>45933</v>
      </c>
      <c r="EM4" s="341"/>
      <c r="EN4" s="341"/>
      <c r="EO4" s="341"/>
      <c r="EP4" s="341"/>
      <c r="EQ4" s="341" t="n">
        <f aca="false">+EL4+7</f>
        <v>45940</v>
      </c>
      <c r="ER4" s="341"/>
      <c r="ES4" s="341"/>
      <c r="ET4" s="341"/>
      <c r="EU4" s="341"/>
      <c r="EV4" s="341" t="n">
        <f aca="false">+EQ4+7</f>
        <v>45947</v>
      </c>
      <c r="EW4" s="341"/>
      <c r="EX4" s="341"/>
      <c r="EY4" s="341"/>
      <c r="EZ4" s="341"/>
      <c r="FA4" s="341" t="n">
        <f aca="false">+EV4+7</f>
        <v>45954</v>
      </c>
      <c r="FB4" s="341"/>
      <c r="FC4" s="341"/>
      <c r="FD4" s="341"/>
      <c r="FE4" s="341"/>
      <c r="FF4" s="341" t="n">
        <f aca="false">+FA4+7</f>
        <v>45961</v>
      </c>
      <c r="FG4" s="341"/>
      <c r="FH4" s="341"/>
      <c r="FI4" s="341"/>
      <c r="FJ4" s="341"/>
      <c r="FK4" s="342" t="n">
        <f aca="false">+FF4+7</f>
        <v>45968</v>
      </c>
      <c r="FL4" s="342"/>
      <c r="FM4" s="342"/>
      <c r="FN4" s="342"/>
      <c r="FO4" s="342"/>
      <c r="FP4" s="342" t="n">
        <f aca="false">+FK4+7</f>
        <v>45975</v>
      </c>
      <c r="FQ4" s="342"/>
      <c r="FR4" s="342"/>
      <c r="FS4" s="342"/>
      <c r="FT4" s="342"/>
      <c r="FU4" s="342" t="n">
        <f aca="false">+FP4+7</f>
        <v>45982</v>
      </c>
      <c r="FV4" s="342"/>
      <c r="FW4" s="342"/>
      <c r="FX4" s="342"/>
      <c r="FY4" s="342"/>
      <c r="FZ4" s="342" t="n">
        <f aca="false">+FU4+7</f>
        <v>45989</v>
      </c>
      <c r="GA4" s="342"/>
      <c r="GB4" s="342"/>
      <c r="GC4" s="342"/>
      <c r="GD4" s="342"/>
      <c r="GE4" s="341" t="n">
        <f aca="false">+FZ4+7</f>
        <v>45996</v>
      </c>
      <c r="GF4" s="341"/>
      <c r="GG4" s="341"/>
      <c r="GH4" s="341"/>
      <c r="GI4" s="341"/>
      <c r="GJ4" s="341" t="n">
        <f aca="false">+GE4+7</f>
        <v>46003</v>
      </c>
      <c r="GK4" s="341"/>
      <c r="GL4" s="341"/>
      <c r="GM4" s="341"/>
      <c r="GN4" s="341"/>
      <c r="GO4" s="341" t="n">
        <f aca="false">+GJ4+7</f>
        <v>46010</v>
      </c>
      <c r="GP4" s="341"/>
      <c r="GQ4" s="341"/>
      <c r="GR4" s="341"/>
      <c r="GS4" s="341"/>
      <c r="GT4" s="341" t="n">
        <f aca="false">+GO4+7</f>
        <v>46017</v>
      </c>
      <c r="GU4" s="341"/>
      <c r="GV4" s="341"/>
      <c r="GW4" s="341"/>
      <c r="GX4" s="341"/>
      <c r="GY4" s="341" t="n">
        <f aca="false">+GT4+7</f>
        <v>46024</v>
      </c>
      <c r="GZ4" s="341"/>
      <c r="HA4" s="341"/>
      <c r="HB4" s="341"/>
      <c r="HC4" s="341"/>
      <c r="HD4" s="341" t="n">
        <f aca="false">+GY4+7</f>
        <v>46031</v>
      </c>
      <c r="HE4" s="341"/>
      <c r="HF4" s="341"/>
      <c r="HG4" s="341"/>
      <c r="HH4" s="341"/>
      <c r="HI4" s="341" t="n">
        <f aca="false">+HD4+7</f>
        <v>46038</v>
      </c>
      <c r="HJ4" s="341"/>
      <c r="HK4" s="341"/>
      <c r="HL4" s="341"/>
      <c r="HM4" s="341"/>
      <c r="HN4" s="341" t="n">
        <f aca="false">+HI4+7</f>
        <v>46045</v>
      </c>
      <c r="HO4" s="341"/>
      <c r="HP4" s="341"/>
      <c r="HQ4" s="341"/>
      <c r="HR4" s="341"/>
      <c r="HS4" s="341" t="n">
        <f aca="false">+HN4+7</f>
        <v>46052</v>
      </c>
      <c r="HT4" s="341"/>
      <c r="HU4" s="341"/>
      <c r="HV4" s="341"/>
      <c r="HW4" s="341"/>
      <c r="HX4" s="342" t="n">
        <f aca="false">+HS4+7</f>
        <v>46059</v>
      </c>
      <c r="HY4" s="342"/>
      <c r="HZ4" s="342"/>
      <c r="IA4" s="342"/>
      <c r="IB4" s="342"/>
      <c r="IC4" s="342" t="n">
        <f aca="false">+HX4+7</f>
        <v>46066</v>
      </c>
      <c r="ID4" s="342"/>
      <c r="IE4" s="342"/>
      <c r="IF4" s="342"/>
      <c r="IG4" s="342"/>
    </row>
    <row r="5" customFormat="false" ht="15" hidden="false" customHeight="false" outlineLevel="0" collapsed="false">
      <c r="A5" s="343" t="s">
        <v>502</v>
      </c>
      <c r="B5" s="344" t="s">
        <v>503</v>
      </c>
      <c r="C5" s="345" t="s">
        <v>504</v>
      </c>
      <c r="D5" s="345" t="s">
        <v>505</v>
      </c>
      <c r="E5" s="345" t="s">
        <v>506</v>
      </c>
      <c r="F5" s="346" t="s">
        <v>507</v>
      </c>
      <c r="G5" s="344" t="s">
        <v>503</v>
      </c>
      <c r="H5" s="345" t="s">
        <v>504</v>
      </c>
      <c r="I5" s="345" t="s">
        <v>505</v>
      </c>
      <c r="J5" s="345" t="s">
        <v>506</v>
      </c>
      <c r="K5" s="346" t="s">
        <v>507</v>
      </c>
      <c r="L5" s="344" t="s">
        <v>503</v>
      </c>
      <c r="M5" s="345" t="s">
        <v>504</v>
      </c>
      <c r="N5" s="345" t="s">
        <v>505</v>
      </c>
      <c r="O5" s="345" t="s">
        <v>506</v>
      </c>
      <c r="P5" s="346" t="s">
        <v>507</v>
      </c>
      <c r="Q5" s="344" t="s">
        <v>503</v>
      </c>
      <c r="R5" s="345" t="s">
        <v>504</v>
      </c>
      <c r="S5" s="345" t="s">
        <v>505</v>
      </c>
      <c r="T5" s="345" t="s">
        <v>506</v>
      </c>
      <c r="U5" s="346" t="s">
        <v>507</v>
      </c>
      <c r="V5" s="344" t="s">
        <v>503</v>
      </c>
      <c r="W5" s="345" t="s">
        <v>504</v>
      </c>
      <c r="X5" s="345" t="s">
        <v>505</v>
      </c>
      <c r="Y5" s="345" t="s">
        <v>506</v>
      </c>
      <c r="Z5" s="346" t="s">
        <v>507</v>
      </c>
      <c r="AA5" s="344" t="s">
        <v>503</v>
      </c>
      <c r="AB5" s="345" t="s">
        <v>504</v>
      </c>
      <c r="AC5" s="345" t="s">
        <v>505</v>
      </c>
      <c r="AD5" s="345" t="s">
        <v>506</v>
      </c>
      <c r="AE5" s="346" t="s">
        <v>507</v>
      </c>
      <c r="AF5" s="344" t="s">
        <v>503</v>
      </c>
      <c r="AG5" s="345" t="s">
        <v>504</v>
      </c>
      <c r="AH5" s="345" t="s">
        <v>505</v>
      </c>
      <c r="AI5" s="345" t="s">
        <v>506</v>
      </c>
      <c r="AJ5" s="346" t="s">
        <v>507</v>
      </c>
      <c r="AK5" s="344" t="s">
        <v>503</v>
      </c>
      <c r="AL5" s="345" t="s">
        <v>504</v>
      </c>
      <c r="AM5" s="345" t="s">
        <v>505</v>
      </c>
      <c r="AN5" s="345" t="s">
        <v>506</v>
      </c>
      <c r="AO5" s="346" t="s">
        <v>507</v>
      </c>
      <c r="AP5" s="344" t="s">
        <v>503</v>
      </c>
      <c r="AQ5" s="345" t="s">
        <v>504</v>
      </c>
      <c r="AR5" s="345" t="s">
        <v>505</v>
      </c>
      <c r="AS5" s="345" t="s">
        <v>506</v>
      </c>
      <c r="AT5" s="346" t="s">
        <v>507</v>
      </c>
      <c r="AU5" s="344" t="s">
        <v>503</v>
      </c>
      <c r="AV5" s="345" t="s">
        <v>504</v>
      </c>
      <c r="AW5" s="345" t="s">
        <v>505</v>
      </c>
      <c r="AX5" s="345" t="s">
        <v>506</v>
      </c>
      <c r="AY5" s="346" t="s">
        <v>507</v>
      </c>
      <c r="AZ5" s="344" t="s">
        <v>503</v>
      </c>
      <c r="BA5" s="345" t="s">
        <v>504</v>
      </c>
      <c r="BB5" s="345" t="s">
        <v>505</v>
      </c>
      <c r="BC5" s="345" t="s">
        <v>506</v>
      </c>
      <c r="BD5" s="346" t="s">
        <v>507</v>
      </c>
      <c r="BE5" s="344" t="s">
        <v>503</v>
      </c>
      <c r="BF5" s="345" t="s">
        <v>504</v>
      </c>
      <c r="BG5" s="345" t="s">
        <v>505</v>
      </c>
      <c r="BH5" s="345" t="s">
        <v>506</v>
      </c>
      <c r="BI5" s="346" t="s">
        <v>507</v>
      </c>
      <c r="BJ5" s="344" t="s">
        <v>503</v>
      </c>
      <c r="BK5" s="345" t="s">
        <v>504</v>
      </c>
      <c r="BL5" s="345" t="s">
        <v>505</v>
      </c>
      <c r="BM5" s="345" t="s">
        <v>506</v>
      </c>
      <c r="BN5" s="346" t="s">
        <v>507</v>
      </c>
      <c r="BO5" s="344" t="s">
        <v>503</v>
      </c>
      <c r="BP5" s="345" t="s">
        <v>504</v>
      </c>
      <c r="BQ5" s="345" t="s">
        <v>505</v>
      </c>
      <c r="BR5" s="345" t="s">
        <v>506</v>
      </c>
      <c r="BS5" s="346" t="s">
        <v>507</v>
      </c>
      <c r="BT5" s="344" t="s">
        <v>503</v>
      </c>
      <c r="BU5" s="345" t="s">
        <v>504</v>
      </c>
      <c r="BV5" s="345" t="s">
        <v>505</v>
      </c>
      <c r="BW5" s="345" t="s">
        <v>506</v>
      </c>
      <c r="BX5" s="346" t="s">
        <v>507</v>
      </c>
      <c r="BY5" s="344" t="s">
        <v>503</v>
      </c>
      <c r="BZ5" s="345" t="s">
        <v>504</v>
      </c>
      <c r="CA5" s="345" t="s">
        <v>505</v>
      </c>
      <c r="CB5" s="345" t="s">
        <v>506</v>
      </c>
      <c r="CC5" s="346" t="s">
        <v>507</v>
      </c>
      <c r="CD5" s="344" t="s">
        <v>503</v>
      </c>
      <c r="CE5" s="345" t="s">
        <v>504</v>
      </c>
      <c r="CF5" s="345" t="s">
        <v>505</v>
      </c>
      <c r="CG5" s="345" t="s">
        <v>506</v>
      </c>
      <c r="CH5" s="346" t="s">
        <v>507</v>
      </c>
      <c r="CI5" s="344" t="s">
        <v>503</v>
      </c>
      <c r="CJ5" s="345" t="s">
        <v>504</v>
      </c>
      <c r="CK5" s="345" t="s">
        <v>505</v>
      </c>
      <c r="CL5" s="345" t="s">
        <v>506</v>
      </c>
      <c r="CM5" s="346" t="s">
        <v>507</v>
      </c>
      <c r="CN5" s="344" t="s">
        <v>503</v>
      </c>
      <c r="CO5" s="345" t="s">
        <v>504</v>
      </c>
      <c r="CP5" s="345" t="s">
        <v>505</v>
      </c>
      <c r="CQ5" s="345" t="s">
        <v>506</v>
      </c>
      <c r="CR5" s="346" t="s">
        <v>507</v>
      </c>
      <c r="CS5" s="344" t="s">
        <v>503</v>
      </c>
      <c r="CT5" s="345" t="s">
        <v>504</v>
      </c>
      <c r="CU5" s="345" t="s">
        <v>505</v>
      </c>
      <c r="CV5" s="345" t="s">
        <v>506</v>
      </c>
      <c r="CW5" s="346" t="s">
        <v>507</v>
      </c>
      <c r="CX5" s="344" t="s">
        <v>503</v>
      </c>
      <c r="CY5" s="345" t="s">
        <v>504</v>
      </c>
      <c r="CZ5" s="345" t="s">
        <v>505</v>
      </c>
      <c r="DA5" s="345" t="s">
        <v>506</v>
      </c>
      <c r="DB5" s="346" t="s">
        <v>507</v>
      </c>
      <c r="DC5" s="344" t="s">
        <v>503</v>
      </c>
      <c r="DD5" s="345" t="s">
        <v>504</v>
      </c>
      <c r="DE5" s="345" t="s">
        <v>505</v>
      </c>
      <c r="DF5" s="345" t="s">
        <v>506</v>
      </c>
      <c r="DG5" s="346" t="s">
        <v>507</v>
      </c>
      <c r="DH5" s="344" t="s">
        <v>503</v>
      </c>
      <c r="DI5" s="345" t="s">
        <v>504</v>
      </c>
      <c r="DJ5" s="345" t="s">
        <v>505</v>
      </c>
      <c r="DK5" s="345" t="s">
        <v>506</v>
      </c>
      <c r="DL5" s="346" t="s">
        <v>507</v>
      </c>
      <c r="DM5" s="344" t="s">
        <v>503</v>
      </c>
      <c r="DN5" s="345" t="s">
        <v>504</v>
      </c>
      <c r="DO5" s="345" t="s">
        <v>505</v>
      </c>
      <c r="DP5" s="345" t="s">
        <v>506</v>
      </c>
      <c r="DQ5" s="346" t="s">
        <v>507</v>
      </c>
      <c r="DR5" s="344" t="s">
        <v>503</v>
      </c>
      <c r="DS5" s="345" t="s">
        <v>504</v>
      </c>
      <c r="DT5" s="345" t="s">
        <v>505</v>
      </c>
      <c r="DU5" s="345" t="s">
        <v>506</v>
      </c>
      <c r="DV5" s="346" t="s">
        <v>507</v>
      </c>
      <c r="DW5" s="344" t="s">
        <v>503</v>
      </c>
      <c r="DX5" s="345" t="s">
        <v>504</v>
      </c>
      <c r="DY5" s="345" t="s">
        <v>505</v>
      </c>
      <c r="DZ5" s="345" t="s">
        <v>506</v>
      </c>
      <c r="EA5" s="346" t="s">
        <v>507</v>
      </c>
      <c r="EB5" s="344" t="s">
        <v>503</v>
      </c>
      <c r="EC5" s="345" t="s">
        <v>504</v>
      </c>
      <c r="ED5" s="345" t="s">
        <v>505</v>
      </c>
      <c r="EE5" s="345" t="s">
        <v>506</v>
      </c>
      <c r="EF5" s="346" t="s">
        <v>507</v>
      </c>
      <c r="EG5" s="344" t="s">
        <v>503</v>
      </c>
      <c r="EH5" s="345" t="s">
        <v>504</v>
      </c>
      <c r="EI5" s="345" t="s">
        <v>505</v>
      </c>
      <c r="EJ5" s="345" t="s">
        <v>506</v>
      </c>
      <c r="EK5" s="346" t="s">
        <v>507</v>
      </c>
      <c r="EL5" s="344" t="s">
        <v>503</v>
      </c>
      <c r="EM5" s="345" t="s">
        <v>504</v>
      </c>
      <c r="EN5" s="345" t="s">
        <v>505</v>
      </c>
      <c r="EO5" s="345" t="s">
        <v>506</v>
      </c>
      <c r="EP5" s="346" t="s">
        <v>507</v>
      </c>
      <c r="EQ5" s="344" t="s">
        <v>503</v>
      </c>
      <c r="ER5" s="345" t="s">
        <v>504</v>
      </c>
      <c r="ES5" s="345" t="s">
        <v>505</v>
      </c>
      <c r="ET5" s="345" t="s">
        <v>506</v>
      </c>
      <c r="EU5" s="346" t="s">
        <v>507</v>
      </c>
      <c r="EV5" s="344" t="s">
        <v>503</v>
      </c>
      <c r="EW5" s="345" t="s">
        <v>504</v>
      </c>
      <c r="EX5" s="345" t="s">
        <v>505</v>
      </c>
      <c r="EY5" s="345" t="s">
        <v>506</v>
      </c>
      <c r="EZ5" s="346" t="s">
        <v>507</v>
      </c>
      <c r="FA5" s="344" t="s">
        <v>503</v>
      </c>
      <c r="FB5" s="345" t="s">
        <v>504</v>
      </c>
      <c r="FC5" s="345" t="s">
        <v>505</v>
      </c>
      <c r="FD5" s="345" t="s">
        <v>506</v>
      </c>
      <c r="FE5" s="346" t="s">
        <v>507</v>
      </c>
      <c r="FF5" s="344" t="s">
        <v>503</v>
      </c>
      <c r="FG5" s="345" t="s">
        <v>504</v>
      </c>
      <c r="FH5" s="345" t="s">
        <v>505</v>
      </c>
      <c r="FI5" s="345" t="s">
        <v>506</v>
      </c>
      <c r="FJ5" s="346" t="s">
        <v>507</v>
      </c>
      <c r="FK5" s="344" t="s">
        <v>503</v>
      </c>
      <c r="FL5" s="345" t="s">
        <v>504</v>
      </c>
      <c r="FM5" s="345" t="s">
        <v>505</v>
      </c>
      <c r="FN5" s="345" t="s">
        <v>506</v>
      </c>
      <c r="FO5" s="346" t="s">
        <v>507</v>
      </c>
      <c r="FP5" s="344" t="s">
        <v>503</v>
      </c>
      <c r="FQ5" s="345" t="s">
        <v>504</v>
      </c>
      <c r="FR5" s="345" t="s">
        <v>505</v>
      </c>
      <c r="FS5" s="345" t="s">
        <v>506</v>
      </c>
      <c r="FT5" s="346" t="s">
        <v>507</v>
      </c>
      <c r="FU5" s="344" t="s">
        <v>503</v>
      </c>
      <c r="FV5" s="345" t="s">
        <v>504</v>
      </c>
      <c r="FW5" s="345" t="s">
        <v>505</v>
      </c>
      <c r="FX5" s="345" t="s">
        <v>506</v>
      </c>
      <c r="FY5" s="346" t="s">
        <v>507</v>
      </c>
      <c r="FZ5" s="344" t="s">
        <v>503</v>
      </c>
      <c r="GA5" s="345" t="s">
        <v>504</v>
      </c>
      <c r="GB5" s="345" t="s">
        <v>505</v>
      </c>
      <c r="GC5" s="345" t="s">
        <v>506</v>
      </c>
      <c r="GD5" s="346" t="s">
        <v>507</v>
      </c>
      <c r="GE5" s="344" t="s">
        <v>503</v>
      </c>
      <c r="GF5" s="345" t="s">
        <v>504</v>
      </c>
      <c r="GG5" s="345" t="s">
        <v>505</v>
      </c>
      <c r="GH5" s="345" t="s">
        <v>506</v>
      </c>
      <c r="GI5" s="346" t="s">
        <v>507</v>
      </c>
      <c r="GJ5" s="344" t="s">
        <v>503</v>
      </c>
      <c r="GK5" s="345" t="s">
        <v>504</v>
      </c>
      <c r="GL5" s="345" t="s">
        <v>505</v>
      </c>
      <c r="GM5" s="345" t="s">
        <v>506</v>
      </c>
      <c r="GN5" s="346" t="s">
        <v>507</v>
      </c>
      <c r="GO5" s="344" t="s">
        <v>503</v>
      </c>
      <c r="GP5" s="345" t="s">
        <v>504</v>
      </c>
      <c r="GQ5" s="345" t="s">
        <v>505</v>
      </c>
      <c r="GR5" s="345" t="s">
        <v>506</v>
      </c>
      <c r="GS5" s="346" t="s">
        <v>507</v>
      </c>
      <c r="GT5" s="344" t="s">
        <v>503</v>
      </c>
      <c r="GU5" s="345" t="s">
        <v>504</v>
      </c>
      <c r="GV5" s="345" t="s">
        <v>505</v>
      </c>
      <c r="GW5" s="345" t="s">
        <v>506</v>
      </c>
      <c r="GX5" s="346" t="s">
        <v>507</v>
      </c>
      <c r="GY5" s="344" t="s">
        <v>503</v>
      </c>
      <c r="GZ5" s="345" t="s">
        <v>504</v>
      </c>
      <c r="HA5" s="345" t="s">
        <v>505</v>
      </c>
      <c r="HB5" s="345" t="s">
        <v>506</v>
      </c>
      <c r="HC5" s="346" t="s">
        <v>507</v>
      </c>
      <c r="HD5" s="344" t="s">
        <v>503</v>
      </c>
      <c r="HE5" s="345" t="s">
        <v>504</v>
      </c>
      <c r="HF5" s="345" t="s">
        <v>505</v>
      </c>
      <c r="HG5" s="345" t="s">
        <v>506</v>
      </c>
      <c r="HH5" s="346" t="s">
        <v>507</v>
      </c>
      <c r="HI5" s="344" t="s">
        <v>503</v>
      </c>
      <c r="HJ5" s="345" t="s">
        <v>504</v>
      </c>
      <c r="HK5" s="345" t="s">
        <v>505</v>
      </c>
      <c r="HL5" s="345" t="s">
        <v>506</v>
      </c>
      <c r="HM5" s="346" t="s">
        <v>507</v>
      </c>
      <c r="HN5" s="344" t="s">
        <v>503</v>
      </c>
      <c r="HO5" s="345" t="s">
        <v>504</v>
      </c>
      <c r="HP5" s="345" t="s">
        <v>505</v>
      </c>
      <c r="HQ5" s="345" t="s">
        <v>506</v>
      </c>
      <c r="HR5" s="346" t="s">
        <v>507</v>
      </c>
      <c r="HS5" s="344" t="s">
        <v>503</v>
      </c>
      <c r="HT5" s="345" t="s">
        <v>504</v>
      </c>
      <c r="HU5" s="345" t="s">
        <v>505</v>
      </c>
      <c r="HV5" s="345" t="s">
        <v>506</v>
      </c>
      <c r="HW5" s="346" t="s">
        <v>507</v>
      </c>
      <c r="HX5" s="344" t="s">
        <v>503</v>
      </c>
      <c r="HY5" s="345" t="s">
        <v>504</v>
      </c>
      <c r="HZ5" s="345" t="s">
        <v>505</v>
      </c>
      <c r="IA5" s="345" t="s">
        <v>506</v>
      </c>
      <c r="IB5" s="346" t="s">
        <v>507</v>
      </c>
      <c r="IC5" s="344" t="s">
        <v>503</v>
      </c>
      <c r="ID5" s="345" t="s">
        <v>504</v>
      </c>
      <c r="IE5" s="345" t="s">
        <v>505</v>
      </c>
      <c r="IF5" s="345" t="s">
        <v>506</v>
      </c>
      <c r="IG5" s="346" t="s">
        <v>507</v>
      </c>
      <c r="IH5" s="347" t="s">
        <v>508</v>
      </c>
    </row>
    <row r="6" customFormat="false" ht="15" hidden="false" customHeight="false" outlineLevel="0" collapsed="false">
      <c r="A6" s="348" t="s">
        <v>509</v>
      </c>
      <c r="B6" s="349" t="n">
        <v>5</v>
      </c>
      <c r="C6" s="350" t="n">
        <v>3</v>
      </c>
      <c r="D6" s="350" t="n">
        <v>5</v>
      </c>
      <c r="E6" s="350" t="n">
        <v>5</v>
      </c>
      <c r="F6" s="351" t="n">
        <v>5</v>
      </c>
      <c r="G6" s="349" t="n">
        <v>5</v>
      </c>
      <c r="H6" s="350" t="n">
        <v>5</v>
      </c>
      <c r="I6" s="350" t="n">
        <v>5</v>
      </c>
      <c r="J6" s="350" t="n">
        <v>5</v>
      </c>
      <c r="K6" s="351" t="n">
        <v>5</v>
      </c>
      <c r="L6" s="349" t="n">
        <v>5</v>
      </c>
      <c r="M6" s="350" t="n">
        <v>5</v>
      </c>
      <c r="N6" s="350" t="n">
        <v>5</v>
      </c>
      <c r="O6" s="350" t="n">
        <v>5</v>
      </c>
      <c r="P6" s="351" t="n">
        <v>5</v>
      </c>
      <c r="Q6" s="349" t="n">
        <v>5</v>
      </c>
      <c r="R6" s="350" t="n">
        <v>5</v>
      </c>
      <c r="S6" s="350" t="n">
        <v>5</v>
      </c>
      <c r="T6" s="350" t="n">
        <v>5</v>
      </c>
      <c r="U6" s="351" t="n">
        <v>5</v>
      </c>
      <c r="V6" s="349" t="n">
        <v>5</v>
      </c>
      <c r="W6" s="350" t="n">
        <v>5</v>
      </c>
      <c r="X6" s="350" t="n">
        <v>5</v>
      </c>
      <c r="Y6" s="350" t="n">
        <v>5</v>
      </c>
      <c r="Z6" s="351" t="n">
        <v>5</v>
      </c>
      <c r="AA6" s="349" t="n">
        <v>5</v>
      </c>
      <c r="AB6" s="350" t="n">
        <v>5</v>
      </c>
      <c r="AC6" s="350" t="n">
        <v>5</v>
      </c>
      <c r="AD6" s="350" t="n">
        <v>5</v>
      </c>
      <c r="AE6" s="351" t="n">
        <v>5</v>
      </c>
      <c r="AF6" s="349" t="n">
        <v>5</v>
      </c>
      <c r="AG6" s="350" t="n">
        <v>5</v>
      </c>
      <c r="AH6" s="350" t="n">
        <v>5</v>
      </c>
      <c r="AI6" s="350" t="n">
        <v>5</v>
      </c>
      <c r="AJ6" s="351" t="n">
        <v>5</v>
      </c>
      <c r="AK6" s="349" t="n">
        <v>5</v>
      </c>
      <c r="AL6" s="350" t="n">
        <v>5</v>
      </c>
      <c r="AM6" s="350" t="n">
        <v>5</v>
      </c>
      <c r="AN6" s="350" t="n">
        <v>5</v>
      </c>
      <c r="AO6" s="351" t="n">
        <v>5</v>
      </c>
      <c r="AP6" s="349" t="n">
        <v>3</v>
      </c>
      <c r="AQ6" s="350" t="n">
        <v>5</v>
      </c>
      <c r="AR6" s="350" t="n">
        <v>5</v>
      </c>
      <c r="AS6" s="350" t="n">
        <v>5</v>
      </c>
      <c r="AT6" s="351" t="n">
        <v>5</v>
      </c>
      <c r="AU6" s="349" t="n">
        <v>5</v>
      </c>
      <c r="AV6" s="350"/>
      <c r="AW6" s="350" t="n">
        <v>5</v>
      </c>
      <c r="AX6" s="350" t="n">
        <v>3</v>
      </c>
      <c r="AY6" s="351" t="n">
        <v>3</v>
      </c>
      <c r="AZ6" s="349" t="n">
        <v>5</v>
      </c>
      <c r="BA6" s="350"/>
      <c r="BB6" s="350" t="n">
        <v>5</v>
      </c>
      <c r="BC6" s="350" t="n">
        <v>5</v>
      </c>
      <c r="BD6" s="351" t="n">
        <v>5</v>
      </c>
      <c r="BE6" s="349" t="n">
        <v>5</v>
      </c>
      <c r="BF6" s="350" t="n">
        <v>5</v>
      </c>
      <c r="BG6" s="350" t="n">
        <v>5</v>
      </c>
      <c r="BH6" s="350" t="n">
        <v>5</v>
      </c>
      <c r="BI6" s="351" t="n">
        <v>5</v>
      </c>
      <c r="BJ6" s="349" t="n">
        <v>5</v>
      </c>
      <c r="BK6" s="350" t="n">
        <v>5</v>
      </c>
      <c r="BL6" s="350" t="n">
        <v>5</v>
      </c>
      <c r="BM6" s="350" t="n">
        <v>5</v>
      </c>
      <c r="BN6" s="350" t="n">
        <v>5</v>
      </c>
      <c r="BO6" s="349" t="n">
        <v>5</v>
      </c>
      <c r="BP6" s="350"/>
      <c r="BQ6" s="350" t="n">
        <v>5</v>
      </c>
      <c r="BR6" s="350" t="n">
        <v>5</v>
      </c>
      <c r="BS6" s="351" t="n">
        <v>5</v>
      </c>
      <c r="BT6" s="349" t="n">
        <v>5</v>
      </c>
      <c r="BU6" s="350" t="n">
        <v>5</v>
      </c>
      <c r="BV6" s="350" t="n">
        <v>5</v>
      </c>
      <c r="BW6" s="350" t="n">
        <v>5</v>
      </c>
      <c r="BX6" s="351" t="n">
        <v>3</v>
      </c>
      <c r="BY6" s="349" t="n">
        <v>5</v>
      </c>
      <c r="BZ6" s="349" t="n">
        <v>5</v>
      </c>
      <c r="CA6" s="350" t="n">
        <v>5</v>
      </c>
      <c r="CB6" s="350" t="n">
        <v>5</v>
      </c>
      <c r="CC6" s="351" t="n">
        <v>5</v>
      </c>
      <c r="CD6" s="349" t="n">
        <v>5</v>
      </c>
      <c r="CE6" s="350" t="n">
        <v>5</v>
      </c>
      <c r="CF6" s="350" t="n">
        <v>5</v>
      </c>
      <c r="CG6" s="350" t="n">
        <v>5</v>
      </c>
      <c r="CH6" s="351" t="n">
        <v>5</v>
      </c>
      <c r="CI6" s="349"/>
      <c r="CJ6" s="350"/>
      <c r="CK6" s="350"/>
      <c r="CL6" s="350"/>
      <c r="CM6" s="351"/>
      <c r="CN6" s="349" t="n">
        <v>5</v>
      </c>
      <c r="CO6" s="350"/>
      <c r="CP6" s="350" t="n">
        <v>5</v>
      </c>
      <c r="CQ6" s="350" t="n">
        <v>5</v>
      </c>
      <c r="CR6" s="351" t="n">
        <v>5</v>
      </c>
      <c r="CS6" s="349" t="n">
        <v>5</v>
      </c>
      <c r="CT6" s="350" t="n">
        <v>5</v>
      </c>
      <c r="CU6" s="350" t="n">
        <v>5</v>
      </c>
      <c r="CV6" s="350" t="n">
        <v>5</v>
      </c>
      <c r="CW6" s="351" t="n">
        <v>5</v>
      </c>
      <c r="CX6" s="349" t="n">
        <v>3</v>
      </c>
      <c r="CY6" s="350" t="n">
        <v>5</v>
      </c>
      <c r="CZ6" s="350" t="n">
        <v>5</v>
      </c>
      <c r="DA6" s="350" t="n">
        <v>3</v>
      </c>
      <c r="DB6" s="351" t="n">
        <v>3</v>
      </c>
      <c r="DC6" s="349" t="n">
        <v>5</v>
      </c>
      <c r="DD6" s="350" t="n">
        <v>5</v>
      </c>
      <c r="DE6" s="350" t="n">
        <v>5</v>
      </c>
      <c r="DF6" s="350" t="n">
        <v>5</v>
      </c>
      <c r="DG6" s="351" t="n">
        <v>5</v>
      </c>
      <c r="DH6" s="349" t="n">
        <v>3</v>
      </c>
      <c r="DI6" s="350" t="n">
        <v>5</v>
      </c>
      <c r="DJ6" s="350" t="n">
        <v>5</v>
      </c>
      <c r="DK6" s="350" t="n">
        <v>5</v>
      </c>
      <c r="DL6" s="351" t="n">
        <v>5</v>
      </c>
      <c r="DM6" s="349" t="n">
        <v>5</v>
      </c>
      <c r="DN6" s="350" t="n">
        <v>5</v>
      </c>
      <c r="DO6" s="350" t="n">
        <v>5</v>
      </c>
      <c r="DP6" s="350" t="n">
        <v>5</v>
      </c>
      <c r="DQ6" s="351" t="n">
        <v>5</v>
      </c>
      <c r="DR6" s="349" t="n">
        <v>5</v>
      </c>
      <c r="DS6" s="350"/>
      <c r="DT6" s="350" t="n">
        <v>5</v>
      </c>
      <c r="DU6" s="350" t="n">
        <v>3</v>
      </c>
      <c r="DV6" s="351" t="n">
        <v>3</v>
      </c>
      <c r="DW6" s="349"/>
      <c r="DX6" s="350"/>
      <c r="DY6" s="350"/>
      <c r="DZ6" s="350"/>
      <c r="EA6" s="351"/>
      <c r="EB6" s="349" t="n">
        <v>5</v>
      </c>
      <c r="EC6" s="350" t="n">
        <v>5</v>
      </c>
      <c r="ED6" s="350" t="n">
        <v>5</v>
      </c>
      <c r="EE6" s="350" t="n">
        <v>5</v>
      </c>
      <c r="EF6" s="351" t="n">
        <v>5</v>
      </c>
      <c r="EG6" s="349"/>
      <c r="EH6" s="350"/>
      <c r="EI6" s="350"/>
      <c r="EJ6" s="350"/>
      <c r="EK6" s="351"/>
      <c r="EL6" s="349"/>
      <c r="EM6" s="350" t="n">
        <v>5</v>
      </c>
      <c r="EN6" s="350" t="n">
        <v>5</v>
      </c>
      <c r="EO6" s="350" t="n">
        <v>5</v>
      </c>
      <c r="EP6" s="351" t="n">
        <v>5</v>
      </c>
      <c r="EQ6" s="350" t="n">
        <v>5</v>
      </c>
      <c r="ER6" s="352" t="n">
        <v>5</v>
      </c>
      <c r="ES6" s="350" t="n">
        <v>5</v>
      </c>
      <c r="ET6" s="350" t="n">
        <v>3</v>
      </c>
      <c r="EU6" s="351" t="n">
        <v>5</v>
      </c>
      <c r="EV6" s="349" t="n">
        <v>5</v>
      </c>
      <c r="EW6" s="350" t="n">
        <v>5</v>
      </c>
      <c r="EX6" s="350" t="n">
        <v>5</v>
      </c>
      <c r="EY6" s="350" t="n">
        <v>3</v>
      </c>
      <c r="EZ6" s="351" t="n">
        <v>1</v>
      </c>
      <c r="FA6" s="349" t="n">
        <v>5</v>
      </c>
      <c r="FB6" s="350" t="n">
        <v>5</v>
      </c>
      <c r="FC6" s="350" t="n">
        <v>5</v>
      </c>
      <c r="FD6" s="350" t="n">
        <v>5</v>
      </c>
      <c r="FE6" s="351" t="n">
        <v>5</v>
      </c>
      <c r="FF6" s="349" t="n">
        <v>5</v>
      </c>
      <c r="FG6" s="350" t="n">
        <v>5</v>
      </c>
      <c r="FH6" s="350" t="n">
        <v>5</v>
      </c>
      <c r="FI6" s="350" t="n">
        <v>5</v>
      </c>
      <c r="FJ6" s="351" t="n">
        <v>3</v>
      </c>
      <c r="FK6" s="349" t="n">
        <v>3</v>
      </c>
      <c r="FL6" s="350" t="n">
        <v>5</v>
      </c>
      <c r="FM6" s="350" t="n">
        <v>5</v>
      </c>
      <c r="FN6" s="350" t="n">
        <v>5</v>
      </c>
      <c r="FO6" s="351" t="n">
        <v>3</v>
      </c>
      <c r="FP6" s="349" t="n">
        <v>5</v>
      </c>
      <c r="FQ6" s="349" t="n">
        <v>5</v>
      </c>
      <c r="FR6" s="349" t="n">
        <v>5</v>
      </c>
      <c r="FS6" s="350" t="n">
        <v>3</v>
      </c>
      <c r="FT6" s="351" t="n">
        <v>5</v>
      </c>
      <c r="FU6" s="349" t="n">
        <v>5</v>
      </c>
      <c r="FV6" s="350" t="n">
        <v>5</v>
      </c>
      <c r="FW6" s="350" t="n">
        <v>3</v>
      </c>
      <c r="FX6" s="350" t="n">
        <v>3</v>
      </c>
      <c r="FY6" s="351" t="n">
        <v>5</v>
      </c>
      <c r="FZ6" s="349"/>
      <c r="GA6" s="350"/>
      <c r="GB6" s="350"/>
      <c r="GC6" s="350"/>
      <c r="GD6" s="351"/>
      <c r="GE6" s="349" t="n">
        <v>5</v>
      </c>
      <c r="GF6" s="350" t="n">
        <v>5</v>
      </c>
      <c r="GG6" s="350"/>
      <c r="GH6" s="350" t="n">
        <v>3</v>
      </c>
      <c r="GI6" s="351" t="n">
        <v>3</v>
      </c>
      <c r="GJ6" s="349" t="n">
        <v>3</v>
      </c>
      <c r="GK6" s="350" t="n">
        <v>3</v>
      </c>
      <c r="GL6" s="350" t="n">
        <v>3</v>
      </c>
      <c r="GM6" s="350" t="n">
        <v>3</v>
      </c>
      <c r="GN6" s="351" t="n">
        <v>3</v>
      </c>
      <c r="GO6" s="349"/>
      <c r="GP6" s="350"/>
      <c r="GQ6" s="350"/>
      <c r="GR6" s="350"/>
      <c r="GS6" s="351"/>
      <c r="GT6" s="349"/>
      <c r="GU6" s="350"/>
      <c r="GV6" s="350"/>
      <c r="GW6" s="350"/>
      <c r="GX6" s="351"/>
      <c r="GY6" s="349"/>
      <c r="GZ6" s="350"/>
      <c r="HA6" s="350"/>
      <c r="HB6" s="350"/>
      <c r="HC6" s="351"/>
      <c r="HD6" s="349" t="n">
        <v>3</v>
      </c>
      <c r="HE6" s="350" t="n">
        <v>5</v>
      </c>
      <c r="HF6" s="350" t="n">
        <v>5</v>
      </c>
      <c r="HG6" s="350" t="n">
        <v>3</v>
      </c>
      <c r="HH6" s="351" t="n">
        <v>3</v>
      </c>
      <c r="HI6" s="349" t="n">
        <v>5</v>
      </c>
      <c r="HJ6" s="350" t="n">
        <v>5</v>
      </c>
      <c r="HK6" s="350" t="n">
        <v>5</v>
      </c>
      <c r="HL6" s="350" t="n">
        <v>3</v>
      </c>
      <c r="HM6" s="351" t="n">
        <v>5</v>
      </c>
      <c r="HN6" s="349" t="n">
        <v>5</v>
      </c>
      <c r="HO6" s="350" t="n">
        <v>5</v>
      </c>
      <c r="HP6" s="350" t="n">
        <v>5</v>
      </c>
      <c r="HQ6" s="350" t="n">
        <v>5</v>
      </c>
      <c r="HR6" s="351" t="n">
        <v>3</v>
      </c>
      <c r="HS6" s="349" t="n">
        <v>5</v>
      </c>
      <c r="HT6" s="350" t="n">
        <v>5</v>
      </c>
      <c r="HU6" s="350" t="n">
        <v>5</v>
      </c>
      <c r="HV6" s="350" t="n">
        <v>5</v>
      </c>
      <c r="HW6" s="351" t="n">
        <v>3</v>
      </c>
      <c r="HX6" s="349" t="n">
        <v>5</v>
      </c>
      <c r="HY6" s="350" t="n">
        <v>5</v>
      </c>
      <c r="HZ6" s="350" t="n">
        <v>5</v>
      </c>
      <c r="IA6" s="350" t="n">
        <v>3</v>
      </c>
      <c r="IB6" s="351" t="n">
        <v>5</v>
      </c>
      <c r="IC6" s="349" t="n">
        <v>3</v>
      </c>
      <c r="ID6" s="350" t="n">
        <v>5</v>
      </c>
      <c r="IE6" s="350" t="n">
        <v>3</v>
      </c>
      <c r="IF6" s="350" t="n">
        <v>3</v>
      </c>
      <c r="IG6" s="351" t="n">
        <v>5</v>
      </c>
      <c r="IH6" s="353" t="n">
        <f aca="false">+AVERAGE(B6:IB6)</f>
        <v>4.63730569948187</v>
      </c>
      <c r="IJ6" s="354" t="s">
        <v>510</v>
      </c>
    </row>
    <row r="7" customFormat="false" ht="15" hidden="false" customHeight="false" outlineLevel="0" collapsed="false">
      <c r="A7" s="355" t="s">
        <v>511</v>
      </c>
      <c r="B7" s="349" t="n">
        <v>3</v>
      </c>
      <c r="C7" s="350" t="n">
        <v>3</v>
      </c>
      <c r="D7" s="350" t="n">
        <v>3</v>
      </c>
      <c r="E7" s="350" t="n">
        <v>5</v>
      </c>
      <c r="F7" s="351" t="n">
        <v>5</v>
      </c>
      <c r="G7" s="349" t="n">
        <v>3</v>
      </c>
      <c r="H7" s="350" t="n">
        <v>5</v>
      </c>
      <c r="I7" s="350" t="n">
        <v>3</v>
      </c>
      <c r="J7" s="350" t="n">
        <v>5</v>
      </c>
      <c r="K7" s="351" t="n">
        <v>1</v>
      </c>
      <c r="L7" s="349" t="n">
        <v>5</v>
      </c>
      <c r="M7" s="350" t="n">
        <v>5</v>
      </c>
      <c r="N7" s="350" t="n">
        <v>5</v>
      </c>
      <c r="O7" s="350" t="n">
        <v>5</v>
      </c>
      <c r="P7" s="351" t="n">
        <v>5</v>
      </c>
      <c r="Q7" s="349" t="n">
        <v>5</v>
      </c>
      <c r="R7" s="350" t="n">
        <v>5</v>
      </c>
      <c r="S7" s="350" t="n">
        <v>5</v>
      </c>
      <c r="T7" s="350" t="n">
        <v>5</v>
      </c>
      <c r="U7" s="351" t="n">
        <v>5</v>
      </c>
      <c r="V7" s="349" t="n">
        <v>5</v>
      </c>
      <c r="W7" s="350" t="n">
        <v>6</v>
      </c>
      <c r="X7" s="350" t="n">
        <v>3</v>
      </c>
      <c r="Y7" s="350" t="n">
        <v>5</v>
      </c>
      <c r="Z7" s="351" t="n">
        <v>5</v>
      </c>
      <c r="AA7" s="349" t="n">
        <v>5</v>
      </c>
      <c r="AB7" s="350" t="n">
        <v>5</v>
      </c>
      <c r="AC7" s="350" t="n">
        <v>5</v>
      </c>
      <c r="AD7" s="350" t="n">
        <v>5</v>
      </c>
      <c r="AE7" s="351" t="n">
        <v>5</v>
      </c>
      <c r="AF7" s="349" t="n">
        <v>5</v>
      </c>
      <c r="AG7" s="350" t="n">
        <v>5</v>
      </c>
      <c r="AH7" s="350" t="n">
        <v>5</v>
      </c>
      <c r="AI7" s="350" t="n">
        <v>5</v>
      </c>
      <c r="AJ7" s="351" t="n">
        <v>5</v>
      </c>
      <c r="AK7" s="349" t="n">
        <v>5</v>
      </c>
      <c r="AL7" s="350" t="n">
        <v>5</v>
      </c>
      <c r="AM7" s="350" t="n">
        <v>5</v>
      </c>
      <c r="AN7" s="350" t="n">
        <v>5</v>
      </c>
      <c r="AO7" s="351" t="n">
        <v>5</v>
      </c>
      <c r="AP7" s="349" t="n">
        <v>3</v>
      </c>
      <c r="AQ7" s="350" t="n">
        <v>5</v>
      </c>
      <c r="AR7" s="350" t="n">
        <v>5</v>
      </c>
      <c r="AS7" s="350" t="n">
        <v>5</v>
      </c>
      <c r="AT7" s="351" t="n">
        <v>5</v>
      </c>
      <c r="AU7" s="349" t="n">
        <v>3</v>
      </c>
      <c r="AV7" s="350"/>
      <c r="AW7" s="350" t="n">
        <v>5</v>
      </c>
      <c r="AX7" s="350" t="n">
        <v>3</v>
      </c>
      <c r="AY7" s="351" t="n">
        <v>3</v>
      </c>
      <c r="AZ7" s="349" t="n">
        <v>5</v>
      </c>
      <c r="BA7" s="350"/>
      <c r="BB7" s="350" t="n">
        <v>5</v>
      </c>
      <c r="BC7" s="350" t="n">
        <v>5</v>
      </c>
      <c r="BD7" s="351" t="n">
        <v>5</v>
      </c>
      <c r="BE7" s="349" t="n">
        <v>5</v>
      </c>
      <c r="BF7" s="350" t="n">
        <v>5</v>
      </c>
      <c r="BG7" s="350" t="n">
        <v>5</v>
      </c>
      <c r="BH7" s="350" t="n">
        <v>5</v>
      </c>
      <c r="BI7" s="351" t="n">
        <v>5</v>
      </c>
      <c r="BJ7" s="349" t="n">
        <v>5</v>
      </c>
      <c r="BK7" s="350" t="n">
        <v>5</v>
      </c>
      <c r="BL7" s="350" t="n">
        <v>5</v>
      </c>
      <c r="BM7" s="350" t="n">
        <v>5</v>
      </c>
      <c r="BN7" s="350" t="n">
        <v>5</v>
      </c>
      <c r="BO7" s="349" t="n">
        <v>5</v>
      </c>
      <c r="BP7" s="350"/>
      <c r="BQ7" s="350" t="n">
        <v>5</v>
      </c>
      <c r="BR7" s="350" t="n">
        <v>5</v>
      </c>
      <c r="BS7" s="351" t="n">
        <v>5</v>
      </c>
      <c r="BT7" s="349" t="n">
        <v>5</v>
      </c>
      <c r="BU7" s="350" t="n">
        <v>5</v>
      </c>
      <c r="BV7" s="350" t="n">
        <v>5</v>
      </c>
      <c r="BW7" s="350" t="n">
        <v>5</v>
      </c>
      <c r="BX7" s="351" t="n">
        <v>5</v>
      </c>
      <c r="BY7" s="349" t="n">
        <v>5</v>
      </c>
      <c r="BZ7" s="349" t="n">
        <v>5</v>
      </c>
      <c r="CA7" s="350" t="n">
        <v>5</v>
      </c>
      <c r="CB7" s="350" t="n">
        <v>5</v>
      </c>
      <c r="CC7" s="351" t="n">
        <v>5</v>
      </c>
      <c r="CD7" s="349" t="n">
        <v>5</v>
      </c>
      <c r="CE7" s="350" t="n">
        <v>5</v>
      </c>
      <c r="CF7" s="350" t="n">
        <v>5</v>
      </c>
      <c r="CG7" s="350" t="n">
        <v>5</v>
      </c>
      <c r="CH7" s="351" t="n">
        <v>5</v>
      </c>
      <c r="CI7" s="349"/>
      <c r="CJ7" s="350"/>
      <c r="CK7" s="350"/>
      <c r="CL7" s="350"/>
      <c r="CM7" s="351"/>
      <c r="CN7" s="349" t="n">
        <v>5</v>
      </c>
      <c r="CO7" s="350"/>
      <c r="CP7" s="350" t="n">
        <v>5</v>
      </c>
      <c r="CQ7" s="350" t="n">
        <v>5</v>
      </c>
      <c r="CR7" s="351" t="n">
        <v>5</v>
      </c>
      <c r="CS7" s="349" t="n">
        <v>5</v>
      </c>
      <c r="CT7" s="350" t="n">
        <v>5</v>
      </c>
      <c r="CU7" s="350" t="n">
        <v>5</v>
      </c>
      <c r="CV7" s="350" t="n">
        <v>5</v>
      </c>
      <c r="CW7" s="351" t="n">
        <v>5</v>
      </c>
      <c r="CX7" s="349" t="n">
        <v>3</v>
      </c>
      <c r="CY7" s="350" t="n">
        <v>5</v>
      </c>
      <c r="CZ7" s="350" t="n">
        <v>5</v>
      </c>
      <c r="DA7" s="350" t="n">
        <v>5</v>
      </c>
      <c r="DB7" s="351" t="n">
        <v>5</v>
      </c>
      <c r="DC7" s="349" t="n">
        <v>5</v>
      </c>
      <c r="DD7" s="350" t="n">
        <v>5</v>
      </c>
      <c r="DE7" s="350" t="n">
        <v>5</v>
      </c>
      <c r="DF7" s="350" t="n">
        <v>3</v>
      </c>
      <c r="DG7" s="351" t="n">
        <v>5</v>
      </c>
      <c r="DH7" s="349" t="n">
        <v>5</v>
      </c>
      <c r="DI7" s="350" t="n">
        <v>5</v>
      </c>
      <c r="DJ7" s="350" t="n">
        <v>5</v>
      </c>
      <c r="DK7" s="350" t="n">
        <v>5</v>
      </c>
      <c r="DL7" s="351" t="n">
        <v>5</v>
      </c>
      <c r="DM7" s="349" t="n">
        <v>5</v>
      </c>
      <c r="DN7" s="350" t="n">
        <v>5</v>
      </c>
      <c r="DO7" s="350" t="n">
        <v>5</v>
      </c>
      <c r="DP7" s="350" t="n">
        <v>5</v>
      </c>
      <c r="DQ7" s="351" t="n">
        <v>5</v>
      </c>
      <c r="DR7" s="349" t="n">
        <v>5</v>
      </c>
      <c r="DS7" s="350"/>
      <c r="DT7" s="350" t="n">
        <v>5</v>
      </c>
      <c r="DU7" s="350" t="n">
        <v>5</v>
      </c>
      <c r="DV7" s="351" t="n">
        <v>5</v>
      </c>
      <c r="DW7" s="349"/>
      <c r="DX7" s="350"/>
      <c r="DY7" s="350"/>
      <c r="DZ7" s="350"/>
      <c r="EA7" s="351"/>
      <c r="EB7" s="349" t="n">
        <v>3</v>
      </c>
      <c r="EC7" s="350" t="n">
        <v>5</v>
      </c>
      <c r="ED7" s="350" t="n">
        <v>5</v>
      </c>
      <c r="EE7" s="350" t="n">
        <v>5</v>
      </c>
      <c r="EF7" s="351" t="n">
        <v>5</v>
      </c>
      <c r="EG7" s="349"/>
      <c r="EH7" s="350"/>
      <c r="EI7" s="350"/>
      <c r="EJ7" s="350"/>
      <c r="EK7" s="351"/>
      <c r="EL7" s="349"/>
      <c r="EM7" s="350" t="n">
        <v>5</v>
      </c>
      <c r="EN7" s="350" t="n">
        <v>5</v>
      </c>
      <c r="EO7" s="350" t="n">
        <v>5</v>
      </c>
      <c r="EP7" s="351" t="n">
        <v>5</v>
      </c>
      <c r="EQ7" s="349" t="n">
        <v>5</v>
      </c>
      <c r="ER7" s="350" t="n">
        <v>5</v>
      </c>
      <c r="ES7" s="350" t="n">
        <v>5</v>
      </c>
      <c r="ET7" s="350" t="n">
        <v>5</v>
      </c>
      <c r="EU7" s="351" t="n">
        <v>5</v>
      </c>
      <c r="EV7" s="349" t="n">
        <v>5</v>
      </c>
      <c r="EW7" s="350" t="n">
        <v>5</v>
      </c>
      <c r="EX7" s="350" t="n">
        <v>5</v>
      </c>
      <c r="EY7" s="350" t="n">
        <v>5</v>
      </c>
      <c r="EZ7" s="351" t="n">
        <v>5</v>
      </c>
      <c r="FA7" s="349" t="n">
        <v>5</v>
      </c>
      <c r="FB7" s="350" t="n">
        <v>5</v>
      </c>
      <c r="FC7" s="350" t="n">
        <v>5</v>
      </c>
      <c r="FD7" s="350" t="n">
        <v>5</v>
      </c>
      <c r="FE7" s="351" t="n">
        <v>5</v>
      </c>
      <c r="FF7" s="349" t="n">
        <v>5</v>
      </c>
      <c r="FG7" s="350" t="n">
        <v>5</v>
      </c>
      <c r="FH7" s="350" t="n">
        <v>5</v>
      </c>
      <c r="FI7" s="350" t="n">
        <v>5</v>
      </c>
      <c r="FJ7" s="351" t="n">
        <v>5</v>
      </c>
      <c r="FK7" s="349" t="n">
        <v>3</v>
      </c>
      <c r="FL7" s="350" t="n">
        <v>5</v>
      </c>
      <c r="FM7" s="350" t="n">
        <v>5</v>
      </c>
      <c r="FN7" s="350" t="n">
        <v>5</v>
      </c>
      <c r="FO7" s="351" t="n">
        <v>5</v>
      </c>
      <c r="FP7" s="349" t="n">
        <v>5</v>
      </c>
      <c r="FQ7" s="349" t="n">
        <v>5</v>
      </c>
      <c r="FR7" s="349" t="n">
        <v>5</v>
      </c>
      <c r="FS7" s="350" t="n">
        <v>3</v>
      </c>
      <c r="FT7" s="351" t="n">
        <v>5</v>
      </c>
      <c r="FU7" s="349" t="n">
        <v>5</v>
      </c>
      <c r="FV7" s="350" t="n">
        <v>5</v>
      </c>
      <c r="FW7" s="350" t="n">
        <v>5</v>
      </c>
      <c r="FX7" s="350" t="n">
        <v>5</v>
      </c>
      <c r="FY7" s="351" t="n">
        <v>5</v>
      </c>
      <c r="FZ7" s="349"/>
      <c r="GA7" s="350"/>
      <c r="GB7" s="350"/>
      <c r="GC7" s="350"/>
      <c r="GD7" s="351"/>
      <c r="GE7" s="349" t="n">
        <v>5</v>
      </c>
      <c r="GF7" s="350" t="n">
        <v>5</v>
      </c>
      <c r="GG7" s="350"/>
      <c r="GH7" s="350" t="n">
        <v>5</v>
      </c>
      <c r="GI7" s="351" t="n">
        <v>5</v>
      </c>
      <c r="GJ7" s="349" t="n">
        <v>5</v>
      </c>
      <c r="GK7" s="350" t="n">
        <v>5</v>
      </c>
      <c r="GL7" s="350" t="n">
        <v>5</v>
      </c>
      <c r="GM7" s="350" t="n">
        <v>5</v>
      </c>
      <c r="GN7" s="351" t="n">
        <v>5</v>
      </c>
      <c r="GO7" s="349"/>
      <c r="GP7" s="350"/>
      <c r="GQ7" s="350"/>
      <c r="GR7" s="350"/>
      <c r="GS7" s="351"/>
      <c r="GT7" s="349"/>
      <c r="GU7" s="350"/>
      <c r="GV7" s="350"/>
      <c r="GW7" s="350"/>
      <c r="GX7" s="351"/>
      <c r="GY7" s="349"/>
      <c r="GZ7" s="350"/>
      <c r="HA7" s="350"/>
      <c r="HB7" s="350"/>
      <c r="HC7" s="351"/>
      <c r="HD7" s="349" t="n">
        <v>5</v>
      </c>
      <c r="HE7" s="350" t="n">
        <v>5</v>
      </c>
      <c r="HF7" s="350" t="n">
        <v>5</v>
      </c>
      <c r="HG7" s="350" t="n">
        <v>5</v>
      </c>
      <c r="HH7" s="351" t="n">
        <v>5</v>
      </c>
      <c r="HI7" s="349" t="n">
        <v>5</v>
      </c>
      <c r="HJ7" s="350" t="n">
        <v>5</v>
      </c>
      <c r="HK7" s="350" t="n">
        <v>5</v>
      </c>
      <c r="HL7" s="350" t="n">
        <v>5</v>
      </c>
      <c r="HM7" s="351" t="n">
        <v>5</v>
      </c>
      <c r="HN7" s="349" t="n">
        <v>5</v>
      </c>
      <c r="HO7" s="350" t="n">
        <v>5</v>
      </c>
      <c r="HP7" s="350" t="n">
        <v>5</v>
      </c>
      <c r="HQ7" s="350" t="n">
        <v>3</v>
      </c>
      <c r="HR7" s="351" t="n">
        <v>5</v>
      </c>
      <c r="HS7" s="349" t="n">
        <v>5</v>
      </c>
      <c r="HT7" s="350" t="n">
        <v>5</v>
      </c>
      <c r="HU7" s="350" t="n">
        <v>5</v>
      </c>
      <c r="HV7" s="350" t="n">
        <v>3</v>
      </c>
      <c r="HW7" s="351" t="n">
        <v>5</v>
      </c>
      <c r="HX7" s="349" t="n">
        <v>5</v>
      </c>
      <c r="HY7" s="350" t="n">
        <v>5</v>
      </c>
      <c r="HZ7" s="350" t="n">
        <v>5</v>
      </c>
      <c r="IA7" s="350" t="n">
        <v>1</v>
      </c>
      <c r="IB7" s="351" t="n">
        <v>3</v>
      </c>
      <c r="IC7" s="349" t="n">
        <v>5</v>
      </c>
      <c r="ID7" s="350" t="n">
        <v>5</v>
      </c>
      <c r="IE7" s="350" t="n">
        <v>5</v>
      </c>
      <c r="IF7" s="350" t="n">
        <v>5</v>
      </c>
      <c r="IG7" s="351" t="n">
        <v>5</v>
      </c>
      <c r="IH7" s="353" t="n">
        <f aca="false">+AVERAGE(B7:IB7)</f>
        <v>4.77720207253886</v>
      </c>
    </row>
    <row r="8" customFormat="false" ht="15" hidden="false" customHeight="false" outlineLevel="0" collapsed="false">
      <c r="A8" s="348" t="s">
        <v>159</v>
      </c>
      <c r="B8" s="349"/>
      <c r="C8" s="350"/>
      <c r="D8" s="350"/>
      <c r="E8" s="350"/>
      <c r="F8" s="351"/>
      <c r="G8" s="349"/>
      <c r="H8" s="350"/>
      <c r="I8" s="350"/>
      <c r="J8" s="350"/>
      <c r="K8" s="351"/>
      <c r="L8" s="349"/>
      <c r="M8" s="350"/>
      <c r="N8" s="350"/>
      <c r="O8" s="350"/>
      <c r="P8" s="351"/>
      <c r="Q8" s="349"/>
      <c r="R8" s="350"/>
      <c r="S8" s="350"/>
      <c r="T8" s="350"/>
      <c r="U8" s="351"/>
      <c r="V8" s="349"/>
      <c r="W8" s="350"/>
      <c r="X8" s="350"/>
      <c r="Y8" s="350"/>
      <c r="Z8" s="351"/>
      <c r="AA8" s="349"/>
      <c r="AB8" s="350"/>
      <c r="AC8" s="350"/>
      <c r="AD8" s="350"/>
      <c r="AE8" s="351"/>
      <c r="AF8" s="349"/>
      <c r="AG8" s="350"/>
      <c r="AH8" s="350"/>
      <c r="AI8" s="350"/>
      <c r="AJ8" s="351"/>
      <c r="AK8" s="349"/>
      <c r="AL8" s="350"/>
      <c r="AM8" s="350"/>
      <c r="AN8" s="350"/>
      <c r="AO8" s="351"/>
      <c r="AP8" s="349"/>
      <c r="AQ8" s="350"/>
      <c r="AR8" s="350"/>
      <c r="AS8" s="350"/>
      <c r="AT8" s="351"/>
      <c r="AU8" s="349"/>
      <c r="AV8" s="350"/>
      <c r="AW8" s="350"/>
      <c r="AX8" s="350"/>
      <c r="AY8" s="351"/>
      <c r="AZ8" s="349"/>
      <c r="BA8" s="350"/>
      <c r="BB8" s="350"/>
      <c r="BC8" s="350"/>
      <c r="BD8" s="351"/>
      <c r="BE8" s="349"/>
      <c r="BF8" s="350"/>
      <c r="BG8" s="350"/>
      <c r="BH8" s="350"/>
      <c r="BI8" s="351"/>
      <c r="BJ8" s="349" t="n">
        <v>3</v>
      </c>
      <c r="BK8" s="350" t="n">
        <v>5</v>
      </c>
      <c r="BL8" s="350"/>
      <c r="BM8" s="350" t="n">
        <v>5</v>
      </c>
      <c r="BN8" s="350" t="n">
        <v>5</v>
      </c>
      <c r="BO8" s="349" t="n">
        <v>5</v>
      </c>
      <c r="BP8" s="350"/>
      <c r="BQ8" s="350" t="n">
        <v>5</v>
      </c>
      <c r="BR8" s="350" t="n">
        <v>1</v>
      </c>
      <c r="BS8" s="351" t="n">
        <v>3</v>
      </c>
      <c r="BT8" s="349" t="n">
        <v>3</v>
      </c>
      <c r="BU8" s="350" t="n">
        <v>5</v>
      </c>
      <c r="BV8" s="350" t="n">
        <v>5</v>
      </c>
      <c r="BW8" s="350" t="n">
        <v>1</v>
      </c>
      <c r="BX8" s="351" t="n">
        <v>5</v>
      </c>
      <c r="BY8" s="349" t="n">
        <v>5</v>
      </c>
      <c r="BZ8" s="349" t="n">
        <v>5</v>
      </c>
      <c r="CA8" s="350" t="n">
        <v>5</v>
      </c>
      <c r="CB8" s="350" t="n">
        <v>1</v>
      </c>
      <c r="CC8" s="351" t="n">
        <v>5</v>
      </c>
      <c r="CD8" s="349" t="n">
        <v>5</v>
      </c>
      <c r="CE8" s="350" t="n">
        <v>5</v>
      </c>
      <c r="CF8" s="350" t="n">
        <v>3</v>
      </c>
      <c r="CG8" s="350" t="n">
        <v>3</v>
      </c>
      <c r="CH8" s="351" t="n">
        <v>5</v>
      </c>
      <c r="CI8" s="349"/>
      <c r="CJ8" s="350"/>
      <c r="CK8" s="350"/>
      <c r="CL8" s="350"/>
      <c r="CM8" s="351"/>
      <c r="CN8" s="349" t="n">
        <v>3</v>
      </c>
      <c r="CO8" s="350"/>
      <c r="CP8" s="350" t="n">
        <v>5</v>
      </c>
      <c r="CQ8" s="350" t="n">
        <v>3</v>
      </c>
      <c r="CR8" s="351" t="n">
        <v>3</v>
      </c>
      <c r="CS8" s="349" t="n">
        <v>5</v>
      </c>
      <c r="CT8" s="350" t="n">
        <v>5</v>
      </c>
      <c r="CU8" s="350" t="n">
        <v>5</v>
      </c>
      <c r="CV8" s="350" t="n">
        <v>3</v>
      </c>
      <c r="CW8" s="351" t="n">
        <v>3</v>
      </c>
      <c r="CX8" s="349" t="n">
        <v>3</v>
      </c>
      <c r="CY8" s="350" t="n">
        <v>5</v>
      </c>
      <c r="CZ8" s="350" t="n">
        <v>5</v>
      </c>
      <c r="DA8" s="350" t="n">
        <v>1</v>
      </c>
      <c r="DB8" s="351" t="n">
        <v>3</v>
      </c>
      <c r="DC8" s="349" t="n">
        <v>3</v>
      </c>
      <c r="DD8" s="350" t="n">
        <v>5</v>
      </c>
      <c r="DE8" s="350" t="n">
        <v>5</v>
      </c>
      <c r="DF8" s="350" t="n">
        <v>3</v>
      </c>
      <c r="DG8" s="351" t="n">
        <v>3</v>
      </c>
      <c r="DH8" s="349" t="n">
        <v>5</v>
      </c>
      <c r="DI8" s="350" t="n">
        <v>5</v>
      </c>
      <c r="DJ8" s="350" t="n">
        <v>5</v>
      </c>
      <c r="DK8" s="350" t="n">
        <v>3</v>
      </c>
      <c r="DL8" s="351" t="n">
        <v>5</v>
      </c>
      <c r="DM8" s="349" t="n">
        <v>3</v>
      </c>
      <c r="DN8" s="350" t="n">
        <v>5</v>
      </c>
      <c r="DO8" s="350" t="n">
        <v>5</v>
      </c>
      <c r="DP8" s="350" t="n">
        <v>1</v>
      </c>
      <c r="DQ8" s="351" t="n">
        <v>3</v>
      </c>
      <c r="DR8" s="349" t="n">
        <v>5</v>
      </c>
      <c r="DS8" s="350"/>
      <c r="DT8" s="350" t="n">
        <v>5</v>
      </c>
      <c r="DU8" s="350" t="n">
        <v>5</v>
      </c>
      <c r="DV8" s="351" t="n">
        <v>5</v>
      </c>
      <c r="DW8" s="349"/>
      <c r="DX8" s="350"/>
      <c r="DY8" s="350"/>
      <c r="DZ8" s="350"/>
      <c r="EA8" s="351"/>
      <c r="EB8" s="349" t="n">
        <v>5</v>
      </c>
      <c r="EC8" s="350" t="n">
        <v>5</v>
      </c>
      <c r="ED8" s="350" t="n">
        <v>5</v>
      </c>
      <c r="EE8" s="350" t="n">
        <v>3</v>
      </c>
      <c r="EF8" s="351" t="n">
        <v>5</v>
      </c>
      <c r="EG8" s="349"/>
      <c r="EH8" s="350"/>
      <c r="EI8" s="350"/>
      <c r="EJ8" s="350"/>
      <c r="EK8" s="351"/>
      <c r="EL8" s="349"/>
      <c r="EM8" s="350" t="n">
        <v>5</v>
      </c>
      <c r="EN8" s="350" t="n">
        <v>5</v>
      </c>
      <c r="EO8" s="350" t="n">
        <v>5</v>
      </c>
      <c r="EP8" s="351" t="n">
        <v>5</v>
      </c>
      <c r="EQ8" s="349" t="n">
        <v>5</v>
      </c>
      <c r="ER8" s="350" t="n">
        <v>5</v>
      </c>
      <c r="ES8" s="350" t="n">
        <v>5</v>
      </c>
      <c r="ET8" s="350" t="n">
        <v>5</v>
      </c>
      <c r="EU8" s="351" t="n">
        <v>5</v>
      </c>
      <c r="EV8" s="349" t="n">
        <v>5</v>
      </c>
      <c r="EW8" s="350" t="n">
        <v>5</v>
      </c>
      <c r="EX8" s="350" t="n">
        <v>5</v>
      </c>
      <c r="EY8" s="350" t="n">
        <v>5</v>
      </c>
      <c r="EZ8" s="351" t="n">
        <v>5</v>
      </c>
      <c r="FA8" s="349" t="n">
        <v>5</v>
      </c>
      <c r="FB8" s="350" t="n">
        <v>5</v>
      </c>
      <c r="FC8" s="350" t="n">
        <v>5</v>
      </c>
      <c r="FD8" s="350" t="n">
        <v>3</v>
      </c>
      <c r="FE8" s="351" t="n">
        <v>5</v>
      </c>
      <c r="FF8" s="349" t="n">
        <v>5</v>
      </c>
      <c r="FG8" s="350" t="n">
        <v>5</v>
      </c>
      <c r="FH8" s="350" t="n">
        <v>5</v>
      </c>
      <c r="FI8" s="350" t="n">
        <v>5</v>
      </c>
      <c r="FJ8" s="351" t="n">
        <v>3</v>
      </c>
      <c r="FK8" s="349" t="n">
        <v>5</v>
      </c>
      <c r="FL8" s="350" t="n">
        <v>5</v>
      </c>
      <c r="FM8" s="350" t="n">
        <v>5</v>
      </c>
      <c r="FN8" s="350" t="n">
        <v>5</v>
      </c>
      <c r="FO8" s="351" t="n">
        <v>3</v>
      </c>
      <c r="FP8" s="349" t="n">
        <v>5</v>
      </c>
      <c r="FQ8" s="350" t="n">
        <v>5</v>
      </c>
      <c r="FR8" s="350" t="n">
        <v>3</v>
      </c>
      <c r="FS8" s="350" t="n">
        <v>3</v>
      </c>
      <c r="FT8" s="351" t="n">
        <v>5</v>
      </c>
      <c r="FU8" s="349" t="n">
        <v>1</v>
      </c>
      <c r="FV8" s="350" t="n">
        <v>5</v>
      </c>
      <c r="FW8" s="350" t="n">
        <v>5</v>
      </c>
      <c r="FX8" s="350" t="n">
        <v>3</v>
      </c>
      <c r="FY8" s="351" t="n">
        <v>3</v>
      </c>
      <c r="FZ8" s="349"/>
      <c r="GA8" s="350"/>
      <c r="GB8" s="350"/>
      <c r="GC8" s="350"/>
      <c r="GD8" s="351"/>
      <c r="GE8" s="349" t="n">
        <v>3</v>
      </c>
      <c r="GF8" s="350" t="n">
        <v>3</v>
      </c>
      <c r="GG8" s="350"/>
      <c r="GH8" s="350" t="n">
        <v>5</v>
      </c>
      <c r="GI8" s="351" t="n">
        <v>5</v>
      </c>
      <c r="GJ8" s="349" t="n">
        <v>3</v>
      </c>
      <c r="GK8" s="350" t="n">
        <v>5</v>
      </c>
      <c r="GL8" s="350" t="n">
        <v>3</v>
      </c>
      <c r="GM8" s="350" t="n">
        <v>1</v>
      </c>
      <c r="GN8" s="351" t="n">
        <v>1</v>
      </c>
      <c r="GO8" s="349"/>
      <c r="GP8" s="350"/>
      <c r="GQ8" s="350"/>
      <c r="GR8" s="350"/>
      <c r="GS8" s="351"/>
      <c r="GT8" s="349"/>
      <c r="GU8" s="350"/>
      <c r="GV8" s="350"/>
      <c r="GW8" s="350"/>
      <c r="GX8" s="351"/>
      <c r="GY8" s="349"/>
      <c r="GZ8" s="350"/>
      <c r="HA8" s="350"/>
      <c r="HB8" s="350"/>
      <c r="HC8" s="351"/>
      <c r="HD8" s="349" t="n">
        <v>3</v>
      </c>
      <c r="HE8" s="350" t="n">
        <v>5</v>
      </c>
      <c r="HF8" s="350" t="n">
        <v>3</v>
      </c>
      <c r="HG8" s="350" t="n">
        <v>3</v>
      </c>
      <c r="HH8" s="351" t="n">
        <v>3</v>
      </c>
      <c r="HI8" s="349" t="n">
        <v>5</v>
      </c>
      <c r="HJ8" s="350" t="n">
        <v>5</v>
      </c>
      <c r="HK8" s="350" t="n">
        <v>5</v>
      </c>
      <c r="HL8" s="350" t="n">
        <v>3</v>
      </c>
      <c r="HM8" s="351" t="n">
        <v>5</v>
      </c>
      <c r="HN8" s="349" t="n">
        <v>5</v>
      </c>
      <c r="HO8" s="350" t="n">
        <v>5</v>
      </c>
      <c r="HP8" s="350" t="n">
        <v>5</v>
      </c>
      <c r="HQ8" s="350" t="n">
        <v>3</v>
      </c>
      <c r="HR8" s="351" t="n">
        <v>3</v>
      </c>
      <c r="HS8" s="349" t="n">
        <v>5</v>
      </c>
      <c r="HT8" s="350" t="n">
        <v>5</v>
      </c>
      <c r="HU8" s="350" t="n">
        <v>5</v>
      </c>
      <c r="HV8" s="350" t="n">
        <v>3</v>
      </c>
      <c r="HW8" s="351" t="n">
        <v>5</v>
      </c>
      <c r="HX8" s="349" t="n">
        <v>5</v>
      </c>
      <c r="HY8" s="350" t="n">
        <v>5</v>
      </c>
      <c r="HZ8" s="350" t="n">
        <v>5</v>
      </c>
      <c r="IA8" s="350" t="n">
        <v>3</v>
      </c>
      <c r="IB8" s="351" t="n">
        <v>5</v>
      </c>
      <c r="IC8" s="349" t="n">
        <v>3</v>
      </c>
      <c r="ID8" s="350" t="n">
        <v>5</v>
      </c>
      <c r="IE8" s="350" t="n">
        <v>3</v>
      </c>
      <c r="IF8" s="350" t="n">
        <v>3</v>
      </c>
      <c r="IG8" s="351" t="n">
        <v>3</v>
      </c>
      <c r="IH8" s="353" t="n">
        <f aca="false">+AVERAGE(B8:IB8)</f>
        <v>4.17910447761194</v>
      </c>
    </row>
    <row r="9" customFormat="false" ht="15" hidden="false" customHeight="false" outlineLevel="0" collapsed="false">
      <c r="A9" s="348" t="s">
        <v>512</v>
      </c>
      <c r="B9" s="349"/>
      <c r="C9" s="350"/>
      <c r="D9" s="350"/>
      <c r="E9" s="350"/>
      <c r="F9" s="351"/>
      <c r="G9" s="349"/>
      <c r="H9" s="350"/>
      <c r="I9" s="350"/>
      <c r="J9" s="350"/>
      <c r="K9" s="351"/>
      <c r="L9" s="349"/>
      <c r="M9" s="350"/>
      <c r="N9" s="350"/>
      <c r="O9" s="350"/>
      <c r="P9" s="351"/>
      <c r="Q9" s="349"/>
      <c r="R9" s="350"/>
      <c r="S9" s="350"/>
      <c r="T9" s="350"/>
      <c r="U9" s="351"/>
      <c r="V9" s="349"/>
      <c r="W9" s="350"/>
      <c r="X9" s="350"/>
      <c r="Y9" s="350"/>
      <c r="Z9" s="351"/>
      <c r="AA9" s="349"/>
      <c r="AB9" s="350"/>
      <c r="AC9" s="350"/>
      <c r="AD9" s="350"/>
      <c r="AE9" s="351"/>
      <c r="AF9" s="349"/>
      <c r="AG9" s="350"/>
      <c r="AH9" s="350"/>
      <c r="AI9" s="350"/>
      <c r="AJ9" s="351"/>
      <c r="AK9" s="349"/>
      <c r="AL9" s="350"/>
      <c r="AM9" s="350"/>
      <c r="AN9" s="350"/>
      <c r="AO9" s="351"/>
      <c r="AP9" s="349"/>
      <c r="AQ9" s="350"/>
      <c r="AR9" s="350"/>
      <c r="AS9" s="350"/>
      <c r="AT9" s="351"/>
      <c r="AU9" s="349"/>
      <c r="AV9" s="350"/>
      <c r="AW9" s="350"/>
      <c r="AX9" s="350"/>
      <c r="AY9" s="351"/>
      <c r="AZ9" s="349"/>
      <c r="BA9" s="350"/>
      <c r="BB9" s="350"/>
      <c r="BC9" s="350"/>
      <c r="BD9" s="351"/>
      <c r="BE9" s="349"/>
      <c r="BF9" s="350"/>
      <c r="BG9" s="350"/>
      <c r="BH9" s="350"/>
      <c r="BI9" s="351"/>
      <c r="BJ9" s="349"/>
      <c r="BK9" s="350"/>
      <c r="BL9" s="350"/>
      <c r="BM9" s="350"/>
      <c r="BN9" s="350"/>
      <c r="BO9" s="349"/>
      <c r="BP9" s="350"/>
      <c r="BQ9" s="350"/>
      <c r="BR9" s="350"/>
      <c r="BS9" s="351"/>
      <c r="BT9" s="349"/>
      <c r="BU9" s="350"/>
      <c r="BV9" s="350"/>
      <c r="BW9" s="350"/>
      <c r="BX9" s="351"/>
      <c r="BY9" s="349"/>
      <c r="BZ9" s="350"/>
      <c r="CA9" s="350" t="n">
        <v>5</v>
      </c>
      <c r="CB9" s="350" t="n">
        <v>3</v>
      </c>
      <c r="CC9" s="351" t="n">
        <v>3</v>
      </c>
      <c r="CD9" s="349" t="n">
        <v>5</v>
      </c>
      <c r="CE9" s="350" t="n">
        <v>5</v>
      </c>
      <c r="CF9" s="350" t="n">
        <v>5</v>
      </c>
      <c r="CG9" s="350" t="n">
        <v>5</v>
      </c>
      <c r="CH9" s="351" t="n">
        <v>5</v>
      </c>
      <c r="CI9" s="349"/>
      <c r="CJ9" s="350"/>
      <c r="CK9" s="350"/>
      <c r="CL9" s="350"/>
      <c r="CM9" s="351"/>
      <c r="CN9" s="349" t="n">
        <v>3</v>
      </c>
      <c r="CO9" s="350"/>
      <c r="CP9" s="350" t="n">
        <v>5</v>
      </c>
      <c r="CQ9" s="350" t="n">
        <v>5</v>
      </c>
      <c r="CR9" s="351" t="n">
        <v>5</v>
      </c>
      <c r="CS9" s="349" t="n">
        <v>1</v>
      </c>
      <c r="CT9" s="350"/>
      <c r="CU9" s="350"/>
      <c r="CV9" s="350"/>
      <c r="CW9" s="351"/>
      <c r="CX9" s="349" t="n">
        <v>3</v>
      </c>
      <c r="CY9" s="350" t="n">
        <v>5</v>
      </c>
      <c r="CZ9" s="350" t="n">
        <v>3</v>
      </c>
      <c r="DA9" s="350" t="n">
        <v>3</v>
      </c>
      <c r="DB9" s="351" t="n">
        <v>3</v>
      </c>
      <c r="DC9" s="349" t="n">
        <v>3</v>
      </c>
      <c r="DD9" s="350" t="n">
        <v>5</v>
      </c>
      <c r="DE9" s="350" t="n">
        <v>3</v>
      </c>
      <c r="DF9" s="350" t="n">
        <v>1</v>
      </c>
      <c r="DG9" s="351" t="n">
        <v>3</v>
      </c>
      <c r="DH9" s="349" t="n">
        <v>3</v>
      </c>
      <c r="DI9" s="350"/>
      <c r="DJ9" s="350" t="n">
        <v>3</v>
      </c>
      <c r="DK9" s="350" t="n">
        <v>5</v>
      </c>
      <c r="DL9" s="351" t="n">
        <v>5</v>
      </c>
      <c r="DM9" s="349" t="n">
        <v>3</v>
      </c>
      <c r="DN9" s="350" t="n">
        <v>5</v>
      </c>
      <c r="DO9" s="350" t="n">
        <v>5</v>
      </c>
      <c r="DP9" s="350" t="n">
        <v>5</v>
      </c>
      <c r="DQ9" s="351" t="n">
        <v>5</v>
      </c>
      <c r="DR9" s="349" t="n">
        <v>5</v>
      </c>
      <c r="DS9" s="350"/>
      <c r="DT9" s="350" t="n">
        <v>5</v>
      </c>
      <c r="DU9" s="350" t="n">
        <v>5</v>
      </c>
      <c r="DV9" s="351" t="n">
        <v>5</v>
      </c>
      <c r="DW9" s="349"/>
      <c r="DX9" s="350"/>
      <c r="DY9" s="350"/>
      <c r="DZ9" s="350"/>
      <c r="EA9" s="351"/>
      <c r="EB9" s="349" t="n">
        <v>5</v>
      </c>
      <c r="EC9" s="350" t="n">
        <v>5</v>
      </c>
      <c r="ED9" s="350" t="n">
        <v>5</v>
      </c>
      <c r="EE9" s="350" t="n">
        <v>5</v>
      </c>
      <c r="EF9" s="351" t="n">
        <v>5</v>
      </c>
      <c r="EG9" s="349"/>
      <c r="EH9" s="350"/>
      <c r="EI9" s="350"/>
      <c r="EJ9" s="350"/>
      <c r="EK9" s="351"/>
      <c r="EL9" s="349"/>
      <c r="EM9" s="350" t="n">
        <v>5</v>
      </c>
      <c r="EN9" s="350" t="n">
        <v>5</v>
      </c>
      <c r="EO9" s="350" t="n">
        <v>3</v>
      </c>
      <c r="EP9" s="351" t="n">
        <v>3</v>
      </c>
      <c r="EQ9" s="349" t="n">
        <v>3</v>
      </c>
      <c r="ER9" s="350" t="n">
        <v>5</v>
      </c>
      <c r="ES9" s="350" t="n">
        <v>5</v>
      </c>
      <c r="ET9" s="350" t="n">
        <v>1</v>
      </c>
      <c r="EU9" s="351" t="n">
        <v>3</v>
      </c>
      <c r="EV9" s="349" t="n">
        <v>5</v>
      </c>
      <c r="EW9" s="350" t="n">
        <v>5</v>
      </c>
      <c r="EX9" s="350" t="n">
        <v>5</v>
      </c>
      <c r="EY9" s="350" t="n">
        <v>5</v>
      </c>
      <c r="EZ9" s="351" t="n">
        <v>3</v>
      </c>
      <c r="FA9" s="349" t="n">
        <v>5</v>
      </c>
      <c r="FB9" s="350" t="n">
        <v>5</v>
      </c>
      <c r="FC9" s="350" t="n">
        <v>5</v>
      </c>
      <c r="FD9" s="350" t="n">
        <v>3</v>
      </c>
      <c r="FE9" s="351" t="n">
        <v>3</v>
      </c>
      <c r="FF9" s="349" t="n">
        <v>5</v>
      </c>
      <c r="FG9" s="350" t="n">
        <v>5</v>
      </c>
      <c r="FH9" s="350" t="n">
        <v>5</v>
      </c>
      <c r="FI9" s="350" t="n">
        <v>5</v>
      </c>
      <c r="FJ9" s="351" t="n">
        <v>3</v>
      </c>
      <c r="FK9" s="349" t="n">
        <v>3</v>
      </c>
      <c r="FL9" s="350" t="n">
        <v>5</v>
      </c>
      <c r="FM9" s="350" t="n">
        <v>5</v>
      </c>
      <c r="FN9" s="350" t="n">
        <v>3</v>
      </c>
      <c r="FO9" s="351" t="n">
        <v>3</v>
      </c>
      <c r="FP9" s="349" t="n">
        <v>5</v>
      </c>
      <c r="FQ9" s="349" t="n">
        <v>5</v>
      </c>
      <c r="FR9" s="349" t="n">
        <v>5</v>
      </c>
      <c r="FS9" s="350" t="n">
        <v>5</v>
      </c>
      <c r="FT9" s="351" t="n">
        <v>3</v>
      </c>
      <c r="FU9" s="349" t="n">
        <v>3</v>
      </c>
      <c r="FV9" s="350" t="n">
        <v>5</v>
      </c>
      <c r="FW9" s="350" t="n">
        <v>5</v>
      </c>
      <c r="FX9" s="350" t="n">
        <v>5</v>
      </c>
      <c r="FY9" s="351" t="n">
        <v>5</v>
      </c>
      <c r="FZ9" s="349"/>
      <c r="GA9" s="350"/>
      <c r="GB9" s="350"/>
      <c r="GC9" s="350"/>
      <c r="GD9" s="351"/>
      <c r="GE9" s="349" t="n">
        <v>5</v>
      </c>
      <c r="GF9" s="350" t="n">
        <v>5</v>
      </c>
      <c r="GG9" s="350"/>
      <c r="GH9" s="350" t="n">
        <v>5</v>
      </c>
      <c r="GI9" s="351" t="n">
        <v>5</v>
      </c>
      <c r="GJ9" s="349" t="n">
        <v>5</v>
      </c>
      <c r="GK9" s="350" t="n">
        <v>5</v>
      </c>
      <c r="GL9" s="350" t="n">
        <v>3</v>
      </c>
      <c r="GM9" s="350" t="n">
        <v>5</v>
      </c>
      <c r="GN9" s="351" t="n">
        <v>3</v>
      </c>
      <c r="GO9" s="349"/>
      <c r="GP9" s="350"/>
      <c r="GQ9" s="350"/>
      <c r="GR9" s="350"/>
      <c r="GS9" s="351"/>
      <c r="GT9" s="349"/>
      <c r="GU9" s="350"/>
      <c r="GV9" s="350"/>
      <c r="GW9" s="350"/>
      <c r="GX9" s="351"/>
      <c r="GY9" s="349"/>
      <c r="GZ9" s="350"/>
      <c r="HA9" s="350"/>
      <c r="HB9" s="350"/>
      <c r="HC9" s="351"/>
      <c r="HD9" s="349" t="n">
        <v>3</v>
      </c>
      <c r="HE9" s="350" t="n">
        <v>5</v>
      </c>
      <c r="HF9" s="350" t="n">
        <v>5</v>
      </c>
      <c r="HG9" s="350" t="n">
        <v>5</v>
      </c>
      <c r="HH9" s="351" t="n">
        <v>3</v>
      </c>
      <c r="HI9" s="349" t="n">
        <v>5</v>
      </c>
      <c r="HJ9" s="350" t="n">
        <v>5</v>
      </c>
      <c r="HK9" s="350" t="n">
        <v>5</v>
      </c>
      <c r="HL9" s="350" t="n">
        <v>3</v>
      </c>
      <c r="HM9" s="351" t="n">
        <v>3</v>
      </c>
      <c r="HN9" s="349" t="n">
        <v>5</v>
      </c>
      <c r="HO9" s="350" t="n">
        <v>5</v>
      </c>
      <c r="HP9" s="350" t="n">
        <v>1</v>
      </c>
      <c r="HQ9" s="350" t="n">
        <v>5</v>
      </c>
      <c r="HR9" s="351" t="n">
        <v>5</v>
      </c>
      <c r="HS9" s="349" t="n">
        <v>5</v>
      </c>
      <c r="HT9" s="350" t="n">
        <v>3</v>
      </c>
      <c r="HU9" s="350" t="n">
        <v>3</v>
      </c>
      <c r="HV9" s="350" t="n">
        <v>5</v>
      </c>
      <c r="HW9" s="351" t="n">
        <v>5</v>
      </c>
      <c r="HX9" s="349"/>
      <c r="HY9" s="350" t="n">
        <v>5</v>
      </c>
      <c r="HZ9" s="350" t="n">
        <v>1</v>
      </c>
      <c r="IA9" s="350"/>
      <c r="IB9" s="351"/>
      <c r="IC9" s="349"/>
      <c r="ID9" s="350"/>
      <c r="IE9" s="350" t="n">
        <v>3</v>
      </c>
      <c r="IF9" s="350"/>
      <c r="IG9" s="351"/>
      <c r="IH9" s="353" t="n">
        <f aca="false">+AVERAGE(B9:IB9)</f>
        <v>4.20720720720721</v>
      </c>
    </row>
    <row r="10" customFormat="false" ht="18.65" hidden="false" customHeight="false" outlineLevel="0" collapsed="false">
      <c r="A10" s="356" t="s">
        <v>127</v>
      </c>
      <c r="B10" s="349"/>
      <c r="C10" s="350"/>
      <c r="D10" s="350"/>
      <c r="E10" s="350"/>
      <c r="F10" s="351"/>
      <c r="G10" s="349"/>
      <c r="H10" s="350"/>
      <c r="I10" s="350"/>
      <c r="J10" s="350"/>
      <c r="K10" s="351"/>
      <c r="L10" s="349"/>
      <c r="M10" s="350"/>
      <c r="N10" s="350"/>
      <c r="O10" s="350"/>
      <c r="P10" s="351"/>
      <c r="Q10" s="349"/>
      <c r="R10" s="350"/>
      <c r="S10" s="350"/>
      <c r="T10" s="350"/>
      <c r="U10" s="351"/>
      <c r="V10" s="349"/>
      <c r="W10" s="350"/>
      <c r="X10" s="350"/>
      <c r="Y10" s="350"/>
      <c r="Z10" s="351"/>
      <c r="AA10" s="349"/>
      <c r="AB10" s="350"/>
      <c r="AC10" s="350"/>
      <c r="AD10" s="350"/>
      <c r="AE10" s="351"/>
      <c r="AF10" s="349"/>
      <c r="AG10" s="350"/>
      <c r="AH10" s="350"/>
      <c r="AI10" s="350"/>
      <c r="AJ10" s="351"/>
      <c r="AK10" s="349"/>
      <c r="AL10" s="350"/>
      <c r="AM10" s="350"/>
      <c r="AN10" s="350"/>
      <c r="AO10" s="351"/>
      <c r="AP10" s="349"/>
      <c r="AQ10" s="350"/>
      <c r="AR10" s="350"/>
      <c r="AS10" s="350"/>
      <c r="AT10" s="351"/>
      <c r="AU10" s="349"/>
      <c r="AV10" s="350"/>
      <c r="AW10" s="350"/>
      <c r="AX10" s="350"/>
      <c r="AY10" s="351"/>
      <c r="AZ10" s="349"/>
      <c r="BA10" s="350"/>
      <c r="BB10" s="350"/>
      <c r="BC10" s="350"/>
      <c r="BD10" s="351"/>
      <c r="BE10" s="349"/>
      <c r="BF10" s="350"/>
      <c r="BG10" s="350"/>
      <c r="BH10" s="350"/>
      <c r="BI10" s="351"/>
      <c r="BJ10" s="349"/>
      <c r="BK10" s="350"/>
      <c r="BL10" s="350"/>
      <c r="BM10" s="350"/>
      <c r="BN10" s="350"/>
      <c r="BO10" s="349"/>
      <c r="BP10" s="350"/>
      <c r="BQ10" s="350"/>
      <c r="BR10" s="350"/>
      <c r="BS10" s="351"/>
      <c r="BT10" s="349"/>
      <c r="BU10" s="350"/>
      <c r="BV10" s="350"/>
      <c r="BW10" s="350"/>
      <c r="BX10" s="351"/>
      <c r="BY10" s="349"/>
      <c r="BZ10" s="350"/>
      <c r="CA10" s="350"/>
      <c r="CB10" s="350"/>
      <c r="CC10" s="351"/>
      <c r="CD10" s="349"/>
      <c r="CE10" s="350"/>
      <c r="CF10" s="350"/>
      <c r="CG10" s="350"/>
      <c r="CH10" s="351"/>
      <c r="CI10" s="349"/>
      <c r="CJ10" s="350"/>
      <c r="CK10" s="350"/>
      <c r="CL10" s="350"/>
      <c r="CM10" s="351"/>
      <c r="CN10" s="349"/>
      <c r="CO10" s="350"/>
      <c r="CP10" s="350"/>
      <c r="CQ10" s="350"/>
      <c r="CR10" s="351"/>
      <c r="CS10" s="349"/>
      <c r="CT10" s="350" t="n">
        <v>5</v>
      </c>
      <c r="CU10" s="350" t="n">
        <v>5</v>
      </c>
      <c r="CV10" s="350" t="n">
        <v>5</v>
      </c>
      <c r="CW10" s="351" t="n">
        <v>5</v>
      </c>
      <c r="CX10" s="349" t="n">
        <v>5</v>
      </c>
      <c r="CY10" s="350" t="n">
        <v>5</v>
      </c>
      <c r="CZ10" s="350" t="n">
        <v>5</v>
      </c>
      <c r="DA10" s="350" t="n">
        <v>5</v>
      </c>
      <c r="DB10" s="351" t="n">
        <v>5</v>
      </c>
      <c r="DC10" s="349"/>
      <c r="DD10" s="350"/>
      <c r="DE10" s="350"/>
      <c r="DF10" s="350"/>
      <c r="DG10" s="351"/>
      <c r="DH10" s="349"/>
      <c r="DI10" s="350"/>
      <c r="DJ10" s="350"/>
      <c r="DK10" s="350"/>
      <c r="DL10" s="351"/>
      <c r="DM10" s="349"/>
      <c r="DN10" s="350"/>
      <c r="DO10" s="350"/>
      <c r="DP10" s="350"/>
      <c r="DQ10" s="351"/>
      <c r="DR10" s="349"/>
      <c r="DS10" s="350"/>
      <c r="DT10" s="350" t="n">
        <v>5</v>
      </c>
      <c r="DU10" s="350"/>
      <c r="DV10" s="351"/>
      <c r="DW10" s="349"/>
      <c r="DX10" s="350"/>
      <c r="DY10" s="350"/>
      <c r="DZ10" s="350"/>
      <c r="EA10" s="351"/>
      <c r="EB10" s="349"/>
      <c r="EC10" s="350"/>
      <c r="ED10" s="350"/>
      <c r="EE10" s="350"/>
      <c r="EF10" s="351"/>
      <c r="EG10" s="349"/>
      <c r="EH10" s="350"/>
      <c r="EI10" s="350"/>
      <c r="EJ10" s="350"/>
      <c r="EK10" s="351"/>
      <c r="EL10" s="349"/>
      <c r="EM10" s="350" t="n">
        <v>5</v>
      </c>
      <c r="EN10" s="350" t="n">
        <v>5</v>
      </c>
      <c r="EO10" s="350" t="n">
        <v>5</v>
      </c>
      <c r="EP10" s="351" t="n">
        <v>5</v>
      </c>
      <c r="EQ10" s="349" t="n">
        <v>3</v>
      </c>
      <c r="ER10" s="350" t="n">
        <v>5</v>
      </c>
      <c r="ES10" s="350" t="n">
        <v>5</v>
      </c>
      <c r="ET10" s="350" t="n">
        <v>5</v>
      </c>
      <c r="EU10" s="351" t="n">
        <v>5</v>
      </c>
      <c r="EV10" s="349"/>
      <c r="EW10" s="350"/>
      <c r="EX10" s="350"/>
      <c r="EY10" s="350"/>
      <c r="EZ10" s="351"/>
      <c r="FA10" s="349"/>
      <c r="FB10" s="350"/>
      <c r="FC10" s="350"/>
      <c r="FD10" s="350"/>
      <c r="FE10" s="351"/>
      <c r="FF10" s="349" t="n">
        <v>5</v>
      </c>
      <c r="FG10" s="350" t="n">
        <v>5</v>
      </c>
      <c r="FH10" s="350" t="n">
        <v>5</v>
      </c>
      <c r="FI10" s="350" t="n">
        <v>5</v>
      </c>
      <c r="FJ10" s="351" t="n">
        <v>3</v>
      </c>
      <c r="FK10" s="349" t="n">
        <v>3</v>
      </c>
      <c r="FL10" s="350" t="n">
        <v>5</v>
      </c>
      <c r="FM10" s="350" t="n">
        <v>5</v>
      </c>
      <c r="FN10" s="350" t="n">
        <v>5</v>
      </c>
      <c r="FO10" s="351" t="n">
        <v>5</v>
      </c>
      <c r="FP10" s="349" t="n">
        <v>5</v>
      </c>
      <c r="FQ10" s="349" t="n">
        <v>5</v>
      </c>
      <c r="FR10" s="349" t="n">
        <v>5</v>
      </c>
      <c r="FS10" s="350" t="n">
        <v>5</v>
      </c>
      <c r="FT10" s="351" t="n">
        <v>5</v>
      </c>
      <c r="FU10" s="349" t="n">
        <v>5</v>
      </c>
      <c r="FV10" s="350" t="n">
        <v>5</v>
      </c>
      <c r="FW10" s="350" t="n">
        <v>5</v>
      </c>
      <c r="FX10" s="350" t="n">
        <v>5</v>
      </c>
      <c r="FY10" s="351" t="n">
        <v>3</v>
      </c>
      <c r="FZ10" s="349"/>
      <c r="GA10" s="350"/>
      <c r="GB10" s="350"/>
      <c r="GC10" s="350"/>
      <c r="GD10" s="351"/>
      <c r="GE10" s="349" t="n">
        <v>5</v>
      </c>
      <c r="GF10" s="350" t="n">
        <v>5</v>
      </c>
      <c r="GG10" s="350"/>
      <c r="GH10" s="350" t="n">
        <v>5</v>
      </c>
      <c r="GI10" s="351" t="n">
        <v>5</v>
      </c>
      <c r="GJ10" s="349" t="n">
        <v>3</v>
      </c>
      <c r="GK10" s="350" t="n">
        <v>5</v>
      </c>
      <c r="GL10" s="350" t="n">
        <v>5</v>
      </c>
      <c r="GM10" s="350" t="n">
        <v>5</v>
      </c>
      <c r="GN10" s="351" t="n">
        <v>3</v>
      </c>
      <c r="GO10" s="349"/>
      <c r="GP10" s="350"/>
      <c r="GQ10" s="350"/>
      <c r="GR10" s="350"/>
      <c r="GS10" s="351"/>
      <c r="GT10" s="349"/>
      <c r="GU10" s="350"/>
      <c r="GV10" s="350"/>
      <c r="GW10" s="350"/>
      <c r="GX10" s="351"/>
      <c r="GY10" s="349"/>
      <c r="GZ10" s="350"/>
      <c r="HA10" s="350"/>
      <c r="HB10" s="350"/>
      <c r="HC10" s="351"/>
      <c r="HD10" s="349" t="n">
        <v>3</v>
      </c>
      <c r="HE10" s="350" t="n">
        <v>5</v>
      </c>
      <c r="HF10" s="350" t="n">
        <v>5</v>
      </c>
      <c r="HG10" s="350" t="n">
        <v>5</v>
      </c>
      <c r="HH10" s="351" t="n">
        <v>3</v>
      </c>
      <c r="HI10" s="349" t="n">
        <v>3</v>
      </c>
      <c r="HJ10" s="350" t="n">
        <v>5</v>
      </c>
      <c r="HK10" s="350" t="n">
        <v>5</v>
      </c>
      <c r="HL10" s="350" t="n">
        <v>5</v>
      </c>
      <c r="HM10" s="351" t="n">
        <v>5</v>
      </c>
      <c r="HN10" s="349" t="n">
        <v>5</v>
      </c>
      <c r="HO10" s="350" t="n">
        <v>5</v>
      </c>
      <c r="HP10" s="350" t="n">
        <v>5</v>
      </c>
      <c r="HQ10" s="350" t="n">
        <v>5</v>
      </c>
      <c r="HR10" s="351" t="n">
        <v>5</v>
      </c>
      <c r="HS10" s="349" t="n">
        <v>5</v>
      </c>
      <c r="HT10" s="350" t="n">
        <v>5</v>
      </c>
      <c r="HU10" s="350" t="n">
        <v>5</v>
      </c>
      <c r="HV10" s="350" t="n">
        <v>5</v>
      </c>
      <c r="HW10" s="351" t="n">
        <v>5</v>
      </c>
      <c r="HX10" s="349" t="n">
        <v>5</v>
      </c>
      <c r="HY10" s="350" t="n">
        <v>5</v>
      </c>
      <c r="HZ10" s="350" t="n">
        <v>5</v>
      </c>
      <c r="IA10" s="350" t="n">
        <v>5</v>
      </c>
      <c r="IB10" s="351" t="n">
        <v>5</v>
      </c>
      <c r="IC10" s="349" t="n">
        <v>5</v>
      </c>
      <c r="ID10" s="350" t="n">
        <v>5</v>
      </c>
      <c r="IE10" s="350" t="n">
        <v>5</v>
      </c>
      <c r="IF10" s="350" t="n">
        <v>5</v>
      </c>
      <c r="IG10" s="351" t="n">
        <v>5</v>
      </c>
      <c r="IH10" s="353" t="n">
        <f aca="false">+AVERAGE(B10:IB10)</f>
        <v>4.75342465753425</v>
      </c>
    </row>
    <row r="11" customFormat="false" ht="15.5" hidden="false" customHeight="false" outlineLevel="0" collapsed="false">
      <c r="A11" s="348" t="s">
        <v>513</v>
      </c>
      <c r="B11" s="349"/>
      <c r="C11" s="350"/>
      <c r="D11" s="350"/>
      <c r="E11" s="350"/>
      <c r="F11" s="351"/>
      <c r="G11" s="349"/>
      <c r="H11" s="350"/>
      <c r="I11" s="350"/>
      <c r="J11" s="350"/>
      <c r="K11" s="351"/>
      <c r="L11" s="349"/>
      <c r="M11" s="350"/>
      <c r="N11" s="350"/>
      <c r="O11" s="350"/>
      <c r="P11" s="351"/>
      <c r="Q11" s="349"/>
      <c r="R11" s="350"/>
      <c r="S11" s="350"/>
      <c r="T11" s="350"/>
      <c r="U11" s="351"/>
      <c r="V11" s="349"/>
      <c r="W11" s="350"/>
      <c r="X11" s="350"/>
      <c r="Y11" s="350"/>
      <c r="Z11" s="351"/>
      <c r="AA11" s="349"/>
      <c r="AB11" s="350"/>
      <c r="AC11" s="350"/>
      <c r="AD11" s="350"/>
      <c r="AE11" s="351"/>
      <c r="AF11" s="349"/>
      <c r="AG11" s="350"/>
      <c r="AH11" s="350"/>
      <c r="AI11" s="350"/>
      <c r="AJ11" s="351"/>
      <c r="AK11" s="349"/>
      <c r="AL11" s="350"/>
      <c r="AM11" s="350"/>
      <c r="AN11" s="350"/>
      <c r="AO11" s="351"/>
      <c r="AP11" s="349"/>
      <c r="AQ11" s="350"/>
      <c r="AR11" s="350"/>
      <c r="AS11" s="350"/>
      <c r="AT11" s="351"/>
      <c r="AU11" s="349"/>
      <c r="AV11" s="350"/>
      <c r="AW11" s="350"/>
      <c r="AX11" s="350"/>
      <c r="AY11" s="351"/>
      <c r="AZ11" s="349"/>
      <c r="BA11" s="350"/>
      <c r="BB11" s="350"/>
      <c r="BC11" s="350"/>
      <c r="BD11" s="351"/>
      <c r="BE11" s="349"/>
      <c r="BF11" s="350"/>
      <c r="BG11" s="350"/>
      <c r="BH11" s="350"/>
      <c r="BI11" s="351"/>
      <c r="BJ11" s="349"/>
      <c r="BK11" s="350"/>
      <c r="BL11" s="350"/>
      <c r="BM11" s="350"/>
      <c r="BN11" s="350"/>
      <c r="BO11" s="349"/>
      <c r="BP11" s="350"/>
      <c r="BQ11" s="350"/>
      <c r="BR11" s="350"/>
      <c r="BS11" s="351"/>
      <c r="BT11" s="349"/>
      <c r="BU11" s="350"/>
      <c r="BV11" s="350"/>
      <c r="BW11" s="350"/>
      <c r="BX11" s="351"/>
      <c r="BY11" s="349"/>
      <c r="BZ11" s="350" t="n">
        <v>5</v>
      </c>
      <c r="CA11" s="350" t="n">
        <v>5</v>
      </c>
      <c r="CB11" s="350" t="n">
        <v>3</v>
      </c>
      <c r="CC11" s="351" t="n">
        <v>5</v>
      </c>
      <c r="CD11" s="349" t="n">
        <v>5</v>
      </c>
      <c r="CE11" s="350" t="n">
        <v>5</v>
      </c>
      <c r="CF11" s="350" t="n">
        <v>5</v>
      </c>
      <c r="CG11" s="350" t="n">
        <v>5</v>
      </c>
      <c r="CH11" s="351" t="n">
        <v>5</v>
      </c>
      <c r="CI11" s="349"/>
      <c r="CJ11" s="350"/>
      <c r="CK11" s="350"/>
      <c r="CL11" s="350"/>
      <c r="CM11" s="351"/>
      <c r="CN11" s="349" t="n">
        <v>3</v>
      </c>
      <c r="CO11" s="350"/>
      <c r="CP11" s="350" t="n">
        <v>5</v>
      </c>
      <c r="CQ11" s="350" t="n">
        <v>1</v>
      </c>
      <c r="CR11" s="351" t="n">
        <v>3</v>
      </c>
      <c r="CS11" s="349"/>
      <c r="CT11" s="350"/>
      <c r="CU11" s="350"/>
      <c r="CV11" s="350"/>
      <c r="CW11" s="351"/>
      <c r="CX11" s="349"/>
      <c r="CY11" s="350"/>
      <c r="CZ11" s="350"/>
      <c r="DA11" s="350"/>
      <c r="DB11" s="351"/>
      <c r="DC11" s="349"/>
      <c r="DD11" s="350"/>
      <c r="DE11" s="350"/>
      <c r="DF11" s="350"/>
      <c r="DG11" s="351"/>
      <c r="DH11" s="349" t="n">
        <v>1</v>
      </c>
      <c r="DI11" s="350" t="n">
        <v>5</v>
      </c>
      <c r="DJ11" s="350" t="n">
        <v>5</v>
      </c>
      <c r="DK11" s="350" t="n">
        <v>5</v>
      </c>
      <c r="DL11" s="351" t="n">
        <v>5</v>
      </c>
      <c r="DM11" s="349" t="n">
        <v>3</v>
      </c>
      <c r="DN11" s="350" t="n">
        <v>5</v>
      </c>
      <c r="DO11" s="350" t="n">
        <v>5</v>
      </c>
      <c r="DP11" s="350" t="n">
        <v>5</v>
      </c>
      <c r="DQ11" s="351" t="n">
        <v>5</v>
      </c>
      <c r="DR11" s="349" t="n">
        <v>3</v>
      </c>
      <c r="DS11" s="350"/>
      <c r="DT11" s="350" t="n">
        <v>5</v>
      </c>
      <c r="DU11" s="350" t="n">
        <v>5</v>
      </c>
      <c r="DV11" s="351" t="n">
        <v>5</v>
      </c>
      <c r="DW11" s="349"/>
      <c r="DX11" s="350"/>
      <c r="DY11" s="350"/>
      <c r="DZ11" s="350"/>
      <c r="EA11" s="351"/>
      <c r="EB11" s="349" t="n">
        <v>5</v>
      </c>
      <c r="EC11" s="350" t="n">
        <v>5</v>
      </c>
      <c r="ED11" s="350" t="n">
        <v>5</v>
      </c>
      <c r="EE11" s="350" t="n">
        <v>5</v>
      </c>
      <c r="EF11" s="351" t="n">
        <v>5</v>
      </c>
      <c r="EG11" s="349"/>
      <c r="EH11" s="350"/>
      <c r="EI11" s="350"/>
      <c r="EJ11" s="350"/>
      <c r="EK11" s="351"/>
      <c r="EL11" s="349"/>
      <c r="EM11" s="350"/>
      <c r="EN11" s="350"/>
      <c r="EO11" s="350"/>
      <c r="EP11" s="351"/>
      <c r="EQ11" s="349"/>
      <c r="ER11" s="350"/>
      <c r="ES11" s="350"/>
      <c r="ET11" s="350"/>
      <c r="EU11" s="351"/>
      <c r="EV11" s="349"/>
      <c r="EW11" s="350"/>
      <c r="EX11" s="350"/>
      <c r="EY11" s="350"/>
      <c r="EZ11" s="351"/>
      <c r="FA11" s="349"/>
      <c r="FB11" s="350"/>
      <c r="FC11" s="350"/>
      <c r="FD11" s="350"/>
      <c r="FE11" s="351"/>
      <c r="FF11" s="349"/>
      <c r="FG11" s="350"/>
      <c r="FH11" s="350"/>
      <c r="FI11" s="350"/>
      <c r="FJ11" s="351"/>
      <c r="FK11" s="349" t="n">
        <v>5</v>
      </c>
      <c r="FL11" s="350" t="n">
        <v>5</v>
      </c>
      <c r="FM11" s="350" t="n">
        <v>5</v>
      </c>
      <c r="FN11" s="350" t="n">
        <v>5</v>
      </c>
      <c r="FO11" s="351" t="n">
        <v>5</v>
      </c>
      <c r="FP11" s="349" t="n">
        <v>5</v>
      </c>
      <c r="FQ11" s="349" t="n">
        <v>5</v>
      </c>
      <c r="FR11" s="349" t="n">
        <v>5</v>
      </c>
      <c r="FS11" s="350" t="n">
        <v>5</v>
      </c>
      <c r="FT11" s="351" t="n">
        <v>5</v>
      </c>
      <c r="FU11" s="349" t="n">
        <v>5</v>
      </c>
      <c r="FV11" s="350" t="n">
        <v>5</v>
      </c>
      <c r="FW11" s="350" t="n">
        <v>5</v>
      </c>
      <c r="FX11" s="350" t="n">
        <v>5</v>
      </c>
      <c r="FY11" s="351" t="n">
        <v>5</v>
      </c>
      <c r="FZ11" s="349"/>
      <c r="GA11" s="350"/>
      <c r="GB11" s="350"/>
      <c r="GC11" s="350"/>
      <c r="GD11" s="351"/>
      <c r="GE11" s="349" t="n">
        <v>5</v>
      </c>
      <c r="GF11" s="350" t="n">
        <v>5</v>
      </c>
      <c r="GG11" s="350"/>
      <c r="GH11" s="350" t="n">
        <v>3</v>
      </c>
      <c r="GI11" s="351" t="n">
        <v>5</v>
      </c>
      <c r="GJ11" s="349" t="n">
        <v>5</v>
      </c>
      <c r="GK11" s="350" t="n">
        <v>5</v>
      </c>
      <c r="GL11" s="350" t="n">
        <v>3</v>
      </c>
      <c r="GM11" s="350" t="n">
        <v>5</v>
      </c>
      <c r="GN11" s="351" t="n">
        <v>5</v>
      </c>
      <c r="GO11" s="349"/>
      <c r="GP11" s="350"/>
      <c r="GQ11" s="350"/>
      <c r="GR11" s="350"/>
      <c r="GS11" s="351"/>
      <c r="GT11" s="349"/>
      <c r="GU11" s="350"/>
      <c r="GV11" s="350"/>
      <c r="GW11" s="350"/>
      <c r="GX11" s="351"/>
      <c r="GY11" s="349"/>
      <c r="GZ11" s="350"/>
      <c r="HA11" s="350"/>
      <c r="HB11" s="350"/>
      <c r="HC11" s="351"/>
      <c r="HD11" s="349" t="n">
        <v>5</v>
      </c>
      <c r="HE11" s="350" t="n">
        <v>5</v>
      </c>
      <c r="HF11" s="350" t="n">
        <v>3</v>
      </c>
      <c r="HG11" s="350" t="n">
        <v>5</v>
      </c>
      <c r="HH11" s="351" t="n">
        <v>5</v>
      </c>
      <c r="HI11" s="349" t="n">
        <v>5</v>
      </c>
      <c r="HJ11" s="350" t="n">
        <v>5</v>
      </c>
      <c r="HK11" s="350" t="n">
        <v>5</v>
      </c>
      <c r="HL11" s="350" t="n">
        <v>5</v>
      </c>
      <c r="HM11" s="351" t="n">
        <v>5</v>
      </c>
      <c r="HN11" s="349" t="n">
        <v>5</v>
      </c>
      <c r="HO11" s="350" t="n">
        <v>5</v>
      </c>
      <c r="HP11" s="350" t="n">
        <v>1</v>
      </c>
      <c r="HQ11" s="350" t="n">
        <v>5</v>
      </c>
      <c r="HR11" s="351" t="n">
        <v>5</v>
      </c>
      <c r="HS11" s="349" t="n">
        <v>5</v>
      </c>
      <c r="HT11" s="350" t="n">
        <v>5</v>
      </c>
      <c r="HU11" s="350" t="n">
        <v>5</v>
      </c>
      <c r="HV11" s="350" t="n">
        <v>5</v>
      </c>
      <c r="HW11" s="351" t="n">
        <v>5</v>
      </c>
      <c r="HX11" s="349" t="n">
        <v>5</v>
      </c>
      <c r="HY11" s="350" t="n">
        <v>5</v>
      </c>
      <c r="HZ11" s="350" t="n">
        <v>5</v>
      </c>
      <c r="IA11" s="350" t="n">
        <v>5</v>
      </c>
      <c r="IB11" s="351" t="n">
        <v>5</v>
      </c>
      <c r="IC11" s="349" t="n">
        <v>5</v>
      </c>
      <c r="ID11" s="350" t="n">
        <v>5</v>
      </c>
      <c r="IE11" s="350" t="n">
        <v>3</v>
      </c>
      <c r="IF11" s="350" t="n">
        <v>5</v>
      </c>
      <c r="IG11" s="351" t="n">
        <v>5</v>
      </c>
      <c r="IH11" s="353" t="n">
        <f aca="false">+AVERAGE(B11:IB11)</f>
        <v>4.65432098765432</v>
      </c>
    </row>
    <row r="12" customFormat="false" ht="18" hidden="false" customHeight="true" outlineLevel="0" collapsed="false">
      <c r="A12" s="348" t="s">
        <v>514</v>
      </c>
      <c r="B12" s="349"/>
      <c r="C12" s="350"/>
      <c r="D12" s="350"/>
      <c r="E12" s="350"/>
      <c r="F12" s="351"/>
      <c r="G12" s="349"/>
      <c r="H12" s="350"/>
      <c r="I12" s="350"/>
      <c r="J12" s="350"/>
      <c r="K12" s="351"/>
      <c r="L12" s="349"/>
      <c r="M12" s="350"/>
      <c r="N12" s="350"/>
      <c r="O12" s="350"/>
      <c r="P12" s="351"/>
      <c r="Q12" s="349"/>
      <c r="R12" s="350"/>
      <c r="S12" s="350"/>
      <c r="T12" s="350"/>
      <c r="U12" s="351"/>
      <c r="V12" s="349"/>
      <c r="W12" s="350"/>
      <c r="X12" s="350"/>
      <c r="Y12" s="350"/>
      <c r="Z12" s="351"/>
      <c r="AA12" s="349"/>
      <c r="AB12" s="350"/>
      <c r="AC12" s="350"/>
      <c r="AD12" s="350"/>
      <c r="AE12" s="351"/>
      <c r="AF12" s="349"/>
      <c r="AG12" s="350"/>
      <c r="AH12" s="350"/>
      <c r="AI12" s="350"/>
      <c r="AJ12" s="351"/>
      <c r="AK12" s="349"/>
      <c r="AL12" s="350"/>
      <c r="AM12" s="350"/>
      <c r="AN12" s="350"/>
      <c r="AO12" s="351"/>
      <c r="AP12" s="349"/>
      <c r="AQ12" s="350"/>
      <c r="AR12" s="350"/>
      <c r="AS12" s="350"/>
      <c r="AT12" s="351"/>
      <c r="AU12" s="349"/>
      <c r="AV12" s="350"/>
      <c r="AW12" s="350"/>
      <c r="AX12" s="350"/>
      <c r="AY12" s="351"/>
      <c r="AZ12" s="349"/>
      <c r="BA12" s="350"/>
      <c r="BB12" s="350"/>
      <c r="BC12" s="350"/>
      <c r="BD12" s="351"/>
      <c r="BE12" s="349"/>
      <c r="BF12" s="350"/>
      <c r="BG12" s="350"/>
      <c r="BH12" s="350"/>
      <c r="BI12" s="351"/>
      <c r="BJ12" s="349" t="n">
        <v>5</v>
      </c>
      <c r="BK12" s="350" t="n">
        <v>5</v>
      </c>
      <c r="BL12" s="350"/>
      <c r="BM12" s="350" t="n">
        <v>5</v>
      </c>
      <c r="BN12" s="350" t="n">
        <v>3</v>
      </c>
      <c r="BO12" s="349" t="n">
        <v>5</v>
      </c>
      <c r="BP12" s="350"/>
      <c r="BQ12" s="350" t="n">
        <v>5</v>
      </c>
      <c r="BR12" s="350" t="n">
        <v>3</v>
      </c>
      <c r="BS12" s="351" t="n">
        <v>5</v>
      </c>
      <c r="BT12" s="349" t="n">
        <v>5</v>
      </c>
      <c r="BU12" s="350" t="n">
        <v>5</v>
      </c>
      <c r="BV12" s="350" t="n">
        <v>5</v>
      </c>
      <c r="BW12" s="350" t="n">
        <v>3</v>
      </c>
      <c r="BX12" s="351" t="n">
        <v>3</v>
      </c>
      <c r="BY12" s="349"/>
      <c r="BZ12" s="350"/>
      <c r="CA12" s="350" t="n">
        <v>5</v>
      </c>
      <c r="CB12" s="350" t="n">
        <v>1</v>
      </c>
      <c r="CC12" s="351" t="n">
        <v>5</v>
      </c>
      <c r="CD12" s="349"/>
      <c r="CE12" s="350"/>
      <c r="CF12" s="350"/>
      <c r="CG12" s="350"/>
      <c r="CH12" s="351"/>
      <c r="CI12" s="349"/>
      <c r="CJ12" s="350"/>
      <c r="CK12" s="350"/>
      <c r="CL12" s="350"/>
      <c r="CM12" s="351"/>
      <c r="CN12" s="349"/>
      <c r="CO12" s="350"/>
      <c r="CP12" s="350"/>
      <c r="CQ12" s="350"/>
      <c r="CR12" s="351"/>
      <c r="CS12" s="349"/>
      <c r="CT12" s="350"/>
      <c r="CU12" s="350"/>
      <c r="CV12" s="350"/>
      <c r="CW12" s="351"/>
      <c r="CX12" s="349"/>
      <c r="CY12" s="350"/>
      <c r="CZ12" s="350"/>
      <c r="DA12" s="350"/>
      <c r="DB12" s="351"/>
      <c r="DC12" s="349"/>
      <c r="DD12" s="350"/>
      <c r="DE12" s="350"/>
      <c r="DF12" s="350"/>
      <c r="DG12" s="351"/>
      <c r="DH12" s="349"/>
      <c r="DI12" s="350"/>
      <c r="DJ12" s="350"/>
      <c r="DK12" s="350"/>
      <c r="DL12" s="351"/>
      <c r="DM12" s="349"/>
      <c r="DN12" s="350"/>
      <c r="DO12" s="350"/>
      <c r="DP12" s="350"/>
      <c r="DQ12" s="351"/>
      <c r="DR12" s="349"/>
      <c r="DS12" s="350"/>
      <c r="DT12" s="350"/>
      <c r="DU12" s="350"/>
      <c r="DV12" s="351"/>
      <c r="DW12" s="349"/>
      <c r="DX12" s="350"/>
      <c r="DY12" s="350"/>
      <c r="DZ12" s="350"/>
      <c r="EA12" s="351"/>
      <c r="EB12" s="349"/>
      <c r="EC12" s="350"/>
      <c r="ED12" s="350"/>
      <c r="EE12" s="350"/>
      <c r="EF12" s="351"/>
      <c r="EG12" s="349"/>
      <c r="EH12" s="350"/>
      <c r="EI12" s="350"/>
      <c r="EJ12" s="350"/>
      <c r="EK12" s="351"/>
      <c r="EL12" s="349"/>
      <c r="EM12" s="350"/>
      <c r="EN12" s="350"/>
      <c r="EO12" s="350"/>
      <c r="EP12" s="351"/>
      <c r="EQ12" s="349"/>
      <c r="ER12" s="350"/>
      <c r="ES12" s="350"/>
      <c r="ET12" s="350"/>
      <c r="EU12" s="351"/>
      <c r="EV12" s="349"/>
      <c r="EW12" s="350"/>
      <c r="EX12" s="350"/>
      <c r="EY12" s="350"/>
      <c r="EZ12" s="351"/>
      <c r="FA12" s="349"/>
      <c r="FB12" s="350"/>
      <c r="FC12" s="350"/>
      <c r="FD12" s="350"/>
      <c r="FE12" s="351"/>
      <c r="FF12" s="349"/>
      <c r="FG12" s="350"/>
      <c r="FH12" s="350"/>
      <c r="FI12" s="350"/>
      <c r="FJ12" s="351"/>
      <c r="FK12" s="349"/>
      <c r="FL12" s="350"/>
      <c r="FM12" s="350"/>
      <c r="FN12" s="350"/>
      <c r="FO12" s="351"/>
      <c r="FP12" s="349"/>
      <c r="FQ12" s="350"/>
      <c r="FR12" s="350"/>
      <c r="FS12" s="350"/>
      <c r="FT12" s="351"/>
      <c r="FU12" s="349"/>
      <c r="FV12" s="350"/>
      <c r="FW12" s="350"/>
      <c r="FX12" s="350"/>
      <c r="FY12" s="351"/>
      <c r="FZ12" s="349"/>
      <c r="GA12" s="350"/>
      <c r="GB12" s="350"/>
      <c r="GC12" s="350"/>
      <c r="GD12" s="351"/>
      <c r="GE12" s="349"/>
      <c r="GF12" s="350"/>
      <c r="GG12" s="350"/>
      <c r="GH12" s="350"/>
      <c r="GI12" s="351"/>
      <c r="GJ12" s="349"/>
      <c r="GK12" s="350"/>
      <c r="GL12" s="350"/>
      <c r="GM12" s="350"/>
      <c r="GN12" s="351"/>
      <c r="GO12" s="349"/>
      <c r="GP12" s="350"/>
      <c r="GQ12" s="350"/>
      <c r="GR12" s="350"/>
      <c r="GS12" s="351"/>
      <c r="GT12" s="349"/>
      <c r="GU12" s="350"/>
      <c r="GV12" s="350"/>
      <c r="GW12" s="350"/>
      <c r="GX12" s="351"/>
      <c r="GY12" s="349"/>
      <c r="GZ12" s="350"/>
      <c r="HA12" s="350"/>
      <c r="HB12" s="350"/>
      <c r="HC12" s="351"/>
      <c r="HD12" s="349" t="n">
        <v>3</v>
      </c>
      <c r="HE12" s="350" t="n">
        <v>5</v>
      </c>
      <c r="HF12" s="350" t="n">
        <v>5</v>
      </c>
      <c r="HG12" s="350" t="n">
        <v>3</v>
      </c>
      <c r="HH12" s="351" t="n">
        <v>3</v>
      </c>
      <c r="HI12" s="349" t="n">
        <v>3</v>
      </c>
      <c r="HJ12" s="350" t="n">
        <v>5</v>
      </c>
      <c r="HK12" s="350" t="n">
        <v>5</v>
      </c>
      <c r="HL12" s="350" t="n">
        <v>3</v>
      </c>
      <c r="HM12" s="351" t="n">
        <v>3</v>
      </c>
      <c r="HN12" s="349" t="n">
        <v>3</v>
      </c>
      <c r="HO12" s="350" t="n">
        <v>5</v>
      </c>
      <c r="HP12" s="350" t="n">
        <v>1</v>
      </c>
      <c r="HQ12" s="350" t="n">
        <v>3</v>
      </c>
      <c r="HR12" s="351" t="n">
        <v>3</v>
      </c>
      <c r="HS12" s="349" t="n">
        <v>3</v>
      </c>
      <c r="HT12" s="350" t="n">
        <v>5</v>
      </c>
      <c r="HU12" s="350" t="n">
        <v>5</v>
      </c>
      <c r="HV12" s="350" t="n">
        <v>1</v>
      </c>
      <c r="HW12" s="351" t="n">
        <v>1</v>
      </c>
      <c r="HX12" s="349" t="n">
        <v>5</v>
      </c>
      <c r="HY12" s="350" t="n">
        <v>5</v>
      </c>
      <c r="HZ12" s="350" t="n">
        <v>5</v>
      </c>
      <c r="IA12" s="350" t="n">
        <v>3</v>
      </c>
      <c r="IB12" s="351" t="n">
        <v>3</v>
      </c>
      <c r="IC12" s="349" t="n">
        <v>3</v>
      </c>
      <c r="ID12" s="350" t="n">
        <v>5</v>
      </c>
      <c r="IE12" s="350" t="n">
        <v>3</v>
      </c>
      <c r="IF12" s="350" t="n">
        <v>3</v>
      </c>
      <c r="IG12" s="351" t="n">
        <v>1</v>
      </c>
      <c r="IH12" s="353" t="n">
        <f aca="false">+AVERAGE(B12:IB12)</f>
        <v>3.82926829268293</v>
      </c>
    </row>
    <row r="13" customFormat="false" ht="15.5" hidden="false" customHeight="false" outlineLevel="0" collapsed="false">
      <c r="A13" s="348" t="s">
        <v>515</v>
      </c>
      <c r="B13" s="349"/>
      <c r="C13" s="350"/>
      <c r="D13" s="350"/>
      <c r="E13" s="350"/>
      <c r="F13" s="351"/>
      <c r="G13" s="349"/>
      <c r="H13" s="350"/>
      <c r="I13" s="350"/>
      <c r="J13" s="350"/>
      <c r="K13" s="351"/>
      <c r="L13" s="349"/>
      <c r="M13" s="350"/>
      <c r="N13" s="350"/>
      <c r="O13" s="350"/>
      <c r="P13" s="351"/>
      <c r="Q13" s="349"/>
      <c r="R13" s="350"/>
      <c r="S13" s="350"/>
      <c r="T13" s="350"/>
      <c r="U13" s="351"/>
      <c r="V13" s="349"/>
      <c r="W13" s="350"/>
      <c r="X13" s="350"/>
      <c r="Y13" s="350"/>
      <c r="Z13" s="351"/>
      <c r="AA13" s="349"/>
      <c r="AB13" s="350"/>
      <c r="AC13" s="350"/>
      <c r="AD13" s="350"/>
      <c r="AE13" s="351"/>
      <c r="AF13" s="349"/>
      <c r="AG13" s="350"/>
      <c r="AH13" s="350"/>
      <c r="AI13" s="350"/>
      <c r="AJ13" s="351"/>
      <c r="AK13" s="349"/>
      <c r="AL13" s="350"/>
      <c r="AM13" s="350"/>
      <c r="AN13" s="350"/>
      <c r="AO13" s="351"/>
      <c r="AP13" s="349"/>
      <c r="AQ13" s="350"/>
      <c r="AR13" s="350"/>
      <c r="AS13" s="350"/>
      <c r="AT13" s="351"/>
      <c r="AU13" s="349"/>
      <c r="AV13" s="350"/>
      <c r="AW13" s="350"/>
      <c r="AX13" s="350"/>
      <c r="AY13" s="351"/>
      <c r="AZ13" s="349"/>
      <c r="BA13" s="350"/>
      <c r="BB13" s="350"/>
      <c r="BC13" s="350"/>
      <c r="BD13" s="351"/>
      <c r="BE13" s="349"/>
      <c r="BF13" s="350"/>
      <c r="BG13" s="350"/>
      <c r="BH13" s="350"/>
      <c r="BI13" s="351"/>
      <c r="BJ13" s="349"/>
      <c r="BK13" s="350"/>
      <c r="BL13" s="350"/>
      <c r="BM13" s="350"/>
      <c r="BN13" s="350"/>
      <c r="BO13" s="349"/>
      <c r="BP13" s="350"/>
      <c r="BQ13" s="350"/>
      <c r="BR13" s="350"/>
      <c r="BS13" s="351"/>
      <c r="BT13" s="349"/>
      <c r="BU13" s="350"/>
      <c r="BV13" s="350"/>
      <c r="BW13" s="350"/>
      <c r="BX13" s="351"/>
      <c r="BY13" s="349"/>
      <c r="BZ13" s="350"/>
      <c r="CA13" s="350"/>
      <c r="CB13" s="350"/>
      <c r="CC13" s="351"/>
      <c r="CD13" s="349"/>
      <c r="CE13" s="350"/>
      <c r="CF13" s="350"/>
      <c r="CG13" s="350"/>
      <c r="CH13" s="351"/>
      <c r="CI13" s="349"/>
      <c r="CJ13" s="350"/>
      <c r="CK13" s="350"/>
      <c r="CL13" s="350"/>
      <c r="CM13" s="351"/>
      <c r="CN13" s="349"/>
      <c r="CO13" s="350"/>
      <c r="CP13" s="350"/>
      <c r="CQ13" s="350"/>
      <c r="CR13" s="351"/>
      <c r="CS13" s="349" t="n">
        <v>3</v>
      </c>
      <c r="CT13" s="350" t="n">
        <v>5</v>
      </c>
      <c r="CU13" s="350" t="n">
        <v>5</v>
      </c>
      <c r="CV13" s="350" t="n">
        <v>3</v>
      </c>
      <c r="CW13" s="351" t="n">
        <v>3</v>
      </c>
      <c r="CX13" s="349" t="n">
        <v>5</v>
      </c>
      <c r="CY13" s="350" t="n">
        <v>5</v>
      </c>
      <c r="CZ13" s="350" t="n">
        <v>5</v>
      </c>
      <c r="DA13" s="350" t="n">
        <v>3</v>
      </c>
      <c r="DB13" s="351" t="n">
        <v>5</v>
      </c>
      <c r="DC13" s="349"/>
      <c r="DD13" s="350"/>
      <c r="DE13" s="350"/>
      <c r="DF13" s="350"/>
      <c r="DG13" s="351"/>
      <c r="DH13" s="349"/>
      <c r="DI13" s="350"/>
      <c r="DJ13" s="350"/>
      <c r="DK13" s="350"/>
      <c r="DL13" s="351"/>
      <c r="DM13" s="349"/>
      <c r="DN13" s="350" t="n">
        <v>5</v>
      </c>
      <c r="DO13" s="350" t="n">
        <v>5</v>
      </c>
      <c r="DP13" s="350" t="n">
        <v>5</v>
      </c>
      <c r="DQ13" s="351" t="n">
        <v>5</v>
      </c>
      <c r="DR13" s="349" t="n">
        <v>5</v>
      </c>
      <c r="DS13" s="350"/>
      <c r="DT13" s="350" t="n">
        <v>5</v>
      </c>
      <c r="DU13" s="350" t="n">
        <v>5</v>
      </c>
      <c r="DV13" s="351" t="n">
        <v>5</v>
      </c>
      <c r="DW13" s="349"/>
      <c r="DX13" s="350"/>
      <c r="DY13" s="350"/>
      <c r="DZ13" s="350"/>
      <c r="EA13" s="351"/>
      <c r="EB13" s="349"/>
      <c r="EC13" s="350"/>
      <c r="ED13" s="350"/>
      <c r="EE13" s="350"/>
      <c r="EF13" s="351"/>
      <c r="EG13" s="349"/>
      <c r="EH13" s="350"/>
      <c r="EI13" s="350"/>
      <c r="EJ13" s="350"/>
      <c r="EK13" s="351"/>
      <c r="EL13" s="349"/>
      <c r="EM13" s="350"/>
      <c r="EN13" s="350"/>
      <c r="EO13" s="350"/>
      <c r="EP13" s="351"/>
      <c r="EQ13" s="349"/>
      <c r="ER13" s="350"/>
      <c r="ES13" s="350"/>
      <c r="ET13" s="350"/>
      <c r="EU13" s="351"/>
      <c r="EV13" s="349"/>
      <c r="EW13" s="350"/>
      <c r="EX13" s="350"/>
      <c r="EY13" s="350"/>
      <c r="EZ13" s="351"/>
      <c r="FA13" s="349"/>
      <c r="FB13" s="350"/>
      <c r="FC13" s="350"/>
      <c r="FD13" s="350"/>
      <c r="FE13" s="351"/>
      <c r="FF13" s="349"/>
      <c r="FG13" s="350"/>
      <c r="FH13" s="350"/>
      <c r="FI13" s="350"/>
      <c r="FJ13" s="351"/>
      <c r="FK13" s="349"/>
      <c r="FL13" s="350"/>
      <c r="FM13" s="350"/>
      <c r="FN13" s="350"/>
      <c r="FO13" s="351"/>
      <c r="FP13" s="349"/>
      <c r="FQ13" s="350"/>
      <c r="FR13" s="350"/>
      <c r="FS13" s="350"/>
      <c r="FT13" s="351"/>
      <c r="FU13" s="349"/>
      <c r="FV13" s="350"/>
      <c r="FW13" s="350"/>
      <c r="FX13" s="350"/>
      <c r="FY13" s="351"/>
      <c r="FZ13" s="349"/>
      <c r="GA13" s="350"/>
      <c r="GB13" s="350"/>
      <c r="GC13" s="350"/>
      <c r="GD13" s="351"/>
      <c r="GE13" s="349"/>
      <c r="GF13" s="350"/>
      <c r="GG13" s="350"/>
      <c r="GH13" s="350"/>
      <c r="GI13" s="351"/>
      <c r="GJ13" s="349"/>
      <c r="GK13" s="350"/>
      <c r="GL13" s="350"/>
      <c r="GM13" s="350"/>
      <c r="GN13" s="351"/>
      <c r="GO13" s="349"/>
      <c r="GP13" s="350"/>
      <c r="GQ13" s="350"/>
      <c r="GR13" s="350"/>
      <c r="GS13" s="351"/>
      <c r="GT13" s="349"/>
      <c r="GU13" s="350"/>
      <c r="GV13" s="350"/>
      <c r="GW13" s="350"/>
      <c r="GX13" s="351"/>
      <c r="GY13" s="349"/>
      <c r="GZ13" s="350"/>
      <c r="HA13" s="350"/>
      <c r="HB13" s="350"/>
      <c r="HC13" s="351"/>
      <c r="HD13" s="349"/>
      <c r="HE13" s="350"/>
      <c r="HF13" s="350"/>
      <c r="HG13" s="350"/>
      <c r="HH13" s="351"/>
      <c r="HI13" s="349" t="n">
        <v>5</v>
      </c>
      <c r="HJ13" s="350" t="n">
        <v>5</v>
      </c>
      <c r="HK13" s="350" t="n">
        <v>5</v>
      </c>
      <c r="HL13" s="350" t="n">
        <v>5</v>
      </c>
      <c r="HM13" s="351" t="n">
        <v>5</v>
      </c>
      <c r="HN13" s="349" t="n">
        <v>5</v>
      </c>
      <c r="HO13" s="350" t="n">
        <v>5</v>
      </c>
      <c r="HP13" s="350" t="n">
        <v>5</v>
      </c>
      <c r="HQ13" s="350" t="n">
        <v>5</v>
      </c>
      <c r="HR13" s="351" t="n">
        <v>5</v>
      </c>
      <c r="HS13" s="349"/>
      <c r="HT13" s="350"/>
      <c r="HU13" s="350"/>
      <c r="HV13" s="350"/>
      <c r="HW13" s="351"/>
      <c r="HX13" s="349"/>
      <c r="HY13" s="350"/>
      <c r="HZ13" s="350"/>
      <c r="IA13" s="350"/>
      <c r="IB13" s="351"/>
      <c r="IC13" s="349"/>
      <c r="ID13" s="350"/>
      <c r="IE13" s="350"/>
      <c r="IF13" s="350"/>
      <c r="IG13" s="351"/>
      <c r="IH13" s="353" t="n">
        <f aca="false">+AVERAGE(B13:IB13)</f>
        <v>4.71428571428571</v>
      </c>
    </row>
    <row r="14" customFormat="false" ht="15.5" hidden="false" customHeight="false" outlineLevel="0" collapsed="false">
      <c r="A14" s="348" t="s">
        <v>516</v>
      </c>
      <c r="B14" s="349"/>
      <c r="C14" s="350"/>
      <c r="D14" s="350"/>
      <c r="E14" s="350"/>
      <c r="F14" s="351"/>
      <c r="G14" s="349"/>
      <c r="H14" s="350"/>
      <c r="I14" s="350"/>
      <c r="J14" s="350"/>
      <c r="K14" s="351"/>
      <c r="L14" s="349"/>
      <c r="M14" s="350"/>
      <c r="N14" s="350"/>
      <c r="O14" s="350"/>
      <c r="P14" s="351"/>
      <c r="Q14" s="349"/>
      <c r="R14" s="350"/>
      <c r="S14" s="350"/>
      <c r="T14" s="350"/>
      <c r="U14" s="351"/>
      <c r="V14" s="349"/>
      <c r="W14" s="350"/>
      <c r="X14" s="350"/>
      <c r="Y14" s="350"/>
      <c r="Z14" s="351"/>
      <c r="AA14" s="349"/>
      <c r="AB14" s="350"/>
      <c r="AC14" s="350"/>
      <c r="AD14" s="350"/>
      <c r="AE14" s="351"/>
      <c r="AF14" s="349"/>
      <c r="AG14" s="350"/>
      <c r="AH14" s="350"/>
      <c r="AI14" s="350"/>
      <c r="AJ14" s="351"/>
      <c r="AK14" s="349"/>
      <c r="AL14" s="350"/>
      <c r="AM14" s="350"/>
      <c r="AN14" s="350"/>
      <c r="AO14" s="351"/>
      <c r="AP14" s="349"/>
      <c r="AQ14" s="350"/>
      <c r="AR14" s="350"/>
      <c r="AS14" s="350"/>
      <c r="AT14" s="351"/>
      <c r="AU14" s="349"/>
      <c r="AV14" s="350"/>
      <c r="AW14" s="350"/>
      <c r="AX14" s="350"/>
      <c r="AY14" s="351"/>
      <c r="AZ14" s="349"/>
      <c r="BA14" s="350"/>
      <c r="BB14" s="350"/>
      <c r="BC14" s="350"/>
      <c r="BD14" s="351"/>
      <c r="BE14" s="349"/>
      <c r="BF14" s="350"/>
      <c r="BG14" s="350"/>
      <c r="BH14" s="350"/>
      <c r="BI14" s="351"/>
      <c r="BJ14" s="349"/>
      <c r="BK14" s="350"/>
      <c r="BL14" s="350"/>
      <c r="BM14" s="350"/>
      <c r="BN14" s="350"/>
      <c r="BO14" s="349"/>
      <c r="BP14" s="350"/>
      <c r="BQ14" s="350"/>
      <c r="BR14" s="350"/>
      <c r="BS14" s="351"/>
      <c r="BT14" s="349"/>
      <c r="BU14" s="350"/>
      <c r="BV14" s="350"/>
      <c r="BW14" s="350"/>
      <c r="BX14" s="351"/>
      <c r="BY14" s="349"/>
      <c r="BZ14" s="350"/>
      <c r="CA14" s="350"/>
      <c r="CB14" s="350"/>
      <c r="CC14" s="351"/>
      <c r="CD14" s="349"/>
      <c r="CE14" s="350"/>
      <c r="CF14" s="350"/>
      <c r="CG14" s="350"/>
      <c r="CH14" s="351"/>
      <c r="CI14" s="349"/>
      <c r="CJ14" s="350"/>
      <c r="CK14" s="350"/>
      <c r="CL14" s="350"/>
      <c r="CM14" s="351"/>
      <c r="CN14" s="349"/>
      <c r="CO14" s="350"/>
      <c r="CP14" s="350"/>
      <c r="CQ14" s="350"/>
      <c r="CR14" s="351"/>
      <c r="CS14" s="349"/>
      <c r="CT14" s="350"/>
      <c r="CU14" s="350"/>
      <c r="CV14" s="350"/>
      <c r="CW14" s="351"/>
      <c r="CX14" s="349"/>
      <c r="CY14" s="350"/>
      <c r="CZ14" s="350"/>
      <c r="DA14" s="350"/>
      <c r="DB14" s="351"/>
      <c r="DC14" s="349"/>
      <c r="DD14" s="350"/>
      <c r="DE14" s="350"/>
      <c r="DF14" s="350"/>
      <c r="DG14" s="351"/>
      <c r="DH14" s="349"/>
      <c r="DI14" s="350"/>
      <c r="DJ14" s="350"/>
      <c r="DK14" s="350"/>
      <c r="DL14" s="351"/>
      <c r="DM14" s="349"/>
      <c r="DN14" s="350"/>
      <c r="DO14" s="350"/>
      <c r="DP14" s="350"/>
      <c r="DQ14" s="351"/>
      <c r="DR14" s="349"/>
      <c r="DS14" s="350"/>
      <c r="DT14" s="350"/>
      <c r="DU14" s="350"/>
      <c r="DV14" s="351"/>
      <c r="DW14" s="349"/>
      <c r="DX14" s="350"/>
      <c r="DY14" s="350"/>
      <c r="DZ14" s="350"/>
      <c r="EA14" s="351"/>
      <c r="EB14" s="349"/>
      <c r="EC14" s="350"/>
      <c r="ED14" s="350"/>
      <c r="EE14" s="350"/>
      <c r="EF14" s="351"/>
      <c r="EG14" s="349"/>
      <c r="EH14" s="350"/>
      <c r="EI14" s="350"/>
      <c r="EJ14" s="350"/>
      <c r="EK14" s="351"/>
      <c r="EL14" s="349"/>
      <c r="EM14" s="350"/>
      <c r="EN14" s="350"/>
      <c r="EO14" s="350"/>
      <c r="EP14" s="351"/>
      <c r="EQ14" s="349"/>
      <c r="ER14" s="350"/>
      <c r="ES14" s="350"/>
      <c r="ET14" s="350"/>
      <c r="EU14" s="351"/>
      <c r="EV14" s="349"/>
      <c r="EW14" s="350"/>
      <c r="EX14" s="350"/>
      <c r="EY14" s="350"/>
      <c r="EZ14" s="351"/>
      <c r="FA14" s="349"/>
      <c r="FB14" s="350"/>
      <c r="FC14" s="350"/>
      <c r="FD14" s="350"/>
      <c r="FE14" s="351"/>
      <c r="FF14" s="349"/>
      <c r="FG14" s="350"/>
      <c r="FH14" s="350"/>
      <c r="FI14" s="350"/>
      <c r="FJ14" s="351"/>
      <c r="FK14" s="349"/>
      <c r="FL14" s="350"/>
      <c r="FM14" s="350"/>
      <c r="FN14" s="350"/>
      <c r="FO14" s="351"/>
      <c r="FP14" s="349" t="n">
        <v>5</v>
      </c>
      <c r="FQ14" s="349" t="n">
        <v>5</v>
      </c>
      <c r="FR14" s="349" t="n">
        <v>5</v>
      </c>
      <c r="FS14" s="350" t="n">
        <v>3</v>
      </c>
      <c r="FT14" s="351" t="n">
        <v>5</v>
      </c>
      <c r="FU14" s="349" t="n">
        <v>5</v>
      </c>
      <c r="FV14" s="350" t="n">
        <v>5</v>
      </c>
      <c r="FW14" s="350" t="n">
        <v>5</v>
      </c>
      <c r="FX14" s="350" t="n">
        <v>5</v>
      </c>
      <c r="FY14" s="351" t="n">
        <v>5</v>
      </c>
      <c r="FZ14" s="349"/>
      <c r="GA14" s="350"/>
      <c r="GB14" s="350"/>
      <c r="GC14" s="350"/>
      <c r="GD14" s="351"/>
      <c r="GE14" s="349" t="n">
        <v>3</v>
      </c>
      <c r="GF14" s="350" t="n">
        <v>5</v>
      </c>
      <c r="GG14" s="350"/>
      <c r="GH14" s="350" t="n">
        <v>5</v>
      </c>
      <c r="GI14" s="351" t="n">
        <v>5</v>
      </c>
      <c r="GJ14" s="349" t="n">
        <v>5</v>
      </c>
      <c r="GK14" s="350" t="n">
        <v>5</v>
      </c>
      <c r="GL14" s="350" t="n">
        <v>3</v>
      </c>
      <c r="GM14" s="350" t="n">
        <v>5</v>
      </c>
      <c r="GN14" s="351" t="n">
        <v>3</v>
      </c>
      <c r="GO14" s="349"/>
      <c r="GP14" s="350"/>
      <c r="GQ14" s="350"/>
      <c r="GR14" s="350"/>
      <c r="GS14" s="351"/>
      <c r="GT14" s="349"/>
      <c r="GU14" s="350"/>
      <c r="GV14" s="350"/>
      <c r="GW14" s="350"/>
      <c r="GX14" s="351"/>
      <c r="GY14" s="349"/>
      <c r="GZ14" s="350"/>
      <c r="HA14" s="350"/>
      <c r="HB14" s="350"/>
      <c r="HC14" s="351"/>
      <c r="HD14" s="349" t="n">
        <v>3</v>
      </c>
      <c r="HE14" s="350" t="n">
        <v>5</v>
      </c>
      <c r="HF14" s="350" t="n">
        <v>3</v>
      </c>
      <c r="HG14" s="350" t="n">
        <v>5</v>
      </c>
      <c r="HH14" s="351" t="n">
        <v>5</v>
      </c>
      <c r="HI14" s="349"/>
      <c r="HJ14" s="350"/>
      <c r="HK14" s="350"/>
      <c r="HL14" s="350"/>
      <c r="HM14" s="351"/>
      <c r="HN14" s="349"/>
      <c r="HO14" s="350"/>
      <c r="HP14" s="350"/>
      <c r="HQ14" s="350"/>
      <c r="HR14" s="351"/>
      <c r="HS14" s="349"/>
      <c r="HT14" s="350"/>
      <c r="HU14" s="350"/>
      <c r="HV14" s="350"/>
      <c r="HW14" s="351"/>
      <c r="HX14" s="349"/>
      <c r="HY14" s="350"/>
      <c r="HZ14" s="350"/>
      <c r="IA14" s="350"/>
      <c r="IB14" s="351"/>
      <c r="IC14" s="349"/>
      <c r="ID14" s="350"/>
      <c r="IE14" s="350"/>
      <c r="IF14" s="350"/>
      <c r="IG14" s="351"/>
      <c r="IH14" s="353" t="n">
        <f aca="false">+AVERAGE(B14:IB14)</f>
        <v>4.5</v>
      </c>
    </row>
    <row r="15" customFormat="false" ht="15.5" hidden="false" customHeight="false" outlineLevel="0" collapsed="false">
      <c r="A15" s="348" t="s">
        <v>517</v>
      </c>
      <c r="B15" s="349"/>
      <c r="C15" s="350"/>
      <c r="D15" s="350"/>
      <c r="E15" s="350"/>
      <c r="F15" s="351"/>
      <c r="G15" s="349"/>
      <c r="H15" s="350"/>
      <c r="I15" s="350"/>
      <c r="J15" s="350"/>
      <c r="K15" s="351"/>
      <c r="L15" s="349"/>
      <c r="M15" s="350"/>
      <c r="N15" s="350"/>
      <c r="O15" s="350"/>
      <c r="P15" s="351"/>
      <c r="Q15" s="349"/>
      <c r="R15" s="350"/>
      <c r="S15" s="350"/>
      <c r="T15" s="350"/>
      <c r="U15" s="351"/>
      <c r="V15" s="349"/>
      <c r="W15" s="350"/>
      <c r="X15" s="350"/>
      <c r="Y15" s="350"/>
      <c r="Z15" s="351"/>
      <c r="AA15" s="349"/>
      <c r="AB15" s="350"/>
      <c r="AC15" s="350"/>
      <c r="AD15" s="350"/>
      <c r="AE15" s="351"/>
      <c r="AF15" s="349"/>
      <c r="AG15" s="350"/>
      <c r="AH15" s="350"/>
      <c r="AI15" s="350"/>
      <c r="AJ15" s="351"/>
      <c r="AK15" s="349"/>
      <c r="AL15" s="350"/>
      <c r="AM15" s="350"/>
      <c r="AN15" s="350"/>
      <c r="AO15" s="351"/>
      <c r="AP15" s="349"/>
      <c r="AQ15" s="350"/>
      <c r="AR15" s="350"/>
      <c r="AS15" s="350"/>
      <c r="AT15" s="351"/>
      <c r="AU15" s="349"/>
      <c r="AV15" s="350"/>
      <c r="AW15" s="350"/>
      <c r="AX15" s="350"/>
      <c r="AY15" s="351"/>
      <c r="AZ15" s="349"/>
      <c r="BA15" s="350"/>
      <c r="BB15" s="350"/>
      <c r="BC15" s="350"/>
      <c r="BD15" s="351"/>
      <c r="BE15" s="349"/>
      <c r="BF15" s="350"/>
      <c r="BG15" s="350"/>
      <c r="BH15" s="350"/>
      <c r="BI15" s="351"/>
      <c r="BJ15" s="349"/>
      <c r="BK15" s="350"/>
      <c r="BL15" s="350"/>
      <c r="BM15" s="350"/>
      <c r="BN15" s="350"/>
      <c r="BO15" s="349"/>
      <c r="BP15" s="350"/>
      <c r="BQ15" s="350"/>
      <c r="BR15" s="350"/>
      <c r="BS15" s="351"/>
      <c r="BT15" s="349"/>
      <c r="BU15" s="350"/>
      <c r="BV15" s="350"/>
      <c r="BW15" s="350"/>
      <c r="BX15" s="351"/>
      <c r="BY15" s="349"/>
      <c r="BZ15" s="350" t="n">
        <v>5</v>
      </c>
      <c r="CA15" s="350" t="n">
        <v>5</v>
      </c>
      <c r="CB15" s="350" t="n">
        <v>3</v>
      </c>
      <c r="CC15" s="351" t="n">
        <v>5</v>
      </c>
      <c r="CD15" s="349" t="n">
        <v>5</v>
      </c>
      <c r="CE15" s="350" t="n">
        <v>5</v>
      </c>
      <c r="CF15" s="350" t="n">
        <v>5</v>
      </c>
      <c r="CG15" s="350" t="n">
        <v>5</v>
      </c>
      <c r="CH15" s="351" t="n">
        <v>5</v>
      </c>
      <c r="CI15" s="349"/>
      <c r="CJ15" s="350"/>
      <c r="CK15" s="350"/>
      <c r="CL15" s="350"/>
      <c r="CM15" s="351"/>
      <c r="CN15" s="349" t="n">
        <v>3</v>
      </c>
      <c r="CO15" s="350"/>
      <c r="CP15" s="350" t="n">
        <v>5</v>
      </c>
      <c r="CQ15" s="350" t="n">
        <v>1</v>
      </c>
      <c r="CR15" s="351" t="n">
        <v>3</v>
      </c>
      <c r="CS15" s="349"/>
      <c r="CT15" s="350"/>
      <c r="CU15" s="350"/>
      <c r="CV15" s="350"/>
      <c r="CW15" s="351"/>
      <c r="CX15" s="349"/>
      <c r="CY15" s="350"/>
      <c r="CZ15" s="350"/>
      <c r="DA15" s="350"/>
      <c r="DB15" s="351"/>
      <c r="DC15" s="349"/>
      <c r="DD15" s="350"/>
      <c r="DE15" s="350"/>
      <c r="DF15" s="350"/>
      <c r="DG15" s="351"/>
      <c r="DH15" s="349" t="n">
        <v>1</v>
      </c>
      <c r="DI15" s="350" t="n">
        <v>5</v>
      </c>
      <c r="DJ15" s="350" t="n">
        <v>5</v>
      </c>
      <c r="DK15" s="350" t="n">
        <v>5</v>
      </c>
      <c r="DL15" s="351" t="n">
        <v>5</v>
      </c>
      <c r="DM15" s="349" t="n">
        <v>3</v>
      </c>
      <c r="DN15" s="350" t="n">
        <v>5</v>
      </c>
      <c r="DO15" s="350" t="n">
        <v>5</v>
      </c>
      <c r="DP15" s="350" t="n">
        <v>5</v>
      </c>
      <c r="DQ15" s="351" t="n">
        <v>5</v>
      </c>
      <c r="DR15" s="349" t="n">
        <v>3</v>
      </c>
      <c r="DS15" s="350"/>
      <c r="DT15" s="350" t="n">
        <v>5</v>
      </c>
      <c r="DU15" s="350" t="n">
        <v>5</v>
      </c>
      <c r="DV15" s="351" t="n">
        <v>5</v>
      </c>
      <c r="DW15" s="349"/>
      <c r="DX15" s="350"/>
      <c r="DY15" s="350"/>
      <c r="DZ15" s="350"/>
      <c r="EA15" s="351"/>
      <c r="EB15" s="349" t="n">
        <v>5</v>
      </c>
      <c r="EC15" s="350" t="n">
        <v>5</v>
      </c>
      <c r="ED15" s="350" t="n">
        <v>5</v>
      </c>
      <c r="EE15" s="350" t="n">
        <v>5</v>
      </c>
      <c r="EF15" s="351" t="n">
        <v>5</v>
      </c>
      <c r="EG15" s="349"/>
      <c r="EH15" s="350"/>
      <c r="EI15" s="350"/>
      <c r="EJ15" s="350"/>
      <c r="EK15" s="351"/>
      <c r="EL15" s="349"/>
      <c r="EM15" s="350"/>
      <c r="EN15" s="350"/>
      <c r="EO15" s="350"/>
      <c r="EP15" s="351"/>
      <c r="EQ15" s="349"/>
      <c r="ER15" s="350"/>
      <c r="ES15" s="350"/>
      <c r="ET15" s="350"/>
      <c r="EU15" s="351"/>
      <c r="EV15" s="349"/>
      <c r="EW15" s="350"/>
      <c r="EX15" s="350"/>
      <c r="EY15" s="350"/>
      <c r="EZ15" s="351"/>
      <c r="FA15" s="349"/>
      <c r="FB15" s="350"/>
      <c r="FC15" s="350"/>
      <c r="FD15" s="350"/>
      <c r="FE15" s="351"/>
      <c r="FF15" s="349"/>
      <c r="FG15" s="350"/>
      <c r="FH15" s="350"/>
      <c r="FI15" s="350"/>
      <c r="FJ15" s="351"/>
      <c r="FK15" s="349"/>
      <c r="FL15" s="350"/>
      <c r="FM15" s="350"/>
      <c r="FN15" s="350"/>
      <c r="FO15" s="351"/>
      <c r="FP15" s="349" t="n">
        <v>5</v>
      </c>
      <c r="FQ15" s="349" t="n">
        <v>5</v>
      </c>
      <c r="FR15" s="349" t="n">
        <v>5</v>
      </c>
      <c r="FS15" s="350" t="n">
        <v>3</v>
      </c>
      <c r="FT15" s="351" t="n">
        <v>5</v>
      </c>
      <c r="FU15" s="349" t="n">
        <v>3</v>
      </c>
      <c r="FV15" s="350" t="n">
        <v>5</v>
      </c>
      <c r="FW15" s="350" t="n">
        <v>3</v>
      </c>
      <c r="FX15" s="350" t="n">
        <v>5</v>
      </c>
      <c r="FY15" s="351" t="n">
        <v>5</v>
      </c>
      <c r="FZ15" s="349"/>
      <c r="GA15" s="350"/>
      <c r="GB15" s="350"/>
      <c r="GC15" s="350"/>
      <c r="GD15" s="351"/>
      <c r="GE15" s="349"/>
      <c r="GF15" s="350"/>
      <c r="GG15" s="350"/>
      <c r="GH15" s="350"/>
      <c r="GI15" s="351"/>
      <c r="GJ15" s="349"/>
      <c r="GK15" s="350"/>
      <c r="GL15" s="350" t="n">
        <v>3</v>
      </c>
      <c r="GM15" s="350"/>
      <c r="GN15" s="351"/>
      <c r="GO15" s="349"/>
      <c r="GP15" s="350"/>
      <c r="GQ15" s="350"/>
      <c r="GR15" s="350"/>
      <c r="GS15" s="351"/>
      <c r="GT15" s="349"/>
      <c r="GU15" s="350"/>
      <c r="GV15" s="350"/>
      <c r="GW15" s="350"/>
      <c r="GX15" s="351"/>
      <c r="GY15" s="349"/>
      <c r="GZ15" s="350"/>
      <c r="HA15" s="350"/>
      <c r="HB15" s="350"/>
      <c r="HC15" s="351"/>
      <c r="HD15" s="349"/>
      <c r="HE15" s="350"/>
      <c r="HF15" s="350"/>
      <c r="HG15" s="350"/>
      <c r="HH15" s="351"/>
      <c r="HI15" s="349"/>
      <c r="HJ15" s="350"/>
      <c r="HK15" s="350"/>
      <c r="HL15" s="350"/>
      <c r="HM15" s="351"/>
      <c r="HN15" s="349"/>
      <c r="HO15" s="350"/>
      <c r="HP15" s="350"/>
      <c r="HQ15" s="350"/>
      <c r="HR15" s="351"/>
      <c r="HS15" s="349"/>
      <c r="HT15" s="350"/>
      <c r="HU15" s="350"/>
      <c r="HV15" s="350"/>
      <c r="HW15" s="351"/>
      <c r="HX15" s="349"/>
      <c r="HY15" s="350"/>
      <c r="HZ15" s="350"/>
      <c r="IA15" s="350"/>
      <c r="IB15" s="351"/>
      <c r="IC15" s="349"/>
      <c r="ID15" s="350"/>
      <c r="IE15" s="350"/>
      <c r="IF15" s="350"/>
      <c r="IG15" s="351"/>
      <c r="IH15" s="353" t="n">
        <f aca="false">+AVERAGE(B15:IB15)</f>
        <v>4.3953488372093</v>
      </c>
    </row>
    <row r="16" customFormat="false" ht="15.5" hidden="false" customHeight="false" outlineLevel="0" collapsed="false">
      <c r="A16" s="348" t="s">
        <v>518</v>
      </c>
      <c r="B16" s="349"/>
      <c r="C16" s="350"/>
      <c r="D16" s="350"/>
      <c r="E16" s="350"/>
      <c r="F16" s="351"/>
      <c r="G16" s="349"/>
      <c r="H16" s="350"/>
      <c r="I16" s="350"/>
      <c r="J16" s="350"/>
      <c r="K16" s="351"/>
      <c r="L16" s="349"/>
      <c r="M16" s="350"/>
      <c r="N16" s="350"/>
      <c r="O16" s="350"/>
      <c r="P16" s="351"/>
      <c r="Q16" s="349"/>
      <c r="R16" s="350"/>
      <c r="S16" s="350"/>
      <c r="T16" s="350"/>
      <c r="U16" s="351"/>
      <c r="V16" s="349"/>
      <c r="W16" s="350"/>
      <c r="X16" s="350"/>
      <c r="Y16" s="350"/>
      <c r="Z16" s="351"/>
      <c r="AA16" s="349"/>
      <c r="AB16" s="350"/>
      <c r="AC16" s="350"/>
      <c r="AD16" s="350"/>
      <c r="AE16" s="351"/>
      <c r="AF16" s="349"/>
      <c r="AG16" s="350"/>
      <c r="AH16" s="350"/>
      <c r="AI16" s="350"/>
      <c r="AJ16" s="351"/>
      <c r="AK16" s="349"/>
      <c r="AL16" s="350"/>
      <c r="AM16" s="350"/>
      <c r="AN16" s="350"/>
      <c r="AO16" s="351"/>
      <c r="AP16" s="349"/>
      <c r="AQ16" s="350"/>
      <c r="AR16" s="350"/>
      <c r="AS16" s="350"/>
      <c r="AT16" s="351"/>
      <c r="AU16" s="349"/>
      <c r="AV16" s="350"/>
      <c r="AW16" s="350"/>
      <c r="AX16" s="350"/>
      <c r="AY16" s="351"/>
      <c r="AZ16" s="349"/>
      <c r="BA16" s="350"/>
      <c r="BB16" s="350"/>
      <c r="BC16" s="350"/>
      <c r="BD16" s="351"/>
      <c r="BE16" s="349"/>
      <c r="BF16" s="350"/>
      <c r="BG16" s="350"/>
      <c r="BH16" s="350"/>
      <c r="BI16" s="351"/>
      <c r="BJ16" s="349"/>
      <c r="BK16" s="350"/>
      <c r="BL16" s="350"/>
      <c r="BM16" s="350"/>
      <c r="BN16" s="350"/>
      <c r="BO16" s="349"/>
      <c r="BP16" s="350"/>
      <c r="BQ16" s="350"/>
      <c r="BR16" s="350"/>
      <c r="BS16" s="351"/>
      <c r="BT16" s="349"/>
      <c r="BU16" s="350"/>
      <c r="BV16" s="350"/>
      <c r="BW16" s="350"/>
      <c r="BX16" s="351"/>
      <c r="BY16" s="349"/>
      <c r="BZ16" s="350"/>
      <c r="CA16" s="350" t="n">
        <v>5</v>
      </c>
      <c r="CB16" s="350" t="n">
        <v>3</v>
      </c>
      <c r="CC16" s="351"/>
      <c r="CD16" s="349"/>
      <c r="CE16" s="350"/>
      <c r="CF16" s="350"/>
      <c r="CG16" s="350"/>
      <c r="CH16" s="351"/>
      <c r="CI16" s="349"/>
      <c r="CJ16" s="350"/>
      <c r="CK16" s="350"/>
      <c r="CL16" s="350"/>
      <c r="CM16" s="351"/>
      <c r="CN16" s="349"/>
      <c r="CO16" s="350"/>
      <c r="CP16" s="350"/>
      <c r="CQ16" s="350"/>
      <c r="CR16" s="351"/>
      <c r="CS16" s="349"/>
      <c r="CT16" s="350"/>
      <c r="CU16" s="350"/>
      <c r="CV16" s="350"/>
      <c r="CW16" s="351"/>
      <c r="CX16" s="349"/>
      <c r="CY16" s="350"/>
      <c r="CZ16" s="350"/>
      <c r="DA16" s="350"/>
      <c r="DB16" s="351"/>
      <c r="DC16" s="349"/>
      <c r="DD16" s="350"/>
      <c r="DE16" s="350"/>
      <c r="DF16" s="350"/>
      <c r="DG16" s="351"/>
      <c r="DH16" s="349"/>
      <c r="DI16" s="350"/>
      <c r="DJ16" s="350"/>
      <c r="DK16" s="350"/>
      <c r="DL16" s="351"/>
      <c r="DM16" s="349"/>
      <c r="DN16" s="350" t="n">
        <v>5</v>
      </c>
      <c r="DO16" s="350" t="n">
        <v>5</v>
      </c>
      <c r="DP16" s="350" t="n">
        <v>5</v>
      </c>
      <c r="DQ16" s="351" t="n">
        <v>5</v>
      </c>
      <c r="DR16" s="349" t="n">
        <v>5</v>
      </c>
      <c r="DS16" s="350"/>
      <c r="DT16" s="350" t="n">
        <v>5</v>
      </c>
      <c r="DU16" s="350" t="n">
        <v>5</v>
      </c>
      <c r="DV16" s="351" t="n">
        <v>5</v>
      </c>
      <c r="DW16" s="349"/>
      <c r="DX16" s="350"/>
      <c r="DY16" s="350"/>
      <c r="DZ16" s="350"/>
      <c r="EA16" s="351"/>
      <c r="EB16" s="349" t="n">
        <v>3</v>
      </c>
      <c r="EC16" s="350" t="n">
        <v>5</v>
      </c>
      <c r="ED16" s="350" t="n">
        <v>5</v>
      </c>
      <c r="EE16" s="350" t="n">
        <v>5</v>
      </c>
      <c r="EF16" s="351" t="n">
        <v>5</v>
      </c>
      <c r="EG16" s="349"/>
      <c r="EH16" s="350"/>
      <c r="EI16" s="350"/>
      <c r="EJ16" s="350"/>
      <c r="EK16" s="351"/>
      <c r="EL16" s="349"/>
      <c r="EM16" s="350" t="n">
        <v>5</v>
      </c>
      <c r="EN16" s="350" t="n">
        <v>5</v>
      </c>
      <c r="EO16" s="350" t="n">
        <v>3</v>
      </c>
      <c r="EP16" s="351" t="n">
        <v>5</v>
      </c>
      <c r="EQ16" s="349" t="n">
        <v>3</v>
      </c>
      <c r="ER16" s="350" t="n">
        <v>5</v>
      </c>
      <c r="ES16" s="350" t="n">
        <v>5</v>
      </c>
      <c r="ET16" s="350" t="n">
        <v>1</v>
      </c>
      <c r="EU16" s="351" t="n">
        <v>3</v>
      </c>
      <c r="EV16" s="349"/>
      <c r="EW16" s="350"/>
      <c r="EX16" s="350"/>
      <c r="EY16" s="350"/>
      <c r="EZ16" s="351"/>
      <c r="FA16" s="349" t="n">
        <v>5</v>
      </c>
      <c r="FB16" s="350" t="n">
        <v>5</v>
      </c>
      <c r="FC16" s="350" t="n">
        <v>5</v>
      </c>
      <c r="FD16" s="350" t="n">
        <v>5</v>
      </c>
      <c r="FE16" s="351" t="n">
        <v>5</v>
      </c>
      <c r="FF16" s="349"/>
      <c r="FG16" s="350"/>
      <c r="FH16" s="350"/>
      <c r="FI16" s="350"/>
      <c r="FJ16" s="351"/>
      <c r="FK16" s="349"/>
      <c r="FL16" s="350"/>
      <c r="FM16" s="350"/>
      <c r="FN16" s="350"/>
      <c r="FO16" s="351"/>
      <c r="FP16" s="349"/>
      <c r="FQ16" s="350"/>
      <c r="FR16" s="350"/>
      <c r="FS16" s="350"/>
      <c r="FT16" s="351"/>
      <c r="FU16" s="349" t="n">
        <v>1</v>
      </c>
      <c r="FV16" s="350" t="n">
        <v>5</v>
      </c>
      <c r="FW16" s="350" t="n">
        <v>3</v>
      </c>
      <c r="FX16" s="350" t="n">
        <v>5</v>
      </c>
      <c r="FY16" s="351" t="n">
        <v>3</v>
      </c>
      <c r="FZ16" s="349"/>
      <c r="GA16" s="350"/>
      <c r="GB16" s="350"/>
      <c r="GC16" s="350"/>
      <c r="GD16" s="351"/>
      <c r="GE16" s="349" t="n">
        <v>5</v>
      </c>
      <c r="GF16" s="350" t="n">
        <v>5</v>
      </c>
      <c r="GG16" s="350"/>
      <c r="GH16" s="350" t="n">
        <v>5</v>
      </c>
      <c r="GI16" s="351" t="n">
        <v>5</v>
      </c>
      <c r="GJ16" s="349"/>
      <c r="GK16" s="350"/>
      <c r="GL16" s="350"/>
      <c r="GM16" s="350"/>
      <c r="GN16" s="351"/>
      <c r="GO16" s="349"/>
      <c r="GP16" s="350"/>
      <c r="GQ16" s="350"/>
      <c r="GR16" s="350"/>
      <c r="GS16" s="351"/>
      <c r="GT16" s="349"/>
      <c r="GU16" s="350"/>
      <c r="GV16" s="350"/>
      <c r="GW16" s="350"/>
      <c r="GX16" s="351"/>
      <c r="GY16" s="349"/>
      <c r="GZ16" s="350"/>
      <c r="HA16" s="350"/>
      <c r="HB16" s="350"/>
      <c r="HC16" s="351"/>
      <c r="HD16" s="349"/>
      <c r="HE16" s="350"/>
      <c r="HF16" s="350"/>
      <c r="HG16" s="350"/>
      <c r="HH16" s="351"/>
      <c r="HI16" s="349"/>
      <c r="HJ16" s="350"/>
      <c r="HK16" s="350"/>
      <c r="HL16" s="350"/>
      <c r="HM16" s="351"/>
      <c r="HN16" s="349"/>
      <c r="HO16" s="350"/>
      <c r="HP16" s="350"/>
      <c r="HQ16" s="350"/>
      <c r="HR16" s="351"/>
      <c r="HS16" s="349"/>
      <c r="HT16" s="350"/>
      <c r="HU16" s="350"/>
      <c r="HV16" s="350"/>
      <c r="HW16" s="351"/>
      <c r="HX16" s="349"/>
      <c r="HY16" s="350"/>
      <c r="HZ16" s="350"/>
      <c r="IA16" s="350"/>
      <c r="IB16" s="351"/>
      <c r="IC16" s="349"/>
      <c r="ID16" s="350"/>
      <c r="IE16" s="350"/>
      <c r="IF16" s="350"/>
      <c r="IG16" s="351"/>
      <c r="IH16" s="353" t="n">
        <f aca="false">+AVERAGE(B16:IB16)</f>
        <v>4.42105263157895</v>
      </c>
    </row>
    <row r="17" customFormat="false" ht="15.5" hidden="false" customHeight="false" outlineLevel="0" collapsed="false">
      <c r="A17" s="348" t="s">
        <v>519</v>
      </c>
      <c r="B17" s="349"/>
      <c r="C17" s="350"/>
      <c r="D17" s="350"/>
      <c r="E17" s="350"/>
      <c r="F17" s="351"/>
      <c r="G17" s="349"/>
      <c r="H17" s="350"/>
      <c r="I17" s="350"/>
      <c r="J17" s="350"/>
      <c r="K17" s="351"/>
      <c r="L17" s="349"/>
      <c r="M17" s="350"/>
      <c r="N17" s="350"/>
      <c r="O17" s="350"/>
      <c r="P17" s="351"/>
      <c r="Q17" s="349"/>
      <c r="R17" s="350"/>
      <c r="S17" s="350"/>
      <c r="T17" s="350"/>
      <c r="U17" s="351"/>
      <c r="V17" s="349"/>
      <c r="W17" s="350"/>
      <c r="X17" s="350"/>
      <c r="Y17" s="350"/>
      <c r="Z17" s="351"/>
      <c r="AA17" s="349"/>
      <c r="AB17" s="350"/>
      <c r="AC17" s="350"/>
      <c r="AD17" s="350"/>
      <c r="AE17" s="351"/>
      <c r="AF17" s="349"/>
      <c r="AG17" s="350"/>
      <c r="AH17" s="350"/>
      <c r="AI17" s="350"/>
      <c r="AJ17" s="351"/>
      <c r="AK17" s="349"/>
      <c r="AL17" s="350"/>
      <c r="AM17" s="350"/>
      <c r="AN17" s="350"/>
      <c r="AO17" s="351"/>
      <c r="AP17" s="349"/>
      <c r="AQ17" s="350"/>
      <c r="AR17" s="350"/>
      <c r="AS17" s="350"/>
      <c r="AT17" s="351"/>
      <c r="AU17" s="349"/>
      <c r="AV17" s="350"/>
      <c r="AW17" s="350"/>
      <c r="AX17" s="350"/>
      <c r="AY17" s="351"/>
      <c r="AZ17" s="349"/>
      <c r="BA17" s="350"/>
      <c r="BB17" s="350"/>
      <c r="BC17" s="350"/>
      <c r="BD17" s="351"/>
      <c r="BE17" s="349"/>
      <c r="BF17" s="350"/>
      <c r="BG17" s="350"/>
      <c r="BH17" s="350"/>
      <c r="BI17" s="351"/>
      <c r="BJ17" s="349"/>
      <c r="BK17" s="350"/>
      <c r="BL17" s="350"/>
      <c r="BM17" s="350"/>
      <c r="BN17" s="350"/>
      <c r="BO17" s="349"/>
      <c r="BP17" s="350"/>
      <c r="BQ17" s="350"/>
      <c r="BR17" s="350"/>
      <c r="BS17" s="351"/>
      <c r="BT17" s="349"/>
      <c r="BU17" s="350"/>
      <c r="BV17" s="350"/>
      <c r="BW17" s="350"/>
      <c r="BX17" s="351"/>
      <c r="BY17" s="349"/>
      <c r="BZ17" s="350"/>
      <c r="CA17" s="350"/>
      <c r="CB17" s="350"/>
      <c r="CC17" s="351"/>
      <c r="CD17" s="349"/>
      <c r="CE17" s="350"/>
      <c r="CF17" s="350"/>
      <c r="CG17" s="350"/>
      <c r="CH17" s="351"/>
      <c r="CI17" s="349"/>
      <c r="CJ17" s="350"/>
      <c r="CK17" s="350"/>
      <c r="CL17" s="350"/>
      <c r="CM17" s="351"/>
      <c r="CN17" s="349"/>
      <c r="CO17" s="350"/>
      <c r="CP17" s="350"/>
      <c r="CQ17" s="350"/>
      <c r="CR17" s="351"/>
      <c r="CS17" s="349"/>
      <c r="CT17" s="350"/>
      <c r="CU17" s="350"/>
      <c r="CV17" s="350"/>
      <c r="CW17" s="351"/>
      <c r="CX17" s="349"/>
      <c r="CY17" s="350"/>
      <c r="CZ17" s="350"/>
      <c r="DA17" s="350"/>
      <c r="DB17" s="351"/>
      <c r="DC17" s="349"/>
      <c r="DD17" s="350"/>
      <c r="DE17" s="350"/>
      <c r="DF17" s="350"/>
      <c r="DG17" s="351"/>
      <c r="DH17" s="349"/>
      <c r="DI17" s="350"/>
      <c r="DJ17" s="350"/>
      <c r="DK17" s="350"/>
      <c r="DL17" s="351"/>
      <c r="DM17" s="349"/>
      <c r="DN17" s="350"/>
      <c r="DO17" s="350"/>
      <c r="DP17" s="350"/>
      <c r="DQ17" s="351"/>
      <c r="DR17" s="349"/>
      <c r="DS17" s="350"/>
      <c r="DT17" s="350"/>
      <c r="DU17" s="350"/>
      <c r="DV17" s="351"/>
      <c r="DW17" s="349"/>
      <c r="DX17" s="350"/>
      <c r="DY17" s="350"/>
      <c r="DZ17" s="350"/>
      <c r="EA17" s="351"/>
      <c r="EB17" s="349"/>
      <c r="EC17" s="350"/>
      <c r="ED17" s="350"/>
      <c r="EE17" s="350"/>
      <c r="EF17" s="351"/>
      <c r="EG17" s="349"/>
      <c r="EH17" s="350"/>
      <c r="EI17" s="350"/>
      <c r="EJ17" s="350"/>
      <c r="EK17" s="351"/>
      <c r="EL17" s="349"/>
      <c r="EM17" s="350"/>
      <c r="EN17" s="350"/>
      <c r="EO17" s="350"/>
      <c r="EP17" s="351"/>
      <c r="EQ17" s="349"/>
      <c r="ER17" s="350"/>
      <c r="ES17" s="350"/>
      <c r="ET17" s="350"/>
      <c r="EU17" s="351"/>
      <c r="EV17" s="349" t="n">
        <v>5</v>
      </c>
      <c r="EW17" s="350" t="n">
        <v>5</v>
      </c>
      <c r="EX17" s="350" t="n">
        <v>5</v>
      </c>
      <c r="EY17" s="350" t="n">
        <v>5</v>
      </c>
      <c r="EZ17" s="351" t="n">
        <v>5</v>
      </c>
      <c r="FA17" s="349" t="n">
        <v>5</v>
      </c>
      <c r="FB17" s="350" t="n">
        <v>5</v>
      </c>
      <c r="FC17" s="350" t="n">
        <v>5</v>
      </c>
      <c r="FD17" s="350" t="n">
        <v>5</v>
      </c>
      <c r="FE17" s="351" t="n">
        <v>3</v>
      </c>
      <c r="FF17" s="349" t="n">
        <v>5</v>
      </c>
      <c r="FG17" s="350" t="n">
        <v>5</v>
      </c>
      <c r="FH17" s="350" t="n">
        <v>5</v>
      </c>
      <c r="FI17" s="350" t="n">
        <v>5</v>
      </c>
      <c r="FJ17" s="351" t="n">
        <v>3</v>
      </c>
      <c r="FK17" s="349"/>
      <c r="FL17" s="350"/>
      <c r="FM17" s="350"/>
      <c r="FN17" s="350"/>
      <c r="FO17" s="351"/>
      <c r="FP17" s="349" t="n">
        <v>5</v>
      </c>
      <c r="FQ17" s="349" t="n">
        <v>5</v>
      </c>
      <c r="FR17" s="349" t="n">
        <v>5</v>
      </c>
      <c r="FS17" s="350" t="n">
        <v>5</v>
      </c>
      <c r="FT17" s="351" t="n">
        <v>5</v>
      </c>
      <c r="FU17" s="349" t="n">
        <v>5</v>
      </c>
      <c r="FV17" s="350" t="n">
        <v>5</v>
      </c>
      <c r="FW17" s="350" t="n">
        <v>5</v>
      </c>
      <c r="FX17" s="350" t="n">
        <v>5</v>
      </c>
      <c r="FY17" s="351" t="n">
        <v>5</v>
      </c>
      <c r="FZ17" s="349"/>
      <c r="GA17" s="350"/>
      <c r="GB17" s="350"/>
      <c r="GC17" s="350"/>
      <c r="GD17" s="351"/>
      <c r="GE17" s="349"/>
      <c r="GF17" s="350"/>
      <c r="GG17" s="350"/>
      <c r="GH17" s="350"/>
      <c r="GI17" s="351"/>
      <c r="GJ17" s="349"/>
      <c r="GK17" s="350"/>
      <c r="GL17" s="350"/>
      <c r="GM17" s="350"/>
      <c r="GN17" s="351"/>
      <c r="GO17" s="349"/>
      <c r="GP17" s="350"/>
      <c r="GQ17" s="350"/>
      <c r="GR17" s="350"/>
      <c r="GS17" s="351"/>
      <c r="GT17" s="349"/>
      <c r="GU17" s="350"/>
      <c r="GV17" s="350"/>
      <c r="GW17" s="350"/>
      <c r="GX17" s="351"/>
      <c r="GY17" s="349"/>
      <c r="GZ17" s="350"/>
      <c r="HA17" s="350"/>
      <c r="HB17" s="350"/>
      <c r="HC17" s="351"/>
      <c r="HD17" s="349"/>
      <c r="HE17" s="350"/>
      <c r="HF17" s="350"/>
      <c r="HG17" s="350"/>
      <c r="HH17" s="351"/>
      <c r="HI17" s="349"/>
      <c r="HJ17" s="350"/>
      <c r="HK17" s="350"/>
      <c r="HL17" s="350"/>
      <c r="HM17" s="351"/>
      <c r="HN17" s="349"/>
      <c r="HO17" s="350"/>
      <c r="HP17" s="350"/>
      <c r="HQ17" s="350"/>
      <c r="HR17" s="351"/>
      <c r="HS17" s="349"/>
      <c r="HT17" s="350"/>
      <c r="HU17" s="350"/>
      <c r="HV17" s="350"/>
      <c r="HW17" s="351"/>
      <c r="HX17" s="349"/>
      <c r="HY17" s="350"/>
      <c r="HZ17" s="350"/>
      <c r="IA17" s="350"/>
      <c r="IB17" s="351"/>
      <c r="IC17" s="349"/>
      <c r="ID17" s="350"/>
      <c r="IE17" s="350"/>
      <c r="IF17" s="350"/>
      <c r="IG17" s="351"/>
      <c r="IH17" s="353" t="n">
        <f aca="false">+AVERAGE(B17:IB17)</f>
        <v>4.84</v>
      </c>
    </row>
    <row r="18" customFormat="false" ht="15.5" hidden="false" customHeight="false" outlineLevel="0" collapsed="false">
      <c r="A18" s="348" t="s">
        <v>520</v>
      </c>
      <c r="B18" s="349" t="n">
        <v>5</v>
      </c>
      <c r="C18" s="350" t="n">
        <v>5</v>
      </c>
      <c r="D18" s="350" t="n">
        <v>5</v>
      </c>
      <c r="E18" s="350" t="n">
        <v>5</v>
      </c>
      <c r="F18" s="351" t="n">
        <v>5</v>
      </c>
      <c r="G18" s="349" t="n">
        <v>3</v>
      </c>
      <c r="H18" s="350" t="n">
        <v>5</v>
      </c>
      <c r="I18" s="350" t="n">
        <v>5</v>
      </c>
      <c r="J18" s="350" t="n">
        <v>5</v>
      </c>
      <c r="K18" s="351" t="n">
        <v>5</v>
      </c>
      <c r="L18" s="349" t="n">
        <v>5</v>
      </c>
      <c r="M18" s="350" t="n">
        <v>5</v>
      </c>
      <c r="N18" s="350" t="n">
        <v>5</v>
      </c>
      <c r="O18" s="350" t="n">
        <v>5</v>
      </c>
      <c r="P18" s="351" t="n">
        <v>5</v>
      </c>
      <c r="Q18" s="349" t="n">
        <v>5</v>
      </c>
      <c r="R18" s="350" t="n">
        <v>5</v>
      </c>
      <c r="S18" s="350" t="n">
        <v>5</v>
      </c>
      <c r="T18" s="350" t="n">
        <v>5</v>
      </c>
      <c r="U18" s="351" t="n">
        <v>5</v>
      </c>
      <c r="V18" s="349" t="n">
        <v>5</v>
      </c>
      <c r="W18" s="350" t="n">
        <v>6</v>
      </c>
      <c r="X18" s="350" t="n">
        <v>5</v>
      </c>
      <c r="Y18" s="350" t="n">
        <v>5</v>
      </c>
      <c r="Z18" s="351" t="n">
        <v>5</v>
      </c>
      <c r="AA18" s="349" t="n">
        <v>5</v>
      </c>
      <c r="AB18" s="350" t="n">
        <v>5</v>
      </c>
      <c r="AC18" s="350" t="n">
        <v>5</v>
      </c>
      <c r="AD18" s="350" t="n">
        <v>5</v>
      </c>
      <c r="AE18" s="351" t="n">
        <v>5</v>
      </c>
      <c r="AF18" s="349" t="n">
        <v>1</v>
      </c>
      <c r="AG18" s="350" t="n">
        <v>5</v>
      </c>
      <c r="AH18" s="350" t="n">
        <v>5</v>
      </c>
      <c r="AI18" s="350" t="n">
        <v>5</v>
      </c>
      <c r="AJ18" s="351" t="n">
        <v>5</v>
      </c>
      <c r="AK18" s="349" t="n">
        <v>1</v>
      </c>
      <c r="AL18" s="350" t="n">
        <v>5</v>
      </c>
      <c r="AM18" s="350" t="n">
        <v>5</v>
      </c>
      <c r="AN18" s="350" t="n">
        <v>5</v>
      </c>
      <c r="AO18" s="351" t="n">
        <v>5</v>
      </c>
      <c r="AP18" s="349" t="n">
        <v>5</v>
      </c>
      <c r="AQ18" s="350" t="n">
        <v>5</v>
      </c>
      <c r="AR18" s="350" t="n">
        <v>5</v>
      </c>
      <c r="AS18" s="350" t="n">
        <v>5</v>
      </c>
      <c r="AT18" s="351" t="n">
        <v>5</v>
      </c>
      <c r="AU18" s="349" t="n">
        <v>5</v>
      </c>
      <c r="AV18" s="350"/>
      <c r="AW18" s="350" t="n">
        <v>5</v>
      </c>
      <c r="AX18" s="350" t="n">
        <v>5</v>
      </c>
      <c r="AY18" s="351" t="n">
        <v>5</v>
      </c>
      <c r="AZ18" s="349" t="n">
        <v>5</v>
      </c>
      <c r="BA18" s="350"/>
      <c r="BB18" s="350" t="n">
        <v>5</v>
      </c>
      <c r="BC18" s="350" t="n">
        <v>5</v>
      </c>
      <c r="BD18" s="351" t="n">
        <v>5</v>
      </c>
      <c r="BE18" s="349" t="n">
        <v>5</v>
      </c>
      <c r="BF18" s="350" t="n">
        <v>5</v>
      </c>
      <c r="BG18" s="350" t="n">
        <v>5</v>
      </c>
      <c r="BH18" s="350" t="n">
        <v>5</v>
      </c>
      <c r="BI18" s="351" t="n">
        <v>5</v>
      </c>
      <c r="BJ18" s="349" t="n">
        <v>3</v>
      </c>
      <c r="BK18" s="350" t="n">
        <v>5</v>
      </c>
      <c r="BL18" s="350"/>
      <c r="BM18" s="350" t="n">
        <v>5</v>
      </c>
      <c r="BN18" s="350" t="n">
        <v>5</v>
      </c>
      <c r="BO18" s="349" t="n">
        <v>5</v>
      </c>
      <c r="BP18" s="350"/>
      <c r="BQ18" s="350" t="n">
        <v>5</v>
      </c>
      <c r="BR18" s="350" t="n">
        <v>5</v>
      </c>
      <c r="BS18" s="351" t="n">
        <v>5</v>
      </c>
      <c r="BT18" s="349" t="n">
        <v>5</v>
      </c>
      <c r="BU18" s="350" t="n">
        <v>5</v>
      </c>
      <c r="BV18" s="350" t="n">
        <v>5</v>
      </c>
      <c r="BW18" s="350" t="n">
        <v>5</v>
      </c>
      <c r="BX18" s="351" t="n">
        <v>5</v>
      </c>
      <c r="BY18" s="349" t="n">
        <v>5</v>
      </c>
      <c r="BZ18" s="349" t="n">
        <v>5</v>
      </c>
      <c r="CA18" s="350" t="n">
        <v>5</v>
      </c>
      <c r="CB18" s="350" t="n">
        <v>5</v>
      </c>
      <c r="CC18" s="351" t="n">
        <v>5</v>
      </c>
      <c r="CD18" s="349" t="n">
        <v>5</v>
      </c>
      <c r="CE18" s="350" t="n">
        <v>5</v>
      </c>
      <c r="CF18" s="350" t="n">
        <v>5</v>
      </c>
      <c r="CG18" s="350" t="n">
        <v>5</v>
      </c>
      <c r="CH18" s="351" t="n">
        <v>5</v>
      </c>
      <c r="CI18" s="349"/>
      <c r="CJ18" s="350"/>
      <c r="CK18" s="350"/>
      <c r="CL18" s="350"/>
      <c r="CM18" s="351"/>
      <c r="CN18" s="349" t="n">
        <v>5</v>
      </c>
      <c r="CO18" s="350"/>
      <c r="CP18" s="350" t="n">
        <v>5</v>
      </c>
      <c r="CQ18" s="350" t="n">
        <v>5</v>
      </c>
      <c r="CR18" s="351" t="n">
        <v>5</v>
      </c>
      <c r="CS18" s="349" t="n">
        <v>5</v>
      </c>
      <c r="CT18" s="350" t="n">
        <v>5</v>
      </c>
      <c r="CU18" s="350" t="n">
        <v>5</v>
      </c>
      <c r="CV18" s="350" t="n">
        <v>5</v>
      </c>
      <c r="CW18" s="351" t="n">
        <v>3</v>
      </c>
      <c r="CX18" s="349" t="n">
        <v>5</v>
      </c>
      <c r="CY18" s="350" t="n">
        <v>5</v>
      </c>
      <c r="CZ18" s="350" t="n">
        <v>5</v>
      </c>
      <c r="DA18" s="350" t="n">
        <v>5</v>
      </c>
      <c r="DB18" s="351" t="n">
        <v>5</v>
      </c>
      <c r="DC18" s="349" t="n">
        <v>5</v>
      </c>
      <c r="DD18" s="350" t="n">
        <v>5</v>
      </c>
      <c r="DE18" s="350" t="n">
        <v>5</v>
      </c>
      <c r="DF18" s="350" t="n">
        <v>5</v>
      </c>
      <c r="DG18" s="351" t="n">
        <v>5</v>
      </c>
      <c r="DH18" s="349"/>
      <c r="DI18" s="350"/>
      <c r="DJ18" s="350"/>
      <c r="DK18" s="350"/>
      <c r="DL18" s="351"/>
      <c r="DM18" s="349"/>
      <c r="DN18" s="350"/>
      <c r="DO18" s="350"/>
      <c r="DP18" s="350"/>
      <c r="DQ18" s="351"/>
      <c r="DR18" s="349"/>
      <c r="DS18" s="350"/>
      <c r="DT18" s="350"/>
      <c r="DU18" s="350"/>
      <c r="DV18" s="351"/>
      <c r="DW18" s="349"/>
      <c r="DX18" s="350"/>
      <c r="DY18" s="350"/>
      <c r="DZ18" s="350"/>
      <c r="EA18" s="351"/>
      <c r="EB18" s="349"/>
      <c r="EC18" s="350"/>
      <c r="ED18" s="350"/>
      <c r="EE18" s="350"/>
      <c r="EF18" s="351"/>
      <c r="EG18" s="349"/>
      <c r="EH18" s="350"/>
      <c r="EI18" s="350"/>
      <c r="EJ18" s="350"/>
      <c r="EK18" s="351"/>
      <c r="EL18" s="349"/>
      <c r="EM18" s="350"/>
      <c r="EN18" s="350"/>
      <c r="EO18" s="350"/>
      <c r="EP18" s="351"/>
      <c r="EQ18" s="349"/>
      <c r="ER18" s="350"/>
      <c r="ES18" s="350"/>
      <c r="ET18" s="350"/>
      <c r="EU18" s="351"/>
      <c r="EV18" s="349"/>
      <c r="EW18" s="350"/>
      <c r="EX18" s="350"/>
      <c r="EY18" s="350"/>
      <c r="EZ18" s="351"/>
      <c r="FA18" s="349"/>
      <c r="FB18" s="350"/>
      <c r="FC18" s="350"/>
      <c r="FD18" s="350"/>
      <c r="FE18" s="351"/>
      <c r="FF18" s="349"/>
      <c r="FG18" s="350"/>
      <c r="FH18" s="350"/>
      <c r="FI18" s="350"/>
      <c r="FJ18" s="351"/>
      <c r="FK18" s="349"/>
      <c r="FL18" s="350"/>
      <c r="FM18" s="350"/>
      <c r="FN18" s="350"/>
      <c r="FO18" s="351"/>
      <c r="FP18" s="349"/>
      <c r="FQ18" s="350"/>
      <c r="FR18" s="350"/>
      <c r="FS18" s="350"/>
      <c r="FT18" s="351"/>
      <c r="FU18" s="349"/>
      <c r="FV18" s="350"/>
      <c r="FW18" s="350"/>
      <c r="FX18" s="350"/>
      <c r="FY18" s="351"/>
      <c r="FZ18" s="349"/>
      <c r="GA18" s="350"/>
      <c r="GB18" s="350"/>
      <c r="GC18" s="350"/>
      <c r="GD18" s="351"/>
      <c r="GE18" s="349"/>
      <c r="GF18" s="350"/>
      <c r="GG18" s="350"/>
      <c r="GH18" s="350"/>
      <c r="GI18" s="351"/>
      <c r="GJ18" s="349"/>
      <c r="GK18" s="350"/>
      <c r="GL18" s="350"/>
      <c r="GM18" s="350"/>
      <c r="GN18" s="351"/>
      <c r="GO18" s="349"/>
      <c r="GP18" s="350"/>
      <c r="GQ18" s="350"/>
      <c r="GR18" s="350"/>
      <c r="GS18" s="351"/>
      <c r="GT18" s="349"/>
      <c r="GU18" s="350"/>
      <c r="GV18" s="350"/>
      <c r="GW18" s="350"/>
      <c r="GX18" s="351"/>
      <c r="GY18" s="349"/>
      <c r="GZ18" s="350"/>
      <c r="HA18" s="350"/>
      <c r="HB18" s="350"/>
      <c r="HC18" s="351"/>
      <c r="HD18" s="349"/>
      <c r="HE18" s="350"/>
      <c r="HF18" s="350"/>
      <c r="HG18" s="350"/>
      <c r="HH18" s="351"/>
      <c r="HI18" s="349"/>
      <c r="HJ18" s="350"/>
      <c r="HK18" s="350"/>
      <c r="HL18" s="350"/>
      <c r="HM18" s="351"/>
      <c r="HN18" s="349"/>
      <c r="HO18" s="350"/>
      <c r="HP18" s="350"/>
      <c r="HQ18" s="350"/>
      <c r="HR18" s="351"/>
      <c r="HS18" s="349"/>
      <c r="HT18" s="350"/>
      <c r="HU18" s="350"/>
      <c r="HV18" s="350"/>
      <c r="HW18" s="351"/>
      <c r="HX18" s="349"/>
      <c r="HY18" s="350"/>
      <c r="HZ18" s="350"/>
      <c r="IA18" s="350"/>
      <c r="IB18" s="351"/>
      <c r="IC18" s="349"/>
      <c r="ID18" s="350"/>
      <c r="IE18" s="350"/>
      <c r="IF18" s="350"/>
      <c r="IG18" s="351"/>
      <c r="IH18" s="353" t="n">
        <f aca="false">+AVERAGE(B18:IB18)</f>
        <v>4.87</v>
      </c>
    </row>
    <row r="19" customFormat="false" ht="15.5" hidden="false" customHeight="false" outlineLevel="0" collapsed="false">
      <c r="A19" s="355" t="s">
        <v>521</v>
      </c>
      <c r="B19" s="357" t="n">
        <v>3</v>
      </c>
      <c r="C19" s="358" t="n">
        <v>3</v>
      </c>
      <c r="D19" s="358" t="n">
        <v>5</v>
      </c>
      <c r="E19" s="358" t="n">
        <v>3</v>
      </c>
      <c r="F19" s="358" t="n">
        <v>3</v>
      </c>
      <c r="G19" s="357" t="n">
        <v>1</v>
      </c>
      <c r="H19" s="358" t="n">
        <v>3</v>
      </c>
      <c r="I19" s="358" t="n">
        <v>5</v>
      </c>
      <c r="J19" s="358" t="n">
        <v>1</v>
      </c>
      <c r="K19" s="358" t="n">
        <v>1</v>
      </c>
      <c r="L19" s="357" t="n">
        <v>1</v>
      </c>
      <c r="M19" s="358" t="n">
        <v>3</v>
      </c>
      <c r="N19" s="358" t="n">
        <v>3</v>
      </c>
      <c r="O19" s="358" t="n">
        <v>1</v>
      </c>
      <c r="P19" s="358" t="n">
        <v>1</v>
      </c>
      <c r="Q19" s="357" t="n">
        <v>1</v>
      </c>
      <c r="R19" s="358" t="n">
        <v>3</v>
      </c>
      <c r="S19" s="358" t="n">
        <v>5</v>
      </c>
      <c r="T19" s="358" t="n">
        <v>1</v>
      </c>
      <c r="U19" s="358" t="n">
        <v>3</v>
      </c>
      <c r="V19" s="357" t="n">
        <v>1</v>
      </c>
      <c r="W19" s="358" t="n">
        <v>5</v>
      </c>
      <c r="X19" s="358" t="n">
        <v>5</v>
      </c>
      <c r="Y19" s="358" t="n">
        <v>3</v>
      </c>
      <c r="Z19" s="358" t="n">
        <v>3</v>
      </c>
      <c r="AA19" s="357" t="n">
        <v>3</v>
      </c>
      <c r="AB19" s="358" t="n">
        <v>5</v>
      </c>
      <c r="AC19" s="358" t="n">
        <v>5</v>
      </c>
      <c r="AD19" s="358" t="n">
        <v>3</v>
      </c>
      <c r="AE19" s="358" t="n">
        <v>5</v>
      </c>
      <c r="AF19" s="357" t="n">
        <v>3</v>
      </c>
      <c r="AG19" s="358" t="n">
        <v>5</v>
      </c>
      <c r="AH19" s="358" t="n">
        <v>5</v>
      </c>
      <c r="AI19" s="358" t="n">
        <v>5</v>
      </c>
      <c r="AJ19" s="358" t="n">
        <v>5</v>
      </c>
      <c r="AK19" s="357" t="n">
        <v>3</v>
      </c>
      <c r="AL19" s="358" t="n">
        <v>5</v>
      </c>
      <c r="AM19" s="358" t="n">
        <v>5</v>
      </c>
      <c r="AN19" s="358" t="n">
        <v>5</v>
      </c>
      <c r="AO19" s="358" t="n">
        <v>5</v>
      </c>
      <c r="AP19" s="357" t="n">
        <v>1</v>
      </c>
      <c r="AQ19" s="358" t="n">
        <v>5</v>
      </c>
      <c r="AR19" s="358" t="n">
        <v>5</v>
      </c>
      <c r="AS19" s="358" t="n">
        <v>3</v>
      </c>
      <c r="AT19" s="358" t="n">
        <v>1</v>
      </c>
      <c r="AU19" s="357" t="n">
        <v>3</v>
      </c>
      <c r="AV19" s="358"/>
      <c r="AW19" s="358" t="n">
        <v>5</v>
      </c>
      <c r="AX19" s="358" t="n">
        <v>3</v>
      </c>
      <c r="AY19" s="358" t="n">
        <v>3</v>
      </c>
      <c r="AZ19" s="357" t="n">
        <v>1</v>
      </c>
      <c r="BA19" s="358"/>
      <c r="BB19" s="358" t="n">
        <v>5</v>
      </c>
      <c r="BC19" s="358" t="n">
        <v>1</v>
      </c>
      <c r="BD19" s="358" t="n">
        <v>1</v>
      </c>
      <c r="BE19" s="357" t="n">
        <v>1</v>
      </c>
      <c r="BF19" s="358" t="n">
        <v>5</v>
      </c>
      <c r="BG19" s="358" t="n">
        <v>5</v>
      </c>
      <c r="BH19" s="358" t="n">
        <v>1</v>
      </c>
      <c r="BI19" s="358" t="n">
        <v>1</v>
      </c>
      <c r="BJ19" s="357" t="n">
        <v>3</v>
      </c>
      <c r="BK19" s="358" t="n">
        <v>5</v>
      </c>
      <c r="BL19" s="358" t="n">
        <v>3</v>
      </c>
      <c r="BM19" s="358" t="n">
        <v>3</v>
      </c>
      <c r="BN19" s="358" t="n">
        <v>3</v>
      </c>
      <c r="BO19" s="357" t="n">
        <v>5</v>
      </c>
      <c r="BP19" s="358"/>
      <c r="BQ19" s="358" t="n">
        <v>5</v>
      </c>
      <c r="BR19" s="358" t="n">
        <v>3</v>
      </c>
      <c r="BS19" s="358" t="n">
        <v>5</v>
      </c>
      <c r="BT19" s="357" t="n">
        <v>3</v>
      </c>
      <c r="BU19" s="358" t="n">
        <v>5</v>
      </c>
      <c r="BV19" s="358" t="n">
        <v>5</v>
      </c>
      <c r="BW19" s="358" t="n">
        <v>3</v>
      </c>
      <c r="BX19" s="358" t="n">
        <v>5</v>
      </c>
      <c r="BY19" s="357" t="n">
        <v>5</v>
      </c>
      <c r="BZ19" s="357" t="n">
        <v>5</v>
      </c>
      <c r="CA19" s="358" t="n">
        <v>5</v>
      </c>
      <c r="CB19" s="358" t="n">
        <v>3</v>
      </c>
      <c r="CC19" s="358" t="n">
        <v>5</v>
      </c>
      <c r="CD19" s="357"/>
      <c r="CE19" s="358"/>
      <c r="CF19" s="358"/>
      <c r="CG19" s="358"/>
      <c r="CH19" s="358"/>
      <c r="CI19" s="357"/>
      <c r="CJ19" s="358"/>
      <c r="CK19" s="358"/>
      <c r="CL19" s="358"/>
      <c r="CM19" s="358"/>
      <c r="CN19" s="357"/>
      <c r="CO19" s="358"/>
      <c r="CP19" s="358"/>
      <c r="CQ19" s="358"/>
      <c r="CR19" s="358"/>
      <c r="CS19" s="357"/>
      <c r="CT19" s="358"/>
      <c r="CU19" s="358"/>
      <c r="CV19" s="358"/>
      <c r="CW19" s="358"/>
      <c r="CX19" s="357"/>
      <c r="CY19" s="358"/>
      <c r="CZ19" s="358"/>
      <c r="DA19" s="358"/>
      <c r="DB19" s="358"/>
      <c r="DC19" s="357"/>
      <c r="DD19" s="358"/>
      <c r="DE19" s="358"/>
      <c r="DF19" s="358"/>
      <c r="DG19" s="358"/>
      <c r="DH19" s="357"/>
      <c r="DI19" s="358"/>
      <c r="DJ19" s="358"/>
      <c r="DK19" s="358"/>
      <c r="DL19" s="358"/>
      <c r="DM19" s="357"/>
      <c r="DN19" s="358"/>
      <c r="DO19" s="358"/>
      <c r="DP19" s="358"/>
      <c r="DQ19" s="358"/>
      <c r="DR19" s="357"/>
      <c r="DS19" s="358"/>
      <c r="DT19" s="358"/>
      <c r="DU19" s="358"/>
      <c r="DV19" s="358"/>
      <c r="DW19" s="357"/>
      <c r="DX19" s="358"/>
      <c r="DY19" s="358"/>
      <c r="DZ19" s="358"/>
      <c r="EA19" s="358"/>
      <c r="EB19" s="357"/>
      <c r="EC19" s="358"/>
      <c r="ED19" s="358"/>
      <c r="EE19" s="358"/>
      <c r="EF19" s="358"/>
      <c r="EG19" s="357"/>
      <c r="EH19" s="358"/>
      <c r="EI19" s="358"/>
      <c r="EJ19" s="358"/>
      <c r="EK19" s="358"/>
      <c r="EL19" s="357"/>
      <c r="EM19" s="358"/>
      <c r="EN19" s="358"/>
      <c r="EO19" s="358"/>
      <c r="EP19" s="358"/>
      <c r="EQ19" s="357"/>
      <c r="ER19" s="358"/>
      <c r="ES19" s="358"/>
      <c r="ET19" s="358"/>
      <c r="EU19" s="358"/>
      <c r="EV19" s="357"/>
      <c r="EW19" s="358"/>
      <c r="EX19" s="358"/>
      <c r="EY19" s="358"/>
      <c r="EZ19" s="358"/>
      <c r="FA19" s="357"/>
      <c r="FB19" s="358"/>
      <c r="FC19" s="358"/>
      <c r="FD19" s="358"/>
      <c r="FE19" s="358"/>
      <c r="FF19" s="357"/>
      <c r="FG19" s="358"/>
      <c r="FH19" s="358"/>
      <c r="FI19" s="358"/>
      <c r="FJ19" s="358"/>
      <c r="FK19" s="357"/>
      <c r="FL19" s="358"/>
      <c r="FM19" s="358"/>
      <c r="FN19" s="358"/>
      <c r="FO19" s="358"/>
      <c r="FP19" s="357"/>
      <c r="FQ19" s="358"/>
      <c r="FR19" s="358"/>
      <c r="FS19" s="358"/>
      <c r="FT19" s="358"/>
      <c r="FU19" s="357"/>
      <c r="FV19" s="358"/>
      <c r="FW19" s="358"/>
      <c r="FX19" s="358"/>
      <c r="FY19" s="358"/>
      <c r="FZ19" s="357"/>
      <c r="GA19" s="358"/>
      <c r="GB19" s="358"/>
      <c r="GC19" s="358"/>
      <c r="GD19" s="358"/>
      <c r="GE19" s="357"/>
      <c r="GF19" s="358"/>
      <c r="GG19" s="358"/>
      <c r="GH19" s="358"/>
      <c r="GI19" s="358"/>
      <c r="GJ19" s="357"/>
      <c r="GK19" s="358"/>
      <c r="GL19" s="358"/>
      <c r="GM19" s="358"/>
      <c r="GN19" s="358"/>
      <c r="GO19" s="357"/>
      <c r="GP19" s="358"/>
      <c r="GQ19" s="358"/>
      <c r="GR19" s="358"/>
      <c r="GS19" s="358"/>
      <c r="GT19" s="357"/>
      <c r="GU19" s="358"/>
      <c r="GV19" s="358"/>
      <c r="GW19" s="358"/>
      <c r="GX19" s="358"/>
      <c r="GY19" s="357"/>
      <c r="GZ19" s="358"/>
      <c r="HA19" s="358"/>
      <c r="HB19" s="358"/>
      <c r="HC19" s="358"/>
      <c r="HD19" s="357"/>
      <c r="HE19" s="358"/>
      <c r="HF19" s="358"/>
      <c r="HG19" s="358"/>
      <c r="HH19" s="358"/>
      <c r="HI19" s="357"/>
      <c r="HJ19" s="358"/>
      <c r="HK19" s="358"/>
      <c r="HL19" s="358"/>
      <c r="HM19" s="358"/>
      <c r="HN19" s="357"/>
      <c r="HO19" s="358"/>
      <c r="HP19" s="358"/>
      <c r="HQ19" s="358"/>
      <c r="HR19" s="358"/>
      <c r="HS19" s="357"/>
      <c r="HT19" s="358"/>
      <c r="HU19" s="358"/>
      <c r="HV19" s="358"/>
      <c r="HW19" s="358"/>
      <c r="HX19" s="357"/>
      <c r="HY19" s="358"/>
      <c r="HZ19" s="358"/>
      <c r="IA19" s="358"/>
      <c r="IB19" s="358"/>
      <c r="IC19" s="357"/>
      <c r="ID19" s="358"/>
      <c r="IE19" s="358"/>
      <c r="IF19" s="358"/>
      <c r="IG19" s="358"/>
      <c r="IH19" s="353" t="n">
        <f aca="false">+AVERAGE(B19:IB19)</f>
        <v>3.41558441558442</v>
      </c>
    </row>
    <row r="20" customFormat="false" ht="15.5" hidden="false" customHeight="false" outlineLevel="0" collapsed="false">
      <c r="A20" s="348" t="s">
        <v>522</v>
      </c>
      <c r="B20" s="349"/>
      <c r="C20" s="350"/>
      <c r="D20" s="350"/>
      <c r="E20" s="350"/>
      <c r="F20" s="351"/>
      <c r="G20" s="349"/>
      <c r="H20" s="350"/>
      <c r="I20" s="350"/>
      <c r="J20" s="350"/>
      <c r="K20" s="351"/>
      <c r="L20" s="349"/>
      <c r="M20" s="350"/>
      <c r="N20" s="350"/>
      <c r="O20" s="350"/>
      <c r="P20" s="351"/>
      <c r="Q20" s="349"/>
      <c r="R20" s="350"/>
      <c r="S20" s="350"/>
      <c r="T20" s="350"/>
      <c r="U20" s="351"/>
      <c r="V20" s="349"/>
      <c r="W20" s="350"/>
      <c r="X20" s="350"/>
      <c r="Y20" s="350"/>
      <c r="Z20" s="351"/>
      <c r="AA20" s="349"/>
      <c r="AB20" s="350"/>
      <c r="AC20" s="350"/>
      <c r="AD20" s="350"/>
      <c r="AE20" s="351"/>
      <c r="AF20" s="349"/>
      <c r="AG20" s="350"/>
      <c r="AH20" s="350"/>
      <c r="AI20" s="350"/>
      <c r="AJ20" s="351"/>
      <c r="AK20" s="349"/>
      <c r="AL20" s="350"/>
      <c r="AM20" s="350"/>
      <c r="AN20" s="350"/>
      <c r="AO20" s="351"/>
      <c r="AP20" s="349"/>
      <c r="AQ20" s="350"/>
      <c r="AR20" s="350"/>
      <c r="AS20" s="350"/>
      <c r="AT20" s="351"/>
      <c r="AU20" s="349"/>
      <c r="AV20" s="350"/>
      <c r="AW20" s="350"/>
      <c r="AX20" s="350"/>
      <c r="AY20" s="351"/>
      <c r="AZ20" s="349"/>
      <c r="BA20" s="350"/>
      <c r="BB20" s="350"/>
      <c r="BC20" s="350"/>
      <c r="BD20" s="351"/>
      <c r="BE20" s="349"/>
      <c r="BF20" s="350"/>
      <c r="BG20" s="350"/>
      <c r="BH20" s="350"/>
      <c r="BI20" s="351"/>
      <c r="BJ20" s="349" t="n">
        <v>5</v>
      </c>
      <c r="BK20" s="350" t="n">
        <v>5</v>
      </c>
      <c r="BL20" s="350"/>
      <c r="BM20" s="350" t="n">
        <v>5</v>
      </c>
      <c r="BN20" s="350" t="n">
        <v>3</v>
      </c>
      <c r="BO20" s="349" t="n">
        <v>5</v>
      </c>
      <c r="BP20" s="350"/>
      <c r="BQ20" s="350" t="n">
        <v>5</v>
      </c>
      <c r="BR20" s="350" t="n">
        <v>3</v>
      </c>
      <c r="BS20" s="351" t="n">
        <v>5</v>
      </c>
      <c r="BT20" s="349" t="n">
        <v>5</v>
      </c>
      <c r="BU20" s="350" t="n">
        <v>5</v>
      </c>
      <c r="BV20" s="350" t="n">
        <v>5</v>
      </c>
      <c r="BW20" s="350" t="n">
        <v>3</v>
      </c>
      <c r="BX20" s="351" t="n">
        <v>3</v>
      </c>
      <c r="BY20" s="349"/>
      <c r="BZ20" s="350"/>
      <c r="CA20" s="350" t="n">
        <v>5</v>
      </c>
      <c r="CB20" s="350" t="n">
        <v>1</v>
      </c>
      <c r="CC20" s="351" t="n">
        <v>5</v>
      </c>
      <c r="CD20" s="349"/>
      <c r="CE20" s="350"/>
      <c r="CF20" s="350"/>
      <c r="CG20" s="350"/>
      <c r="CH20" s="351"/>
      <c r="CI20" s="349"/>
      <c r="CJ20" s="350"/>
      <c r="CK20" s="350"/>
      <c r="CL20" s="350"/>
      <c r="CM20" s="351"/>
      <c r="CN20" s="349"/>
      <c r="CO20" s="350"/>
      <c r="CP20" s="350"/>
      <c r="CQ20" s="350"/>
      <c r="CR20" s="351"/>
      <c r="CS20" s="349"/>
      <c r="CT20" s="350"/>
      <c r="CU20" s="350"/>
      <c r="CV20" s="350"/>
      <c r="CW20" s="351"/>
      <c r="CX20" s="349"/>
      <c r="CY20" s="350"/>
      <c r="CZ20" s="350"/>
      <c r="DA20" s="350"/>
      <c r="DB20" s="351"/>
      <c r="DC20" s="349"/>
      <c r="DD20" s="350"/>
      <c r="DE20" s="350"/>
      <c r="DF20" s="350"/>
      <c r="DG20" s="351"/>
      <c r="DH20" s="349"/>
      <c r="DI20" s="350"/>
      <c r="DJ20" s="350"/>
      <c r="DK20" s="350"/>
      <c r="DL20" s="351"/>
      <c r="DM20" s="349"/>
      <c r="DN20" s="350"/>
      <c r="DO20" s="350"/>
      <c r="DP20" s="350"/>
      <c r="DQ20" s="351"/>
      <c r="DR20" s="349"/>
      <c r="DS20" s="350"/>
      <c r="DT20" s="350"/>
      <c r="DU20" s="350"/>
      <c r="DV20" s="351"/>
      <c r="DW20" s="349"/>
      <c r="DX20" s="350"/>
      <c r="DY20" s="350"/>
      <c r="DZ20" s="350"/>
      <c r="EA20" s="351"/>
      <c r="EB20" s="349"/>
      <c r="EC20" s="350"/>
      <c r="ED20" s="350"/>
      <c r="EE20" s="350"/>
      <c r="EF20" s="351"/>
      <c r="EG20" s="349"/>
      <c r="EH20" s="350"/>
      <c r="EI20" s="350"/>
      <c r="EJ20" s="350"/>
      <c r="EK20" s="351"/>
      <c r="EL20" s="349"/>
      <c r="EM20" s="350"/>
      <c r="EN20" s="350"/>
      <c r="EO20" s="350"/>
      <c r="EP20" s="351"/>
      <c r="EQ20" s="349"/>
      <c r="ER20" s="350"/>
      <c r="ES20" s="350"/>
      <c r="ET20" s="350"/>
      <c r="EU20" s="351"/>
      <c r="EV20" s="349"/>
      <c r="EW20" s="350"/>
      <c r="EX20" s="350"/>
      <c r="EY20" s="350"/>
      <c r="EZ20" s="351"/>
      <c r="FA20" s="349"/>
      <c r="FB20" s="350"/>
      <c r="FC20" s="350"/>
      <c r="FD20" s="350"/>
      <c r="FE20" s="351"/>
      <c r="FF20" s="349"/>
      <c r="FG20" s="350"/>
      <c r="FH20" s="350"/>
      <c r="FI20" s="350"/>
      <c r="FJ20" s="351"/>
      <c r="FK20" s="349"/>
      <c r="FL20" s="350"/>
      <c r="FM20" s="350"/>
      <c r="FN20" s="350"/>
      <c r="FO20" s="351"/>
      <c r="FP20" s="349"/>
      <c r="FQ20" s="350"/>
      <c r="FR20" s="350"/>
      <c r="FS20" s="350"/>
      <c r="FT20" s="351"/>
      <c r="FU20" s="349"/>
      <c r="FV20" s="350"/>
      <c r="FW20" s="350"/>
      <c r="FX20" s="350"/>
      <c r="FY20" s="351"/>
      <c r="FZ20" s="349"/>
      <c r="GA20" s="350"/>
      <c r="GB20" s="350"/>
      <c r="GC20" s="350"/>
      <c r="GD20" s="351"/>
      <c r="GE20" s="349"/>
      <c r="GF20" s="350"/>
      <c r="GG20" s="350"/>
      <c r="GH20" s="350"/>
      <c r="GI20" s="351"/>
      <c r="GJ20" s="349"/>
      <c r="GK20" s="350"/>
      <c r="GL20" s="350"/>
      <c r="GM20" s="350"/>
      <c r="GN20" s="351"/>
      <c r="GO20" s="349"/>
      <c r="GP20" s="350"/>
      <c r="GQ20" s="350"/>
      <c r="GR20" s="350"/>
      <c r="GS20" s="351"/>
      <c r="GT20" s="349"/>
      <c r="GU20" s="350"/>
      <c r="GV20" s="350"/>
      <c r="GW20" s="350"/>
      <c r="GX20" s="351"/>
      <c r="GY20" s="349"/>
      <c r="GZ20" s="350"/>
      <c r="HA20" s="350"/>
      <c r="HB20" s="350"/>
      <c r="HC20" s="351"/>
      <c r="HD20" s="349"/>
      <c r="HE20" s="350"/>
      <c r="HF20" s="350"/>
      <c r="HG20" s="350"/>
      <c r="HH20" s="351"/>
      <c r="HI20" s="349"/>
      <c r="HJ20" s="350"/>
      <c r="HK20" s="350"/>
      <c r="HL20" s="350"/>
      <c r="HM20" s="351"/>
      <c r="HN20" s="349"/>
      <c r="HO20" s="350"/>
      <c r="HP20" s="350"/>
      <c r="HQ20" s="350"/>
      <c r="HR20" s="351"/>
      <c r="HS20" s="349"/>
      <c r="HT20" s="350"/>
      <c r="HU20" s="350"/>
      <c r="HV20" s="350"/>
      <c r="HW20" s="351"/>
      <c r="HX20" s="349"/>
      <c r="HY20" s="350"/>
      <c r="HZ20" s="350"/>
      <c r="IA20" s="350"/>
      <c r="IB20" s="351"/>
      <c r="IC20" s="349"/>
      <c r="ID20" s="350"/>
      <c r="IE20" s="350"/>
      <c r="IF20" s="350"/>
      <c r="IG20" s="351"/>
      <c r="IH20" s="353" t="n">
        <f aca="false">+AVERAGE(B20:IB20)</f>
        <v>4.25</v>
      </c>
    </row>
    <row r="21" customFormat="false" ht="15.5" hidden="false" customHeight="false" outlineLevel="0" collapsed="false">
      <c r="A21" s="354"/>
      <c r="B21" s="352"/>
      <c r="C21" s="352"/>
      <c r="D21" s="352"/>
      <c r="E21" s="352"/>
      <c r="F21" s="352"/>
      <c r="G21" s="352"/>
      <c r="H21" s="352"/>
      <c r="I21" s="352"/>
      <c r="J21" s="352"/>
      <c r="K21" s="352"/>
      <c r="L21" s="352"/>
      <c r="M21" s="352"/>
      <c r="N21" s="352"/>
      <c r="O21" s="352"/>
      <c r="P21" s="352"/>
      <c r="Q21" s="352"/>
      <c r="R21" s="352"/>
      <c r="S21" s="352"/>
      <c r="T21" s="352"/>
      <c r="U21" s="352"/>
      <c r="V21" s="352"/>
      <c r="W21" s="352"/>
      <c r="X21" s="352"/>
      <c r="Y21" s="352"/>
      <c r="Z21" s="352"/>
      <c r="AA21" s="352"/>
      <c r="AB21" s="352"/>
      <c r="AC21" s="352"/>
      <c r="AD21" s="352"/>
      <c r="AE21" s="352"/>
      <c r="AF21" s="352"/>
      <c r="AG21" s="352"/>
      <c r="AH21" s="352"/>
      <c r="AI21" s="352"/>
      <c r="AJ21" s="352"/>
      <c r="AK21" s="352"/>
      <c r="AL21" s="352"/>
      <c r="AM21" s="352"/>
      <c r="AN21" s="352"/>
      <c r="AO21" s="352"/>
      <c r="AP21" s="352"/>
      <c r="AQ21" s="352"/>
      <c r="AR21" s="352"/>
      <c r="AS21" s="352"/>
      <c r="AT21" s="352"/>
      <c r="AU21" s="352"/>
      <c r="AV21" s="352"/>
      <c r="AW21" s="352"/>
      <c r="AX21" s="352"/>
      <c r="AY21" s="352"/>
      <c r="AZ21" s="352"/>
      <c r="BA21" s="352"/>
      <c r="BB21" s="352"/>
      <c r="BC21" s="352"/>
      <c r="BD21" s="352"/>
      <c r="BE21" s="352"/>
      <c r="BF21" s="352"/>
      <c r="BG21" s="352"/>
      <c r="BH21" s="352"/>
      <c r="BI21" s="352"/>
      <c r="BJ21" s="352"/>
      <c r="BK21" s="352"/>
      <c r="BL21" s="352"/>
      <c r="BM21" s="352"/>
      <c r="BN21" s="352"/>
      <c r="BO21" s="352"/>
      <c r="BP21" s="352"/>
      <c r="BQ21" s="352"/>
      <c r="BR21" s="352"/>
      <c r="BS21" s="352"/>
      <c r="BT21" s="352"/>
      <c r="BU21" s="352"/>
      <c r="BV21" s="352"/>
      <c r="BW21" s="352"/>
      <c r="BX21" s="352"/>
      <c r="BY21" s="352"/>
      <c r="BZ21" s="352"/>
      <c r="CA21" s="352"/>
      <c r="CB21" s="352"/>
      <c r="CC21" s="352"/>
      <c r="CD21" s="352"/>
      <c r="CE21" s="352"/>
      <c r="CF21" s="352"/>
      <c r="CG21" s="352"/>
      <c r="CH21" s="352"/>
      <c r="CI21" s="352"/>
      <c r="CJ21" s="352"/>
      <c r="CK21" s="352"/>
      <c r="CL21" s="352"/>
      <c r="CM21" s="352"/>
      <c r="CN21" s="352"/>
      <c r="CO21" s="352"/>
      <c r="CP21" s="352"/>
      <c r="CQ21" s="352"/>
      <c r="CR21" s="352"/>
      <c r="CS21" s="352"/>
      <c r="CT21" s="352"/>
      <c r="CU21" s="352"/>
      <c r="CV21" s="352"/>
      <c r="CW21" s="352"/>
      <c r="CX21" s="352"/>
      <c r="CY21" s="352"/>
      <c r="CZ21" s="352"/>
      <c r="DA21" s="352"/>
      <c r="DB21" s="352"/>
      <c r="DC21" s="352"/>
      <c r="DD21" s="352"/>
      <c r="DE21" s="352"/>
      <c r="DF21" s="352"/>
      <c r="DG21" s="352"/>
      <c r="DH21" s="352"/>
      <c r="DI21" s="352"/>
      <c r="DJ21" s="352"/>
      <c r="DK21" s="352"/>
      <c r="DL21" s="352"/>
      <c r="DM21" s="352"/>
      <c r="DN21" s="352"/>
      <c r="DO21" s="352"/>
      <c r="DP21" s="352"/>
      <c r="DQ21" s="352"/>
      <c r="DR21" s="352"/>
      <c r="DS21" s="352"/>
      <c r="DT21" s="352"/>
      <c r="DU21" s="352"/>
      <c r="DV21" s="352"/>
      <c r="DW21" s="352"/>
      <c r="DX21" s="352"/>
      <c r="DY21" s="352"/>
      <c r="DZ21" s="352"/>
      <c r="EA21" s="352"/>
      <c r="EB21" s="352"/>
      <c r="EC21" s="352"/>
      <c r="ED21" s="352"/>
      <c r="EE21" s="352"/>
      <c r="EF21" s="352"/>
      <c r="EG21" s="352"/>
      <c r="EH21" s="352"/>
      <c r="EI21" s="352"/>
      <c r="EJ21" s="352"/>
      <c r="EK21" s="352"/>
      <c r="EL21" s="352"/>
      <c r="EM21" s="352"/>
      <c r="EN21" s="352"/>
      <c r="EO21" s="352"/>
      <c r="EP21" s="352"/>
      <c r="EQ21" s="352"/>
      <c r="ER21" s="352"/>
      <c r="ES21" s="352"/>
      <c r="ET21" s="352"/>
      <c r="EU21" s="352"/>
      <c r="EV21" s="352"/>
      <c r="EW21" s="352"/>
      <c r="EX21" s="352"/>
      <c r="EY21" s="352"/>
      <c r="EZ21" s="352"/>
      <c r="FA21" s="352"/>
      <c r="FB21" s="352"/>
      <c r="FC21" s="352"/>
      <c r="FD21" s="352"/>
      <c r="FE21" s="352"/>
      <c r="FF21" s="352"/>
      <c r="FG21" s="352"/>
      <c r="FH21" s="352"/>
      <c r="FI21" s="352"/>
      <c r="FJ21" s="352"/>
      <c r="FK21" s="352"/>
      <c r="FL21" s="352"/>
      <c r="FM21" s="352"/>
      <c r="FN21" s="352"/>
      <c r="FO21" s="352"/>
      <c r="FP21" s="352"/>
      <c r="FQ21" s="352"/>
      <c r="FR21" s="352"/>
      <c r="FS21" s="352"/>
      <c r="FT21" s="352"/>
      <c r="FU21" s="352"/>
      <c r="FV21" s="352"/>
      <c r="FW21" s="352"/>
      <c r="FX21" s="352"/>
      <c r="FY21" s="352"/>
      <c r="FZ21" s="352"/>
      <c r="GA21" s="352"/>
      <c r="GB21" s="352"/>
      <c r="GC21" s="352"/>
      <c r="GD21" s="352"/>
      <c r="GE21" s="352"/>
      <c r="GF21" s="352"/>
      <c r="GG21" s="352"/>
      <c r="GH21" s="352"/>
      <c r="GI21" s="352"/>
      <c r="GJ21" s="352"/>
      <c r="GK21" s="352"/>
      <c r="GL21" s="352"/>
      <c r="GM21" s="352"/>
      <c r="GN21" s="352"/>
      <c r="GO21" s="352"/>
      <c r="GP21" s="352"/>
      <c r="GQ21" s="352"/>
      <c r="GR21" s="352"/>
      <c r="GS21" s="352"/>
      <c r="GT21" s="352"/>
      <c r="GU21" s="352"/>
      <c r="GV21" s="352"/>
      <c r="GW21" s="352"/>
      <c r="GX21" s="352"/>
      <c r="GY21" s="352"/>
      <c r="GZ21" s="352"/>
      <c r="HA21" s="352"/>
      <c r="HB21" s="352"/>
      <c r="HC21" s="352"/>
      <c r="HD21" s="352"/>
      <c r="HE21" s="352"/>
      <c r="HF21" s="352"/>
      <c r="HG21" s="352"/>
      <c r="HH21" s="352"/>
      <c r="HI21" s="352"/>
      <c r="HJ21" s="352"/>
      <c r="HK21" s="352"/>
      <c r="HL21" s="352"/>
      <c r="HM21" s="352"/>
      <c r="HN21" s="352"/>
      <c r="HO21" s="352"/>
      <c r="HP21" s="352"/>
      <c r="HQ21" s="352"/>
      <c r="HR21" s="352"/>
      <c r="HS21" s="352"/>
      <c r="HT21" s="352"/>
      <c r="HU21" s="352"/>
      <c r="HV21" s="352"/>
      <c r="HW21" s="352"/>
      <c r="HX21" s="352"/>
      <c r="HY21" s="352"/>
      <c r="HZ21" s="352"/>
      <c r="IA21" s="352"/>
      <c r="IB21" s="352"/>
      <c r="IC21" s="352"/>
      <c r="ID21" s="352"/>
      <c r="IE21" s="352"/>
      <c r="IF21" s="352"/>
      <c r="IG21" s="352"/>
      <c r="IH21" s="359"/>
    </row>
  </sheetData>
  <mergeCells count="62">
    <mergeCell ref="A1:U1"/>
    <mergeCell ref="B3:K3"/>
    <mergeCell ref="L3:AE3"/>
    <mergeCell ref="AF3:BD3"/>
    <mergeCell ref="BE3:BX3"/>
    <mergeCell ref="BY3:CR3"/>
    <mergeCell ref="CS3:DQ3"/>
    <mergeCell ref="DR3:EK3"/>
    <mergeCell ref="EL3:FJ3"/>
    <mergeCell ref="FK3:GD3"/>
    <mergeCell ref="GE3:GX3"/>
    <mergeCell ref="GY3:HW3"/>
    <mergeCell ref="HX3:IB3"/>
    <mergeCell ref="IC3:IG3"/>
    <mergeCell ref="B4:F4"/>
    <mergeCell ref="G4:K4"/>
    <mergeCell ref="L4:P4"/>
    <mergeCell ref="Q4:U4"/>
    <mergeCell ref="V4:Z4"/>
    <mergeCell ref="AA4:AE4"/>
    <mergeCell ref="AF4:AJ4"/>
    <mergeCell ref="AK4:AO4"/>
    <mergeCell ref="AP4:AT4"/>
    <mergeCell ref="AU4:AY4"/>
    <mergeCell ref="AZ4:BD4"/>
    <mergeCell ref="BE4:BI4"/>
    <mergeCell ref="BJ4:BN4"/>
    <mergeCell ref="BO4:BS4"/>
    <mergeCell ref="BT4:BX4"/>
    <mergeCell ref="BY4:CC4"/>
    <mergeCell ref="CD4:CH4"/>
    <mergeCell ref="CI4:CM4"/>
    <mergeCell ref="CN4:CR4"/>
    <mergeCell ref="CS4:CW4"/>
    <mergeCell ref="CX4:DB4"/>
    <mergeCell ref="DC4:DG4"/>
    <mergeCell ref="DH4:DL4"/>
    <mergeCell ref="DM4:DQ4"/>
    <mergeCell ref="DR4:DV4"/>
    <mergeCell ref="DW4:EA4"/>
    <mergeCell ref="EB4:EF4"/>
    <mergeCell ref="EG4:EK4"/>
    <mergeCell ref="EL4:EP4"/>
    <mergeCell ref="EQ4:EU4"/>
    <mergeCell ref="EV4:EZ4"/>
    <mergeCell ref="FA4:FE4"/>
    <mergeCell ref="FF4:FJ4"/>
    <mergeCell ref="FK4:FO4"/>
    <mergeCell ref="FP4:FT4"/>
    <mergeCell ref="FU4:FY4"/>
    <mergeCell ref="FZ4:GD4"/>
    <mergeCell ref="GE4:GI4"/>
    <mergeCell ref="GJ4:GN4"/>
    <mergeCell ref="GO4:GS4"/>
    <mergeCell ref="GT4:GX4"/>
    <mergeCell ref="GY4:HC4"/>
    <mergeCell ref="HD4:HH4"/>
    <mergeCell ref="HI4:HM4"/>
    <mergeCell ref="HN4:HR4"/>
    <mergeCell ref="HS4:HW4"/>
    <mergeCell ref="HX4:IB4"/>
    <mergeCell ref="IC4:IG4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77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I58"/>
  <sheetViews>
    <sheetView showFormulas="false" showGridLines="true" showRowColHeaders="true" showZeros="true" rightToLeft="false" tabSelected="false" showOutlineSymbols="true" defaultGridColor="true" view="normal" topLeftCell="A5" colorId="64" zoomScale="55" zoomScaleNormal="55" zoomScalePageLayoutView="100" workbookViewId="0">
      <selection pane="topLeft" activeCell="A1" activeCellId="0" sqref="A1"/>
    </sheetView>
  </sheetViews>
  <sheetFormatPr defaultColWidth="14.453125" defaultRowHeight="14.5" zeroHeight="false" outlineLevelRow="0" outlineLevelCol="0"/>
  <cols>
    <col collapsed="false" customWidth="true" hidden="false" outlineLevel="0" max="1" min="1" style="0" width="40.82"/>
    <col collapsed="false" customWidth="true" hidden="false" outlineLevel="0" max="2" min="2" style="0" width="63.45"/>
    <col collapsed="false" customWidth="true" hidden="false" outlineLevel="0" max="3" min="3" style="360" width="44.54"/>
    <col collapsed="false" customWidth="true" hidden="false" outlineLevel="0" max="5" min="4" style="0" width="6.27"/>
    <col collapsed="false" customWidth="true" hidden="false" outlineLevel="0" max="6" min="6" style="0" width="4.18"/>
    <col collapsed="false" customWidth="true" hidden="false" outlineLevel="0" max="8" min="7" style="0" width="6.27"/>
    <col collapsed="false" customWidth="true" hidden="false" outlineLevel="0" max="9" min="9" style="0" width="8.45"/>
    <col collapsed="false" customWidth="true" hidden="false" outlineLevel="0" max="10" min="10" style="0" width="4.18"/>
    <col collapsed="false" customWidth="true" hidden="false" outlineLevel="0" max="14" min="11" style="0" width="6.27"/>
    <col collapsed="false" customWidth="true" hidden="false" outlineLevel="0" max="15" min="15" style="0" width="4.18"/>
    <col collapsed="false" customWidth="true" hidden="false" outlineLevel="0" max="18" min="16" style="0" width="6.27"/>
    <col collapsed="false" customWidth="true" hidden="false" outlineLevel="0" max="19" min="19" style="0" width="4.18"/>
    <col collapsed="false" customWidth="true" hidden="false" outlineLevel="0" max="22" min="20" style="0" width="6.27"/>
    <col collapsed="false" customWidth="true" hidden="false" outlineLevel="0" max="23" min="23" style="0" width="4.18"/>
    <col collapsed="false" customWidth="true" hidden="false" outlineLevel="0" max="26" min="24" style="0" width="6.27"/>
    <col collapsed="false" customWidth="true" hidden="false" outlineLevel="0" max="28" min="27" style="0" width="4.18"/>
    <col collapsed="false" customWidth="true" hidden="false" outlineLevel="0" max="31" min="29" style="0" width="6.27"/>
    <col collapsed="false" customWidth="true" hidden="false" outlineLevel="0" max="32" min="32" style="0" width="4.18"/>
    <col collapsed="false" customWidth="true" hidden="false" outlineLevel="0" max="35" min="33" style="0" width="6.27"/>
    <col collapsed="false" customWidth="true" hidden="false" outlineLevel="0" max="36" min="36" style="0" width="4.18"/>
    <col collapsed="false" customWidth="true" hidden="false" outlineLevel="0" max="39" min="37" style="0" width="6.27"/>
    <col collapsed="false" customWidth="true" hidden="false" outlineLevel="0" max="41" min="40" style="0" width="4.18"/>
    <col collapsed="false" customWidth="true" hidden="false" outlineLevel="0" max="44" min="42" style="0" width="6.27"/>
    <col collapsed="false" customWidth="true" hidden="false" outlineLevel="0" max="45" min="45" style="0" width="4.18"/>
    <col collapsed="false" customWidth="true" hidden="false" outlineLevel="0" max="47" min="46" style="0" width="6.27"/>
    <col collapsed="false" customWidth="true" hidden="false" outlineLevel="0" max="48" min="48" style="0" width="9.45"/>
    <col collapsed="false" customWidth="true" hidden="false" outlineLevel="0" max="49" min="49" style="0" width="4.18"/>
    <col collapsed="false" customWidth="true" hidden="false" outlineLevel="0" max="53" min="50" style="0" width="6.27"/>
    <col collapsed="false" customWidth="true" hidden="false" outlineLevel="0" max="54" min="54" style="0" width="4.18"/>
    <col collapsed="false" customWidth="true" hidden="false" outlineLevel="0" max="56" min="55" style="0" width="6.27"/>
    <col collapsed="false" customWidth="true" hidden="false" outlineLevel="0" max="57" min="57" style="0" width="9.18"/>
    <col collapsed="false" customWidth="true" hidden="false" outlineLevel="0" max="58" min="58" style="0" width="4.18"/>
    <col collapsed="false" customWidth="true" hidden="false" outlineLevel="0" max="60" min="59" style="0" width="6.27"/>
    <col collapsed="false" customWidth="true" hidden="false" outlineLevel="0" max="61" min="61" style="0" width="9"/>
    <col collapsed="false" customWidth="true" hidden="false" outlineLevel="0" max="65" min="65" style="0" width="23.54"/>
  </cols>
  <sheetData>
    <row r="3" customFormat="false" ht="14.5" hidden="false" customHeight="true" outlineLevel="0" collapsed="false">
      <c r="D3" s="361" t="s">
        <v>523</v>
      </c>
      <c r="E3" s="361"/>
      <c r="F3" s="361"/>
      <c r="G3" s="361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1"/>
      <c r="U3" s="361"/>
      <c r="V3" s="361"/>
      <c r="W3" s="361"/>
      <c r="X3" s="361"/>
      <c r="Y3" s="361"/>
      <c r="Z3" s="361"/>
      <c r="AA3" s="361"/>
      <c r="AB3" s="361"/>
      <c r="AC3" s="361"/>
      <c r="AD3" s="361"/>
      <c r="AE3" s="361"/>
      <c r="AF3" s="361"/>
      <c r="AG3" s="361"/>
      <c r="AH3" s="361"/>
      <c r="AI3" s="361"/>
      <c r="AJ3" s="361"/>
      <c r="AK3" s="361"/>
      <c r="AL3" s="361"/>
      <c r="AM3" s="361"/>
      <c r="AN3" s="361"/>
      <c r="AO3" s="361"/>
      <c r="AP3" s="361"/>
      <c r="AQ3" s="361"/>
      <c r="AR3" s="361"/>
      <c r="AS3" s="361"/>
      <c r="AT3" s="361"/>
      <c r="AU3" s="361"/>
      <c r="AV3" s="361"/>
      <c r="AW3" s="361"/>
      <c r="AX3" s="361"/>
      <c r="AY3" s="361"/>
      <c r="AZ3" s="361"/>
      <c r="BA3" s="361"/>
      <c r="BB3" s="361"/>
      <c r="BC3" s="361"/>
      <c r="BD3" s="361"/>
      <c r="BE3" s="361"/>
      <c r="BF3" s="361"/>
      <c r="BG3" s="361"/>
      <c r="BH3" s="361"/>
      <c r="BI3" s="361"/>
    </row>
    <row r="4" customFormat="false" ht="29.15" hidden="false" customHeight="true" outlineLevel="0" collapsed="false">
      <c r="D4" s="361"/>
      <c r="E4" s="361"/>
      <c r="F4" s="361"/>
      <c r="G4" s="361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1"/>
      <c r="U4" s="361"/>
      <c r="V4" s="361"/>
      <c r="W4" s="361"/>
      <c r="X4" s="361"/>
      <c r="Y4" s="361"/>
      <c r="Z4" s="361"/>
      <c r="AA4" s="361"/>
      <c r="AB4" s="361"/>
      <c r="AC4" s="361"/>
      <c r="AD4" s="361"/>
      <c r="AE4" s="361"/>
      <c r="AF4" s="361"/>
      <c r="AG4" s="361"/>
      <c r="AH4" s="361"/>
      <c r="AI4" s="361"/>
      <c r="AJ4" s="361"/>
      <c r="AK4" s="361"/>
      <c r="AL4" s="361"/>
      <c r="AM4" s="361"/>
      <c r="AN4" s="361"/>
      <c r="AO4" s="361"/>
      <c r="AP4" s="361"/>
      <c r="AQ4" s="361"/>
      <c r="AR4" s="361"/>
      <c r="AS4" s="361"/>
      <c r="AT4" s="361"/>
      <c r="AU4" s="361"/>
      <c r="AV4" s="361"/>
      <c r="AW4" s="361"/>
      <c r="AX4" s="361"/>
      <c r="AY4" s="361"/>
      <c r="AZ4" s="361"/>
      <c r="BA4" s="361"/>
      <c r="BB4" s="361"/>
      <c r="BC4" s="361"/>
      <c r="BD4" s="361"/>
      <c r="BE4" s="361"/>
      <c r="BF4" s="361"/>
      <c r="BG4" s="361"/>
      <c r="BH4" s="361"/>
      <c r="BI4" s="361"/>
    </row>
    <row r="6" customFormat="false" ht="15" hidden="false" customHeight="true" outlineLevel="0" collapsed="false"/>
    <row r="7" customFormat="false" ht="75.65" hidden="false" customHeight="true" outlineLevel="0" collapsed="false">
      <c r="A7" s="362" t="s">
        <v>100</v>
      </c>
      <c r="B7" s="363" t="s">
        <v>524</v>
      </c>
      <c r="C7" s="363" t="s">
        <v>525</v>
      </c>
      <c r="D7" s="364" t="s">
        <v>498</v>
      </c>
      <c r="E7" s="364"/>
      <c r="F7" s="364" t="s">
        <v>499</v>
      </c>
      <c r="G7" s="364"/>
      <c r="H7" s="364"/>
      <c r="I7" s="364"/>
      <c r="J7" s="365" t="s">
        <v>500</v>
      </c>
      <c r="K7" s="365"/>
      <c r="L7" s="365"/>
      <c r="M7" s="365"/>
      <c r="N7" s="365"/>
      <c r="O7" s="364" t="s">
        <v>501</v>
      </c>
      <c r="P7" s="364"/>
      <c r="Q7" s="364"/>
      <c r="R7" s="364"/>
      <c r="S7" s="366" t="s">
        <v>490</v>
      </c>
      <c r="T7" s="366"/>
      <c r="U7" s="366"/>
      <c r="V7" s="366"/>
      <c r="W7" s="362" t="s">
        <v>491</v>
      </c>
      <c r="X7" s="362"/>
      <c r="Y7" s="362"/>
      <c r="Z7" s="362"/>
      <c r="AA7" s="366" t="s">
        <v>492</v>
      </c>
      <c r="AB7" s="366"/>
      <c r="AC7" s="366"/>
      <c r="AD7" s="366"/>
      <c r="AE7" s="366"/>
      <c r="AF7" s="367" t="s">
        <v>493</v>
      </c>
      <c r="AG7" s="367"/>
      <c r="AH7" s="367"/>
      <c r="AI7" s="367"/>
      <c r="AJ7" s="366" t="s">
        <v>494</v>
      </c>
      <c r="AK7" s="366"/>
      <c r="AL7" s="366"/>
      <c r="AM7" s="366"/>
      <c r="AN7" s="366"/>
      <c r="AO7" s="362" t="s">
        <v>495</v>
      </c>
      <c r="AP7" s="362"/>
      <c r="AQ7" s="362"/>
      <c r="AR7" s="362"/>
      <c r="AS7" s="366" t="s">
        <v>496</v>
      </c>
      <c r="AT7" s="366"/>
      <c r="AU7" s="366"/>
      <c r="AV7" s="366"/>
      <c r="AW7" s="362" t="s">
        <v>497</v>
      </c>
      <c r="AX7" s="362"/>
      <c r="AY7" s="362"/>
      <c r="AZ7" s="362"/>
      <c r="BA7" s="362"/>
      <c r="BB7" s="366" t="s">
        <v>498</v>
      </c>
      <c r="BC7" s="366"/>
      <c r="BD7" s="366"/>
      <c r="BE7" s="366"/>
      <c r="BF7" s="362" t="s">
        <v>499</v>
      </c>
      <c r="BG7" s="362"/>
      <c r="BH7" s="362"/>
      <c r="BI7" s="362"/>
    </row>
    <row r="8" customFormat="false" ht="26.15" hidden="false" customHeight="true" outlineLevel="0" collapsed="false">
      <c r="A8" s="368"/>
      <c r="B8" s="369"/>
      <c r="C8" s="369"/>
      <c r="D8" s="370" t="s">
        <v>526</v>
      </c>
      <c r="E8" s="371" t="s">
        <v>527</v>
      </c>
      <c r="F8" s="370" t="s">
        <v>528</v>
      </c>
      <c r="G8" s="372" t="s">
        <v>529</v>
      </c>
      <c r="H8" s="372" t="s">
        <v>530</v>
      </c>
      <c r="I8" s="371" t="s">
        <v>531</v>
      </c>
      <c r="J8" s="373" t="s">
        <v>532</v>
      </c>
      <c r="K8" s="372" t="s">
        <v>533</v>
      </c>
      <c r="L8" s="372" t="s">
        <v>534</v>
      </c>
      <c r="M8" s="372" t="s">
        <v>535</v>
      </c>
      <c r="N8" s="374" t="s">
        <v>536</v>
      </c>
      <c r="O8" s="370" t="s">
        <v>537</v>
      </c>
      <c r="P8" s="372" t="s">
        <v>538</v>
      </c>
      <c r="Q8" s="372" t="s">
        <v>539</v>
      </c>
      <c r="R8" s="371" t="s">
        <v>540</v>
      </c>
      <c r="S8" s="373" t="s">
        <v>537</v>
      </c>
      <c r="T8" s="375" t="s">
        <v>538</v>
      </c>
      <c r="U8" s="375" t="s">
        <v>539</v>
      </c>
      <c r="V8" s="376" t="s">
        <v>540</v>
      </c>
      <c r="W8" s="377" t="s">
        <v>541</v>
      </c>
      <c r="X8" s="375" t="s">
        <v>542</v>
      </c>
      <c r="Y8" s="375" t="s">
        <v>543</v>
      </c>
      <c r="Z8" s="378" t="s">
        <v>544</v>
      </c>
      <c r="AA8" s="379" t="s">
        <v>545</v>
      </c>
      <c r="AB8" s="375" t="s">
        <v>546</v>
      </c>
      <c r="AC8" s="375" t="s">
        <v>547</v>
      </c>
      <c r="AD8" s="375" t="s">
        <v>548</v>
      </c>
      <c r="AE8" s="376" t="s">
        <v>549</v>
      </c>
      <c r="AF8" s="377" t="s">
        <v>528</v>
      </c>
      <c r="AG8" s="375" t="s">
        <v>529</v>
      </c>
      <c r="AH8" s="375" t="s">
        <v>530</v>
      </c>
      <c r="AI8" s="378" t="s">
        <v>531</v>
      </c>
      <c r="AJ8" s="379" t="s">
        <v>541</v>
      </c>
      <c r="AK8" s="375" t="s">
        <v>542</v>
      </c>
      <c r="AL8" s="375" t="s">
        <v>543</v>
      </c>
      <c r="AM8" s="375" t="s">
        <v>544</v>
      </c>
      <c r="AN8" s="376" t="s">
        <v>550</v>
      </c>
      <c r="AO8" s="377" t="s">
        <v>551</v>
      </c>
      <c r="AP8" s="375" t="s">
        <v>552</v>
      </c>
      <c r="AQ8" s="375" t="s">
        <v>553</v>
      </c>
      <c r="AR8" s="378" t="s">
        <v>527</v>
      </c>
      <c r="AS8" s="379" t="s">
        <v>554</v>
      </c>
      <c r="AT8" s="375" t="s">
        <v>555</v>
      </c>
      <c r="AU8" s="375" t="s">
        <v>556</v>
      </c>
      <c r="AV8" s="376" t="s">
        <v>526</v>
      </c>
      <c r="AW8" s="377" t="s">
        <v>532</v>
      </c>
      <c r="AX8" s="375" t="s">
        <v>533</v>
      </c>
      <c r="AY8" s="375" t="s">
        <v>534</v>
      </c>
      <c r="AZ8" s="375" t="s">
        <v>535</v>
      </c>
      <c r="BA8" s="378" t="s">
        <v>536</v>
      </c>
      <c r="BB8" s="379" t="s">
        <v>537</v>
      </c>
      <c r="BC8" s="375" t="s">
        <v>538</v>
      </c>
      <c r="BD8" s="378" t="s">
        <v>539</v>
      </c>
      <c r="BE8" s="376" t="s">
        <v>540</v>
      </c>
      <c r="BF8" s="377" t="s">
        <v>554</v>
      </c>
      <c r="BG8" s="375" t="s">
        <v>555</v>
      </c>
      <c r="BH8" s="378" t="s">
        <v>556</v>
      </c>
      <c r="BI8" s="378" t="s">
        <v>526</v>
      </c>
    </row>
    <row r="9" customFormat="false" ht="24.45" hidden="false" customHeight="false" outlineLevel="0" collapsed="false">
      <c r="A9" s="368"/>
      <c r="B9" s="380" t="s">
        <v>557</v>
      </c>
      <c r="C9" s="381" t="n">
        <v>13.33</v>
      </c>
      <c r="D9" s="382"/>
      <c r="E9" s="383"/>
      <c r="F9" s="382"/>
      <c r="G9" s="384"/>
      <c r="H9" s="384"/>
      <c r="I9" s="383"/>
      <c r="J9" s="385"/>
      <c r="K9" s="384"/>
      <c r="L9" s="384"/>
      <c r="M9" s="384"/>
      <c r="N9" s="386"/>
      <c r="O9" s="382"/>
      <c r="P9" s="384"/>
      <c r="Q9" s="384"/>
      <c r="R9" s="387"/>
      <c r="S9" s="388"/>
      <c r="T9" s="389"/>
      <c r="U9" s="389"/>
      <c r="V9" s="390"/>
      <c r="W9" s="391"/>
      <c r="X9" s="389"/>
      <c r="Y9" s="389"/>
      <c r="Z9" s="387"/>
      <c r="AA9" s="388"/>
      <c r="AB9" s="389"/>
      <c r="AC9" s="389"/>
      <c r="AD9" s="389"/>
      <c r="AE9" s="390"/>
      <c r="AF9" s="391"/>
      <c r="AG9" s="389"/>
      <c r="AH9" s="389"/>
      <c r="AI9" s="387"/>
      <c r="AJ9" s="388"/>
      <c r="AK9" s="389"/>
      <c r="AL9" s="389"/>
      <c r="AM9" s="389"/>
      <c r="AN9" s="390"/>
      <c r="AO9" s="391"/>
      <c r="AP9" s="389"/>
      <c r="AQ9" s="389"/>
      <c r="AR9" s="387"/>
      <c r="AS9" s="392"/>
      <c r="AT9" s="393"/>
      <c r="AU9" s="393"/>
      <c r="AV9" s="394"/>
      <c r="AW9" s="395"/>
      <c r="AX9" s="393"/>
      <c r="AY9" s="393"/>
      <c r="AZ9" s="393"/>
      <c r="BA9" s="396"/>
      <c r="BB9" s="392"/>
      <c r="BC9" s="393"/>
      <c r="BD9" s="393"/>
      <c r="BE9" s="394"/>
      <c r="BF9" s="395"/>
      <c r="BG9" s="393"/>
      <c r="BH9" s="393"/>
      <c r="BI9" s="396"/>
    </row>
    <row r="10" customFormat="false" ht="68.65" hidden="false" customHeight="true" outlineLevel="0" collapsed="false">
      <c r="A10" s="397" t="s">
        <v>558</v>
      </c>
      <c r="B10" s="398" t="s">
        <v>559</v>
      </c>
      <c r="C10" s="381" t="n">
        <v>1.5</v>
      </c>
      <c r="D10" s="399"/>
      <c r="E10" s="400"/>
      <c r="F10" s="399"/>
      <c r="G10" s="401"/>
      <c r="H10" s="401"/>
      <c r="I10" s="400"/>
      <c r="J10" s="402"/>
      <c r="K10" s="403"/>
      <c r="L10" s="403"/>
      <c r="M10" s="403"/>
      <c r="N10" s="404"/>
      <c r="O10" s="405"/>
      <c r="P10" s="403"/>
      <c r="Q10" s="403"/>
      <c r="R10" s="406"/>
      <c r="S10" s="402"/>
      <c r="T10" s="403"/>
      <c r="U10" s="403"/>
      <c r="V10" s="404"/>
      <c r="W10" s="405"/>
      <c r="X10" s="403"/>
      <c r="Y10" s="403"/>
      <c r="Z10" s="406"/>
      <c r="AA10" s="402"/>
      <c r="AB10" s="403"/>
      <c r="AC10" s="403"/>
      <c r="AD10" s="403"/>
      <c r="AE10" s="404"/>
      <c r="AF10" s="405"/>
      <c r="AG10" s="403"/>
      <c r="AH10" s="403"/>
      <c r="AI10" s="406"/>
      <c r="AJ10" s="402"/>
      <c r="AK10" s="403"/>
      <c r="AL10" s="403"/>
      <c r="AM10" s="403"/>
      <c r="AN10" s="404"/>
      <c r="AO10" s="405"/>
      <c r="AP10" s="403"/>
      <c r="AQ10" s="403"/>
      <c r="AR10" s="406"/>
      <c r="AS10" s="402"/>
      <c r="AT10" s="403"/>
      <c r="AU10" s="403"/>
      <c r="AV10" s="404"/>
      <c r="AW10" s="405"/>
      <c r="AX10" s="403"/>
      <c r="AY10" s="403"/>
      <c r="AZ10" s="403"/>
      <c r="BA10" s="406"/>
      <c r="BB10" s="402"/>
      <c r="BC10" s="403"/>
      <c r="BD10" s="403"/>
      <c r="BE10" s="404"/>
      <c r="BF10" s="405"/>
      <c r="BG10" s="403"/>
      <c r="BH10" s="403"/>
      <c r="BI10" s="406"/>
    </row>
    <row r="11" customFormat="false" ht="24.45" hidden="false" customHeight="false" outlineLevel="0" collapsed="false">
      <c r="A11" s="397"/>
      <c r="B11" s="398" t="s">
        <v>560</v>
      </c>
      <c r="C11" s="381"/>
      <c r="D11" s="405"/>
      <c r="E11" s="406"/>
      <c r="F11" s="405"/>
      <c r="G11" s="403"/>
      <c r="H11" s="403"/>
      <c r="I11" s="406"/>
      <c r="J11" s="407"/>
      <c r="K11" s="403"/>
      <c r="L11" s="403"/>
      <c r="M11" s="403"/>
      <c r="N11" s="404"/>
      <c r="O11" s="405"/>
      <c r="P11" s="403"/>
      <c r="Q11" s="403"/>
      <c r="R11" s="406"/>
      <c r="S11" s="402"/>
      <c r="T11" s="403"/>
      <c r="U11" s="403"/>
      <c r="V11" s="404"/>
      <c r="W11" s="405"/>
      <c r="X11" s="403"/>
      <c r="Y11" s="403"/>
      <c r="Z11" s="406"/>
      <c r="AA11" s="402"/>
      <c r="AB11" s="403"/>
      <c r="AC11" s="403"/>
      <c r="AD11" s="403"/>
      <c r="AE11" s="404"/>
      <c r="AF11" s="405"/>
      <c r="AG11" s="403"/>
      <c r="AH11" s="403"/>
      <c r="AI11" s="406"/>
      <c r="AJ11" s="402"/>
      <c r="AK11" s="403"/>
      <c r="AL11" s="403"/>
      <c r="AM11" s="403"/>
      <c r="AN11" s="404"/>
      <c r="AO11" s="405"/>
      <c r="AP11" s="403"/>
      <c r="AQ11" s="403"/>
      <c r="AR11" s="406"/>
      <c r="AS11" s="402"/>
      <c r="AT11" s="403"/>
      <c r="AU11" s="403"/>
      <c r="AV11" s="404"/>
      <c r="AW11" s="405"/>
      <c r="AX11" s="403"/>
      <c r="AY11" s="403"/>
      <c r="AZ11" s="403"/>
      <c r="BA11" s="406"/>
      <c r="BB11" s="402"/>
      <c r="BC11" s="403"/>
      <c r="BD11" s="403"/>
      <c r="BE11" s="404"/>
      <c r="BF11" s="405"/>
      <c r="BG11" s="403"/>
      <c r="BH11" s="403"/>
      <c r="BI11" s="406"/>
    </row>
    <row r="12" customFormat="false" ht="24.45" hidden="false" customHeight="false" outlineLevel="0" collapsed="false">
      <c r="A12" s="397"/>
      <c r="B12" s="398" t="s">
        <v>561</v>
      </c>
      <c r="C12" s="381" t="n">
        <v>5</v>
      </c>
      <c r="D12" s="405"/>
      <c r="E12" s="408"/>
      <c r="F12" s="409"/>
      <c r="G12" s="410"/>
      <c r="H12" s="410"/>
      <c r="I12" s="408"/>
      <c r="J12" s="411"/>
      <c r="K12" s="412"/>
      <c r="L12" s="412"/>
      <c r="M12" s="412"/>
      <c r="N12" s="413"/>
      <c r="O12" s="414"/>
      <c r="P12" s="412"/>
      <c r="Q12" s="412"/>
      <c r="R12" s="415"/>
      <c r="S12" s="416"/>
      <c r="T12" s="417"/>
      <c r="U12" s="417"/>
      <c r="V12" s="418"/>
      <c r="W12" s="419"/>
      <c r="X12" s="417"/>
      <c r="Y12" s="417"/>
      <c r="Z12" s="420"/>
      <c r="AA12" s="421"/>
      <c r="AB12" s="422"/>
      <c r="AC12" s="422"/>
      <c r="AD12" s="422"/>
      <c r="AE12" s="423"/>
      <c r="AF12" s="405"/>
      <c r="AG12" s="403"/>
      <c r="AH12" s="403"/>
      <c r="AI12" s="406"/>
      <c r="AJ12" s="402"/>
      <c r="AK12" s="403"/>
      <c r="AL12" s="403"/>
      <c r="AM12" s="403"/>
      <c r="AN12" s="404"/>
      <c r="AO12" s="405"/>
      <c r="AP12" s="403"/>
      <c r="AQ12" s="403"/>
      <c r="AR12" s="406"/>
      <c r="AS12" s="402"/>
      <c r="AT12" s="403"/>
      <c r="AU12" s="403"/>
      <c r="AV12" s="404"/>
      <c r="AW12" s="405"/>
      <c r="AX12" s="403"/>
      <c r="AY12" s="403"/>
      <c r="AZ12" s="403"/>
      <c r="BA12" s="406"/>
      <c r="BB12" s="402"/>
      <c r="BC12" s="403"/>
      <c r="BD12" s="403"/>
      <c r="BE12" s="404"/>
      <c r="BF12" s="405"/>
      <c r="BG12" s="403"/>
      <c r="BH12" s="403"/>
      <c r="BI12" s="406"/>
    </row>
    <row r="13" customFormat="false" ht="46.25" hidden="false" customHeight="false" outlineLevel="0" collapsed="false">
      <c r="A13" s="424"/>
      <c r="B13" s="425" t="s">
        <v>562</v>
      </c>
      <c r="C13" s="426" t="n">
        <v>12.75</v>
      </c>
      <c r="D13" s="427"/>
      <c r="E13" s="428"/>
      <c r="F13" s="427"/>
      <c r="G13" s="429"/>
      <c r="H13" s="429"/>
      <c r="I13" s="428"/>
      <c r="J13" s="430"/>
      <c r="K13" s="429"/>
      <c r="L13" s="429"/>
      <c r="M13" s="429"/>
      <c r="N13" s="431"/>
      <c r="O13" s="427"/>
      <c r="P13" s="429"/>
      <c r="Q13" s="429"/>
      <c r="R13" s="432"/>
      <c r="S13" s="433"/>
      <c r="T13" s="434"/>
      <c r="U13" s="434"/>
      <c r="V13" s="435"/>
      <c r="W13" s="436"/>
      <c r="X13" s="434"/>
      <c r="Y13" s="434"/>
      <c r="Z13" s="432"/>
      <c r="AA13" s="433"/>
      <c r="AB13" s="434"/>
      <c r="AC13" s="434"/>
      <c r="AD13" s="434"/>
      <c r="AE13" s="435"/>
      <c r="AF13" s="436"/>
      <c r="AG13" s="434"/>
      <c r="AH13" s="434"/>
      <c r="AI13" s="432"/>
      <c r="AJ13" s="433"/>
      <c r="AK13" s="434"/>
      <c r="AL13" s="434"/>
      <c r="AM13" s="434"/>
      <c r="AN13" s="435"/>
      <c r="AO13" s="436"/>
      <c r="AP13" s="434"/>
      <c r="AQ13" s="434"/>
      <c r="AR13" s="432"/>
      <c r="AS13" s="433"/>
      <c r="AT13" s="434"/>
      <c r="AU13" s="434"/>
      <c r="AV13" s="435"/>
      <c r="AW13" s="436"/>
      <c r="AX13" s="434"/>
      <c r="AY13" s="434"/>
      <c r="AZ13" s="434"/>
      <c r="BA13" s="432"/>
      <c r="BB13" s="433"/>
      <c r="BC13" s="434"/>
      <c r="BD13" s="434"/>
      <c r="BE13" s="435"/>
      <c r="BF13" s="436"/>
      <c r="BG13" s="434"/>
      <c r="BH13" s="403"/>
      <c r="BI13" s="406"/>
    </row>
    <row r="14" customFormat="false" ht="24.45" hidden="false" customHeight="true" outlineLevel="0" collapsed="false">
      <c r="A14" s="397" t="s">
        <v>205</v>
      </c>
      <c r="B14" s="398" t="s">
        <v>563</v>
      </c>
      <c r="C14" s="381"/>
      <c r="D14" s="399"/>
      <c r="E14" s="400"/>
      <c r="F14" s="399"/>
      <c r="G14" s="401"/>
      <c r="H14" s="401"/>
      <c r="I14" s="400"/>
      <c r="J14" s="407"/>
      <c r="K14" s="401"/>
      <c r="L14" s="401"/>
      <c r="M14" s="401"/>
      <c r="N14" s="437"/>
      <c r="O14" s="399"/>
      <c r="P14" s="401"/>
      <c r="Q14" s="401"/>
      <c r="R14" s="400"/>
      <c r="S14" s="407"/>
      <c r="T14" s="403"/>
      <c r="U14" s="403"/>
      <c r="V14" s="404"/>
      <c r="W14" s="405"/>
      <c r="X14" s="403"/>
      <c r="Y14" s="403"/>
      <c r="Z14" s="406"/>
      <c r="AA14" s="402"/>
      <c r="AB14" s="403"/>
      <c r="AC14" s="403"/>
      <c r="AD14" s="403"/>
      <c r="AE14" s="404"/>
      <c r="AF14" s="405"/>
      <c r="AG14" s="403"/>
      <c r="AH14" s="403"/>
      <c r="AI14" s="406"/>
      <c r="AJ14" s="402"/>
      <c r="AK14" s="403"/>
      <c r="AL14" s="403"/>
      <c r="AM14" s="403"/>
      <c r="AN14" s="404"/>
      <c r="AO14" s="405"/>
      <c r="AP14" s="403"/>
      <c r="AQ14" s="403"/>
      <c r="AR14" s="406"/>
      <c r="AS14" s="402"/>
      <c r="AT14" s="403"/>
      <c r="AU14" s="403"/>
      <c r="AV14" s="404"/>
      <c r="AW14" s="405"/>
      <c r="AX14" s="403"/>
      <c r="AY14" s="403"/>
      <c r="AZ14" s="403"/>
      <c r="BA14" s="406"/>
      <c r="BB14" s="402"/>
      <c r="BC14" s="403"/>
      <c r="BD14" s="403"/>
      <c r="BE14" s="404"/>
      <c r="BF14" s="405"/>
      <c r="BG14" s="403"/>
      <c r="BH14" s="403"/>
      <c r="BI14" s="406"/>
    </row>
    <row r="15" customFormat="false" ht="24.45" hidden="false" customHeight="false" outlineLevel="0" collapsed="false">
      <c r="A15" s="397"/>
      <c r="B15" s="398" t="s">
        <v>564</v>
      </c>
      <c r="C15" s="381" t="n">
        <v>5.5</v>
      </c>
      <c r="D15" s="405"/>
      <c r="E15" s="406"/>
      <c r="F15" s="399"/>
      <c r="G15" s="401"/>
      <c r="H15" s="401"/>
      <c r="I15" s="400"/>
      <c r="J15" s="407"/>
      <c r="K15" s="401"/>
      <c r="L15" s="401"/>
      <c r="M15" s="401"/>
      <c r="N15" s="437"/>
      <c r="O15" s="399"/>
      <c r="P15" s="401"/>
      <c r="Q15" s="401"/>
      <c r="R15" s="400"/>
      <c r="S15" s="407"/>
      <c r="T15" s="422"/>
      <c r="U15" s="422"/>
      <c r="V15" s="423"/>
      <c r="W15" s="438"/>
      <c r="X15" s="422"/>
      <c r="Y15" s="422"/>
      <c r="Z15" s="439"/>
      <c r="AA15" s="421"/>
      <c r="AB15" s="403"/>
      <c r="AC15" s="403"/>
      <c r="AD15" s="403"/>
      <c r="AE15" s="404"/>
      <c r="AF15" s="405"/>
      <c r="AG15" s="403"/>
      <c r="AH15" s="403"/>
      <c r="AI15" s="406"/>
      <c r="AJ15" s="402"/>
      <c r="AK15" s="403"/>
      <c r="AL15" s="403"/>
      <c r="AM15" s="403"/>
      <c r="AN15" s="404"/>
      <c r="AO15" s="405"/>
      <c r="AP15" s="403"/>
      <c r="AQ15" s="403"/>
      <c r="AR15" s="406"/>
      <c r="AS15" s="402"/>
      <c r="AT15" s="403"/>
      <c r="AU15" s="403"/>
      <c r="AV15" s="404"/>
      <c r="AW15" s="405"/>
      <c r="AX15" s="403"/>
      <c r="AY15" s="403"/>
      <c r="AZ15" s="403"/>
      <c r="BA15" s="406"/>
      <c r="BB15" s="402"/>
      <c r="BC15" s="403"/>
      <c r="BD15" s="403"/>
      <c r="BE15" s="404"/>
      <c r="BF15" s="405"/>
      <c r="BG15" s="403"/>
      <c r="BH15" s="403"/>
      <c r="BI15" s="406"/>
    </row>
    <row r="16" customFormat="false" ht="24.45" hidden="false" customHeight="false" outlineLevel="0" collapsed="false">
      <c r="A16" s="397"/>
      <c r="B16" s="398" t="s">
        <v>359</v>
      </c>
      <c r="C16" s="381" t="n">
        <v>5</v>
      </c>
      <c r="D16" s="440"/>
      <c r="E16" s="406"/>
      <c r="F16" s="405"/>
      <c r="G16" s="401"/>
      <c r="H16" s="401"/>
      <c r="I16" s="400"/>
      <c r="J16" s="407"/>
      <c r="K16" s="401"/>
      <c r="L16" s="401"/>
      <c r="M16" s="401"/>
      <c r="N16" s="437"/>
      <c r="O16" s="399"/>
      <c r="P16" s="401"/>
      <c r="Q16" s="401"/>
      <c r="R16" s="400"/>
      <c r="S16" s="407"/>
      <c r="T16" s="422"/>
      <c r="U16" s="422"/>
      <c r="V16" s="423"/>
      <c r="W16" s="438"/>
      <c r="X16" s="422"/>
      <c r="Y16" s="422"/>
      <c r="Z16" s="439"/>
      <c r="AA16" s="421"/>
      <c r="AB16" s="422"/>
      <c r="AC16" s="403"/>
      <c r="AD16" s="403"/>
      <c r="AE16" s="404"/>
      <c r="AF16" s="405"/>
      <c r="AG16" s="403"/>
      <c r="AH16" s="403"/>
      <c r="AI16" s="406"/>
      <c r="AJ16" s="402"/>
      <c r="AK16" s="403"/>
      <c r="AL16" s="403"/>
      <c r="AM16" s="403"/>
      <c r="AN16" s="404"/>
      <c r="AO16" s="405"/>
      <c r="AP16" s="403"/>
      <c r="AQ16" s="403"/>
      <c r="AR16" s="406"/>
      <c r="AS16" s="402"/>
      <c r="AT16" s="403"/>
      <c r="AU16" s="403"/>
      <c r="AV16" s="404"/>
      <c r="AW16" s="405"/>
      <c r="AX16" s="403"/>
      <c r="AY16" s="403"/>
      <c r="AZ16" s="403"/>
      <c r="BA16" s="406"/>
      <c r="BB16" s="402"/>
      <c r="BC16" s="403"/>
      <c r="BD16" s="403"/>
      <c r="BE16" s="404"/>
      <c r="BF16" s="405"/>
      <c r="BG16" s="403"/>
      <c r="BH16" s="403"/>
      <c r="BI16" s="406"/>
    </row>
    <row r="17" customFormat="false" ht="24.45" hidden="false" customHeight="false" outlineLevel="0" collapsed="false">
      <c r="A17" s="397"/>
      <c r="B17" s="398" t="s">
        <v>565</v>
      </c>
      <c r="C17" s="381" t="n">
        <v>5</v>
      </c>
      <c r="D17" s="440"/>
      <c r="E17" s="406"/>
      <c r="F17" s="405"/>
      <c r="G17" s="401"/>
      <c r="H17" s="401"/>
      <c r="I17" s="400"/>
      <c r="J17" s="407"/>
      <c r="K17" s="401"/>
      <c r="L17" s="401"/>
      <c r="M17" s="401"/>
      <c r="N17" s="437"/>
      <c r="O17" s="399"/>
      <c r="P17" s="401"/>
      <c r="Q17" s="401"/>
      <c r="R17" s="441"/>
      <c r="S17" s="442"/>
      <c r="T17" s="443"/>
      <c r="U17" s="422"/>
      <c r="V17" s="423"/>
      <c r="W17" s="438"/>
      <c r="X17" s="422"/>
      <c r="Y17" s="422"/>
      <c r="Z17" s="439"/>
      <c r="AA17" s="421"/>
      <c r="AB17" s="422"/>
      <c r="AC17" s="403"/>
      <c r="AD17" s="403"/>
      <c r="AE17" s="404"/>
      <c r="AF17" s="405"/>
      <c r="AG17" s="403"/>
      <c r="AH17" s="403"/>
      <c r="AI17" s="406"/>
      <c r="AJ17" s="402"/>
      <c r="AK17" s="403"/>
      <c r="AL17" s="403"/>
      <c r="AM17" s="403"/>
      <c r="AN17" s="404"/>
      <c r="AO17" s="405"/>
      <c r="AP17" s="403"/>
      <c r="AQ17" s="403"/>
      <c r="AR17" s="406"/>
      <c r="AS17" s="402"/>
      <c r="AT17" s="403"/>
      <c r="AU17" s="403"/>
      <c r="AV17" s="404"/>
      <c r="AW17" s="405"/>
      <c r="AX17" s="403"/>
      <c r="AY17" s="403"/>
      <c r="AZ17" s="403"/>
      <c r="BA17" s="406"/>
      <c r="BB17" s="402"/>
      <c r="BC17" s="403"/>
      <c r="BD17" s="403"/>
      <c r="BE17" s="404"/>
      <c r="BF17" s="405"/>
      <c r="BG17" s="403"/>
      <c r="BH17" s="403"/>
      <c r="BI17" s="406"/>
    </row>
    <row r="18" customFormat="false" ht="46.25" hidden="false" customHeight="false" outlineLevel="0" collapsed="false">
      <c r="A18" s="397"/>
      <c r="B18" s="398" t="s">
        <v>566</v>
      </c>
      <c r="C18" s="381" t="n">
        <v>2</v>
      </c>
      <c r="D18" s="444"/>
      <c r="E18" s="406"/>
      <c r="F18" s="405"/>
      <c r="G18" s="401"/>
      <c r="H18" s="401"/>
      <c r="I18" s="400"/>
      <c r="J18" s="407"/>
      <c r="K18" s="401"/>
      <c r="L18" s="401"/>
      <c r="M18" s="401"/>
      <c r="N18" s="437"/>
      <c r="O18" s="399"/>
      <c r="P18" s="401"/>
      <c r="Q18" s="401"/>
      <c r="R18" s="441"/>
      <c r="S18" s="402"/>
      <c r="T18" s="445"/>
      <c r="U18" s="403"/>
      <c r="V18" s="404"/>
      <c r="W18" s="405"/>
      <c r="X18" s="403"/>
      <c r="Y18" s="403"/>
      <c r="Z18" s="406"/>
      <c r="AA18" s="402"/>
      <c r="AB18" s="403"/>
      <c r="AC18" s="403"/>
      <c r="AD18" s="403"/>
      <c r="AE18" s="404"/>
      <c r="AF18" s="440"/>
      <c r="AG18" s="445"/>
      <c r="AH18" s="403"/>
      <c r="AI18" s="406"/>
      <c r="AJ18" s="402"/>
      <c r="AK18" s="403"/>
      <c r="AL18" s="403"/>
      <c r="AM18" s="403"/>
      <c r="AN18" s="404"/>
      <c r="AO18" s="405"/>
      <c r="AP18" s="403"/>
      <c r="AQ18" s="403"/>
      <c r="AR18" s="406"/>
      <c r="AS18" s="402"/>
      <c r="AT18" s="403"/>
      <c r="AU18" s="403"/>
      <c r="AV18" s="404"/>
      <c r="AW18" s="405"/>
      <c r="AX18" s="403"/>
      <c r="AY18" s="403"/>
      <c r="AZ18" s="403"/>
      <c r="BA18" s="406"/>
      <c r="BB18" s="402"/>
      <c r="BC18" s="403"/>
      <c r="BD18" s="403"/>
      <c r="BE18" s="404"/>
      <c r="BF18" s="405"/>
      <c r="BG18" s="403"/>
      <c r="BH18" s="403"/>
      <c r="BI18" s="406"/>
    </row>
    <row r="19" customFormat="false" ht="24.45" hidden="false" customHeight="false" outlineLevel="0" collapsed="false">
      <c r="A19" s="397"/>
      <c r="B19" s="398" t="s">
        <v>567</v>
      </c>
      <c r="C19" s="381" t="n">
        <v>4.75</v>
      </c>
      <c r="D19" s="444"/>
      <c r="E19" s="406"/>
      <c r="F19" s="405"/>
      <c r="G19" s="403"/>
      <c r="H19" s="403"/>
      <c r="I19" s="406"/>
      <c r="J19" s="402"/>
      <c r="K19" s="403"/>
      <c r="L19" s="403"/>
      <c r="M19" s="403"/>
      <c r="N19" s="404"/>
      <c r="O19" s="405"/>
      <c r="P19" s="403"/>
      <c r="Q19" s="403"/>
      <c r="R19" s="406"/>
      <c r="S19" s="402"/>
      <c r="T19" s="446"/>
      <c r="U19" s="422"/>
      <c r="V19" s="423"/>
      <c r="W19" s="438"/>
      <c r="X19" s="422"/>
      <c r="Y19" s="422"/>
      <c r="Z19" s="439"/>
      <c r="AA19" s="421"/>
      <c r="AB19" s="422"/>
      <c r="AC19" s="422"/>
      <c r="AD19" s="422"/>
      <c r="AE19" s="423"/>
      <c r="AF19" s="440"/>
      <c r="AG19" s="445"/>
      <c r="AH19" s="403"/>
      <c r="AI19" s="406"/>
      <c r="AJ19" s="402"/>
      <c r="AK19" s="403"/>
      <c r="AL19" s="403"/>
      <c r="AM19" s="403"/>
      <c r="AN19" s="404"/>
      <c r="AO19" s="405"/>
      <c r="AP19" s="403"/>
      <c r="AQ19" s="403"/>
      <c r="AR19" s="406"/>
      <c r="AS19" s="402"/>
      <c r="AT19" s="403"/>
      <c r="AU19" s="403"/>
      <c r="AV19" s="404"/>
      <c r="AW19" s="405"/>
      <c r="AX19" s="403"/>
      <c r="AY19" s="403"/>
      <c r="AZ19" s="403"/>
      <c r="BA19" s="406"/>
      <c r="BB19" s="402"/>
      <c r="BC19" s="403"/>
      <c r="BD19" s="403"/>
      <c r="BE19" s="404"/>
      <c r="BF19" s="405"/>
      <c r="BG19" s="403"/>
      <c r="BH19" s="403"/>
      <c r="BI19" s="406"/>
    </row>
    <row r="20" customFormat="false" ht="46.25" hidden="false" customHeight="false" outlineLevel="0" collapsed="false">
      <c r="A20" s="397"/>
      <c r="B20" s="447" t="s">
        <v>568</v>
      </c>
      <c r="C20" s="381" t="n">
        <v>3</v>
      </c>
      <c r="D20" s="444"/>
      <c r="E20" s="406"/>
      <c r="F20" s="405"/>
      <c r="G20" s="403"/>
      <c r="H20" s="403"/>
      <c r="I20" s="406"/>
      <c r="J20" s="402"/>
      <c r="K20" s="403"/>
      <c r="L20" s="403"/>
      <c r="M20" s="403"/>
      <c r="N20" s="404"/>
      <c r="O20" s="405"/>
      <c r="P20" s="403"/>
      <c r="Q20" s="403"/>
      <c r="R20" s="406"/>
      <c r="S20" s="402"/>
      <c r="T20" s="402"/>
      <c r="U20" s="422"/>
      <c r="V20" s="423"/>
      <c r="W20" s="438"/>
      <c r="X20" s="422"/>
      <c r="Y20" s="422"/>
      <c r="Z20" s="439"/>
      <c r="AA20" s="421"/>
      <c r="AB20" s="422"/>
      <c r="AC20" s="422"/>
      <c r="AD20" s="422"/>
      <c r="AE20" s="423"/>
      <c r="AF20" s="448"/>
      <c r="AG20" s="445"/>
      <c r="AH20" s="403"/>
      <c r="AI20" s="406"/>
      <c r="AJ20" s="402"/>
      <c r="AK20" s="403"/>
      <c r="AL20" s="403"/>
      <c r="AM20" s="403"/>
      <c r="AN20" s="404"/>
      <c r="AO20" s="405"/>
      <c r="AP20" s="403"/>
      <c r="AQ20" s="403"/>
      <c r="AR20" s="406"/>
      <c r="AS20" s="402"/>
      <c r="AT20" s="403"/>
      <c r="AU20" s="403"/>
      <c r="AV20" s="404"/>
      <c r="AW20" s="405"/>
      <c r="AX20" s="403"/>
      <c r="AY20" s="403"/>
      <c r="AZ20" s="403"/>
      <c r="BA20" s="406"/>
      <c r="BB20" s="402"/>
      <c r="BC20" s="403"/>
      <c r="BD20" s="403"/>
      <c r="BE20" s="404"/>
      <c r="BF20" s="405"/>
      <c r="BG20" s="403"/>
      <c r="BH20" s="403"/>
      <c r="BI20" s="406"/>
    </row>
    <row r="21" customFormat="false" ht="25.5" hidden="false" customHeight="true" outlineLevel="0" collapsed="false">
      <c r="A21" s="449" t="s">
        <v>569</v>
      </c>
      <c r="B21" s="447" t="s">
        <v>570</v>
      </c>
      <c r="C21" s="381" t="n">
        <v>3.5</v>
      </c>
      <c r="D21" s="444"/>
      <c r="E21" s="406"/>
      <c r="F21" s="405"/>
      <c r="G21" s="403"/>
      <c r="H21" s="403"/>
      <c r="I21" s="406"/>
      <c r="J21" s="402"/>
      <c r="K21" s="403"/>
      <c r="L21" s="403"/>
      <c r="M21" s="403"/>
      <c r="N21" s="404"/>
      <c r="O21" s="405"/>
      <c r="P21" s="403"/>
      <c r="Q21" s="403"/>
      <c r="R21" s="406"/>
      <c r="S21" s="402"/>
      <c r="T21" s="445"/>
      <c r="U21" s="445"/>
      <c r="V21" s="423"/>
      <c r="W21" s="438"/>
      <c r="X21" s="422"/>
      <c r="Y21" s="422"/>
      <c r="Z21" s="439"/>
      <c r="AA21" s="421"/>
      <c r="AB21" s="422"/>
      <c r="AC21" s="422"/>
      <c r="AD21" s="422"/>
      <c r="AE21" s="423"/>
      <c r="AF21" s="448"/>
      <c r="AG21" s="446"/>
      <c r="AH21" s="422"/>
      <c r="AI21" s="439"/>
      <c r="AJ21" s="402"/>
      <c r="AK21" s="403"/>
      <c r="AL21" s="403"/>
      <c r="AM21" s="403"/>
      <c r="AN21" s="404"/>
      <c r="AO21" s="405"/>
      <c r="AP21" s="403"/>
      <c r="AQ21" s="403"/>
      <c r="AR21" s="406"/>
      <c r="AS21" s="402"/>
      <c r="AT21" s="403"/>
      <c r="AU21" s="403"/>
      <c r="AV21" s="404"/>
      <c r="AW21" s="405"/>
      <c r="AX21" s="403"/>
      <c r="AY21" s="403"/>
      <c r="AZ21" s="403"/>
      <c r="BA21" s="406"/>
      <c r="BB21" s="402"/>
      <c r="BC21" s="403"/>
      <c r="BD21" s="403"/>
      <c r="BE21" s="404"/>
      <c r="BF21" s="405"/>
      <c r="BG21" s="403"/>
      <c r="BH21" s="403"/>
      <c r="BI21" s="406"/>
    </row>
    <row r="22" customFormat="false" ht="24.45" hidden="false" customHeight="false" outlineLevel="0" collapsed="false">
      <c r="A22" s="449"/>
      <c r="B22" s="447" t="s">
        <v>571</v>
      </c>
      <c r="C22" s="381" t="n">
        <v>3.5</v>
      </c>
      <c r="D22" s="444"/>
      <c r="E22" s="406"/>
      <c r="F22" s="405"/>
      <c r="G22" s="403"/>
      <c r="H22" s="403"/>
      <c r="I22" s="406"/>
      <c r="J22" s="402"/>
      <c r="K22" s="403"/>
      <c r="L22" s="403"/>
      <c r="M22" s="403"/>
      <c r="N22" s="404"/>
      <c r="O22" s="405"/>
      <c r="P22" s="403"/>
      <c r="Q22" s="403"/>
      <c r="R22" s="406"/>
      <c r="S22" s="402"/>
      <c r="T22" s="445"/>
      <c r="U22" s="403"/>
      <c r="V22" s="404"/>
      <c r="W22" s="405"/>
      <c r="X22" s="403"/>
      <c r="Y22" s="422"/>
      <c r="Z22" s="439"/>
      <c r="AA22" s="421"/>
      <c r="AB22" s="422"/>
      <c r="AC22" s="422"/>
      <c r="AD22" s="422"/>
      <c r="AE22" s="423"/>
      <c r="AF22" s="448"/>
      <c r="AG22" s="446"/>
      <c r="AH22" s="422"/>
      <c r="AI22" s="439"/>
      <c r="AJ22" s="421"/>
      <c r="AK22" s="422"/>
      <c r="AL22" s="422"/>
      <c r="AM22" s="422"/>
      <c r="AN22" s="423"/>
      <c r="AO22" s="405"/>
      <c r="AP22" s="403"/>
      <c r="AQ22" s="403"/>
      <c r="AR22" s="406"/>
      <c r="AS22" s="402"/>
      <c r="AT22" s="403"/>
      <c r="AU22" s="403"/>
      <c r="AV22" s="404"/>
      <c r="AW22" s="405"/>
      <c r="AX22" s="403"/>
      <c r="AY22" s="403"/>
      <c r="AZ22" s="403"/>
      <c r="BA22" s="406"/>
      <c r="BB22" s="402"/>
      <c r="BC22" s="403"/>
      <c r="BD22" s="403"/>
      <c r="BE22" s="404"/>
      <c r="BF22" s="405"/>
      <c r="BG22" s="403"/>
      <c r="BH22" s="403"/>
      <c r="BI22" s="406"/>
    </row>
    <row r="23" customFormat="false" ht="24.45" hidden="false" customHeight="false" outlineLevel="0" collapsed="false">
      <c r="A23" s="449"/>
      <c r="B23" s="447" t="s">
        <v>572</v>
      </c>
      <c r="C23" s="381" t="n">
        <v>7</v>
      </c>
      <c r="D23" s="444"/>
      <c r="E23" s="406"/>
      <c r="F23" s="405"/>
      <c r="G23" s="403"/>
      <c r="H23" s="403"/>
      <c r="I23" s="406"/>
      <c r="J23" s="402"/>
      <c r="K23" s="403"/>
      <c r="L23" s="403"/>
      <c r="M23" s="403"/>
      <c r="N23" s="404"/>
      <c r="O23" s="405"/>
      <c r="P23" s="403"/>
      <c r="Q23" s="403"/>
      <c r="R23" s="406"/>
      <c r="S23" s="407"/>
      <c r="T23" s="446"/>
      <c r="U23" s="422"/>
      <c r="V23" s="423"/>
      <c r="W23" s="438"/>
      <c r="X23" s="422"/>
      <c r="Y23" s="422"/>
      <c r="Z23" s="439"/>
      <c r="AA23" s="421"/>
      <c r="AB23" s="422"/>
      <c r="AC23" s="422"/>
      <c r="AD23" s="422"/>
      <c r="AE23" s="423"/>
      <c r="AF23" s="448"/>
      <c r="AG23" s="446"/>
      <c r="AH23" s="422"/>
      <c r="AI23" s="439"/>
      <c r="AJ23" s="421"/>
      <c r="AK23" s="422"/>
      <c r="AL23" s="422"/>
      <c r="AM23" s="422"/>
      <c r="AN23" s="423"/>
      <c r="AO23" s="438"/>
      <c r="AP23" s="422"/>
      <c r="AQ23" s="422"/>
      <c r="AR23" s="439"/>
      <c r="AS23" s="421"/>
      <c r="AT23" s="422"/>
      <c r="AU23" s="422"/>
      <c r="AV23" s="423"/>
      <c r="AW23" s="405"/>
      <c r="AX23" s="403"/>
      <c r="AY23" s="403"/>
      <c r="AZ23" s="403"/>
      <c r="BA23" s="406"/>
      <c r="BB23" s="402"/>
      <c r="BC23" s="403"/>
      <c r="BD23" s="403"/>
      <c r="BE23" s="404"/>
      <c r="BF23" s="405"/>
      <c r="BG23" s="403"/>
      <c r="BH23" s="403"/>
      <c r="BI23" s="406"/>
    </row>
    <row r="24" customFormat="false" ht="24.45" hidden="false" customHeight="false" outlineLevel="0" collapsed="false">
      <c r="A24" s="449"/>
      <c r="B24" s="447" t="s">
        <v>573</v>
      </c>
      <c r="C24" s="381" t="n">
        <v>3.5</v>
      </c>
      <c r="D24" s="405"/>
      <c r="E24" s="406"/>
      <c r="F24" s="405"/>
      <c r="G24" s="403"/>
      <c r="H24" s="403"/>
      <c r="I24" s="406"/>
      <c r="J24" s="402"/>
      <c r="K24" s="403"/>
      <c r="L24" s="403"/>
      <c r="M24" s="403"/>
      <c r="N24" s="404"/>
      <c r="O24" s="405"/>
      <c r="P24" s="403"/>
      <c r="Q24" s="403"/>
      <c r="R24" s="406"/>
      <c r="S24" s="402"/>
      <c r="T24" s="445"/>
      <c r="U24" s="403"/>
      <c r="V24" s="404"/>
      <c r="W24" s="438"/>
      <c r="X24" s="422"/>
      <c r="Y24" s="422"/>
      <c r="Z24" s="439"/>
      <c r="AA24" s="421"/>
      <c r="AB24" s="422"/>
      <c r="AC24" s="422"/>
      <c r="AD24" s="422"/>
      <c r="AE24" s="423"/>
      <c r="AF24" s="448"/>
      <c r="AG24" s="446"/>
      <c r="AH24" s="422"/>
      <c r="AI24" s="439"/>
      <c r="AJ24" s="421"/>
      <c r="AK24" s="422"/>
      <c r="AL24" s="422"/>
      <c r="AM24" s="403"/>
      <c r="AN24" s="404"/>
      <c r="AO24" s="405"/>
      <c r="AP24" s="403"/>
      <c r="AQ24" s="403"/>
      <c r="AR24" s="406"/>
      <c r="AS24" s="402"/>
      <c r="AT24" s="403"/>
      <c r="AU24" s="403"/>
      <c r="AV24" s="404"/>
      <c r="AW24" s="405"/>
      <c r="AX24" s="403"/>
      <c r="AY24" s="403"/>
      <c r="AZ24" s="403"/>
      <c r="BA24" s="406"/>
      <c r="BB24" s="402"/>
      <c r="BC24" s="403"/>
      <c r="BD24" s="403"/>
      <c r="BE24" s="404"/>
      <c r="BF24" s="405"/>
      <c r="BG24" s="403"/>
      <c r="BH24" s="403"/>
      <c r="BI24" s="406"/>
    </row>
    <row r="25" customFormat="false" ht="24.45" hidden="false" customHeight="false" outlineLevel="0" collapsed="false">
      <c r="A25" s="449"/>
      <c r="B25" s="447" t="s">
        <v>574</v>
      </c>
      <c r="C25" s="381" t="n">
        <v>3.75</v>
      </c>
      <c r="D25" s="405"/>
      <c r="E25" s="406"/>
      <c r="F25" s="405"/>
      <c r="G25" s="403"/>
      <c r="H25" s="403"/>
      <c r="I25" s="406"/>
      <c r="J25" s="402"/>
      <c r="K25" s="403"/>
      <c r="L25" s="403"/>
      <c r="M25" s="403"/>
      <c r="N25" s="404"/>
      <c r="O25" s="405"/>
      <c r="P25" s="403"/>
      <c r="Q25" s="403"/>
      <c r="R25" s="406"/>
      <c r="S25" s="402"/>
      <c r="T25" s="445"/>
      <c r="U25" s="403"/>
      <c r="V25" s="404"/>
      <c r="W25" s="405"/>
      <c r="X25" s="403"/>
      <c r="Y25" s="403"/>
      <c r="Z25" s="406"/>
      <c r="AA25" s="402"/>
      <c r="AB25" s="403"/>
      <c r="AC25" s="403"/>
      <c r="AD25" s="403"/>
      <c r="AE25" s="404"/>
      <c r="AF25" s="440"/>
      <c r="AG25" s="446"/>
      <c r="AH25" s="422"/>
      <c r="AI25" s="439"/>
      <c r="AJ25" s="421"/>
      <c r="AK25" s="422"/>
      <c r="AL25" s="422"/>
      <c r="AM25" s="422"/>
      <c r="AN25" s="423"/>
      <c r="AO25" s="438"/>
      <c r="AP25" s="422"/>
      <c r="AQ25" s="422"/>
      <c r="AR25" s="439"/>
      <c r="AS25" s="421"/>
      <c r="AT25" s="422"/>
      <c r="AU25" s="422"/>
      <c r="AV25" s="423"/>
      <c r="AW25" s="405"/>
      <c r="AX25" s="403"/>
      <c r="AY25" s="403"/>
      <c r="AZ25" s="403"/>
      <c r="BA25" s="406"/>
      <c r="BB25" s="402"/>
      <c r="BC25" s="403"/>
      <c r="BD25" s="403"/>
      <c r="BE25" s="404"/>
      <c r="BF25" s="405"/>
      <c r="BG25" s="403"/>
      <c r="BH25" s="403"/>
      <c r="BI25" s="406"/>
    </row>
    <row r="26" customFormat="false" ht="46.25" hidden="false" customHeight="false" outlineLevel="0" collapsed="false">
      <c r="A26" s="449"/>
      <c r="B26" s="450" t="s">
        <v>575</v>
      </c>
      <c r="C26" s="381" t="n">
        <v>4</v>
      </c>
      <c r="D26" s="405"/>
      <c r="E26" s="406"/>
      <c r="F26" s="405"/>
      <c r="G26" s="403"/>
      <c r="H26" s="403"/>
      <c r="I26" s="406"/>
      <c r="J26" s="402"/>
      <c r="K26" s="403"/>
      <c r="L26" s="403"/>
      <c r="M26" s="403"/>
      <c r="N26" s="404"/>
      <c r="O26" s="405"/>
      <c r="P26" s="403"/>
      <c r="Q26" s="403"/>
      <c r="R26" s="406"/>
      <c r="S26" s="402"/>
      <c r="T26" s="403"/>
      <c r="U26" s="403"/>
      <c r="V26" s="404"/>
      <c r="W26" s="405"/>
      <c r="X26" s="403"/>
      <c r="Y26" s="403"/>
      <c r="Z26" s="406"/>
      <c r="AA26" s="421"/>
      <c r="AB26" s="422"/>
      <c r="AC26" s="422"/>
      <c r="AD26" s="422"/>
      <c r="AE26" s="423"/>
      <c r="AF26" s="438"/>
      <c r="AG26" s="422"/>
      <c r="AH26" s="422"/>
      <c r="AI26" s="439"/>
      <c r="AJ26" s="421"/>
      <c r="AK26" s="422"/>
      <c r="AL26" s="422"/>
      <c r="AM26" s="422"/>
      <c r="AN26" s="423"/>
      <c r="AO26" s="438"/>
      <c r="AP26" s="422"/>
      <c r="AQ26" s="422"/>
      <c r="AR26" s="439"/>
      <c r="AS26" s="402"/>
      <c r="AT26" s="403"/>
      <c r="AU26" s="403"/>
      <c r="AV26" s="404"/>
      <c r="AW26" s="405"/>
      <c r="AX26" s="403"/>
      <c r="AY26" s="403"/>
      <c r="AZ26" s="403"/>
      <c r="BA26" s="406"/>
      <c r="BB26" s="402"/>
      <c r="BC26" s="403"/>
      <c r="BD26" s="403"/>
      <c r="BE26" s="404"/>
      <c r="BF26" s="405"/>
      <c r="BG26" s="403"/>
      <c r="BH26" s="403"/>
      <c r="BI26" s="406"/>
    </row>
    <row r="27" customFormat="false" ht="46.25" hidden="false" customHeight="true" outlineLevel="0" collapsed="false">
      <c r="A27" s="451" t="s">
        <v>576</v>
      </c>
      <c r="B27" s="450" t="s">
        <v>577</v>
      </c>
      <c r="C27" s="381" t="n">
        <v>3</v>
      </c>
      <c r="D27" s="405"/>
      <c r="E27" s="406"/>
      <c r="F27" s="405"/>
      <c r="G27" s="403"/>
      <c r="H27" s="403"/>
      <c r="I27" s="406"/>
      <c r="J27" s="402"/>
      <c r="K27" s="403"/>
      <c r="L27" s="403"/>
      <c r="M27" s="403"/>
      <c r="N27" s="404"/>
      <c r="O27" s="405"/>
      <c r="P27" s="403"/>
      <c r="Q27" s="403"/>
      <c r="R27" s="406"/>
      <c r="S27" s="402"/>
      <c r="T27" s="403"/>
      <c r="U27" s="403"/>
      <c r="V27" s="404"/>
      <c r="W27" s="405"/>
      <c r="X27" s="403"/>
      <c r="Y27" s="403"/>
      <c r="Z27" s="406"/>
      <c r="AA27" s="402"/>
      <c r="AB27" s="403"/>
      <c r="AC27" s="403"/>
      <c r="AD27" s="403"/>
      <c r="AE27" s="404"/>
      <c r="AF27" s="405"/>
      <c r="AG27" s="403"/>
      <c r="AH27" s="403"/>
      <c r="AI27" s="406"/>
      <c r="AJ27" s="402"/>
      <c r="AK27" s="403"/>
      <c r="AL27" s="403"/>
      <c r="AM27" s="403"/>
      <c r="AN27" s="404"/>
      <c r="AO27" s="405"/>
      <c r="AP27" s="403"/>
      <c r="AQ27" s="403"/>
      <c r="AR27" s="406"/>
      <c r="AS27" s="421"/>
      <c r="AT27" s="422"/>
      <c r="AU27" s="422"/>
      <c r="AV27" s="423"/>
      <c r="AW27" s="438"/>
      <c r="AX27" s="422"/>
      <c r="AY27" s="422"/>
      <c r="AZ27" s="422"/>
      <c r="BA27" s="439"/>
      <c r="BB27" s="421"/>
      <c r="BC27" s="422"/>
      <c r="BD27" s="422"/>
      <c r="BE27" s="423"/>
      <c r="BF27" s="405"/>
      <c r="BG27" s="403"/>
      <c r="BH27" s="403"/>
      <c r="BI27" s="406"/>
    </row>
    <row r="28" customFormat="false" ht="24.45" hidden="false" customHeight="false" outlineLevel="0" collapsed="false">
      <c r="A28" s="451"/>
      <c r="B28" s="450" t="s">
        <v>578</v>
      </c>
      <c r="C28" s="381" t="n">
        <v>5</v>
      </c>
      <c r="D28" s="405"/>
      <c r="E28" s="406"/>
      <c r="F28" s="405"/>
      <c r="G28" s="403"/>
      <c r="H28" s="403"/>
      <c r="I28" s="406"/>
      <c r="J28" s="402"/>
      <c r="K28" s="403"/>
      <c r="L28" s="403"/>
      <c r="M28" s="403"/>
      <c r="N28" s="404"/>
      <c r="O28" s="405"/>
      <c r="P28" s="403"/>
      <c r="Q28" s="403"/>
      <c r="R28" s="406"/>
      <c r="S28" s="402"/>
      <c r="T28" s="403"/>
      <c r="U28" s="403"/>
      <c r="V28" s="404"/>
      <c r="W28" s="405"/>
      <c r="X28" s="403"/>
      <c r="Y28" s="403"/>
      <c r="Z28" s="406"/>
      <c r="AA28" s="402"/>
      <c r="AB28" s="403"/>
      <c r="AC28" s="403"/>
      <c r="AD28" s="403"/>
      <c r="AE28" s="404"/>
      <c r="AF28" s="405"/>
      <c r="AG28" s="403"/>
      <c r="AH28" s="403"/>
      <c r="AI28" s="406"/>
      <c r="AJ28" s="421"/>
      <c r="AK28" s="422"/>
      <c r="AL28" s="422"/>
      <c r="AM28" s="422"/>
      <c r="AN28" s="423"/>
      <c r="AO28" s="438"/>
      <c r="AP28" s="422"/>
      <c r="AQ28" s="422"/>
      <c r="AR28" s="439"/>
      <c r="AS28" s="421"/>
      <c r="AT28" s="422"/>
      <c r="AU28" s="422"/>
      <c r="AV28" s="423"/>
      <c r="AW28" s="438"/>
      <c r="AX28" s="422"/>
      <c r="AY28" s="422"/>
      <c r="AZ28" s="422"/>
      <c r="BA28" s="439"/>
      <c r="BB28" s="421"/>
      <c r="BC28" s="422"/>
      <c r="BD28" s="422"/>
      <c r="BE28" s="423"/>
      <c r="BF28" s="405"/>
      <c r="BG28" s="403"/>
      <c r="BH28" s="403"/>
      <c r="BI28" s="406"/>
    </row>
    <row r="29" customFormat="false" ht="24.45" hidden="false" customHeight="false" outlineLevel="0" collapsed="false">
      <c r="A29" s="451"/>
      <c r="B29" s="450" t="s">
        <v>579</v>
      </c>
      <c r="C29" s="381" t="n">
        <v>4</v>
      </c>
      <c r="D29" s="405"/>
      <c r="E29" s="406"/>
      <c r="F29" s="405"/>
      <c r="G29" s="403"/>
      <c r="H29" s="403"/>
      <c r="I29" s="406"/>
      <c r="J29" s="402"/>
      <c r="K29" s="403"/>
      <c r="L29" s="403"/>
      <c r="M29" s="403"/>
      <c r="N29" s="404"/>
      <c r="O29" s="405"/>
      <c r="P29" s="403"/>
      <c r="Q29" s="403"/>
      <c r="R29" s="406"/>
      <c r="S29" s="402"/>
      <c r="T29" s="403"/>
      <c r="U29" s="403"/>
      <c r="V29" s="404"/>
      <c r="W29" s="405"/>
      <c r="X29" s="403"/>
      <c r="Y29" s="403"/>
      <c r="Z29" s="406"/>
      <c r="AA29" s="402"/>
      <c r="AB29" s="403"/>
      <c r="AC29" s="403"/>
      <c r="AD29" s="403"/>
      <c r="AE29" s="404"/>
      <c r="AF29" s="405"/>
      <c r="AG29" s="403"/>
      <c r="AH29" s="422"/>
      <c r="AI29" s="439"/>
      <c r="AJ29" s="421"/>
      <c r="AK29" s="422"/>
      <c r="AL29" s="422"/>
      <c r="AM29" s="422"/>
      <c r="AN29" s="423"/>
      <c r="AO29" s="438"/>
      <c r="AP29" s="422"/>
      <c r="AQ29" s="422"/>
      <c r="AR29" s="439"/>
      <c r="AS29" s="421"/>
      <c r="AT29" s="422"/>
      <c r="AU29" s="422"/>
      <c r="AV29" s="423"/>
      <c r="AW29" s="438"/>
      <c r="AX29" s="422"/>
      <c r="AY29" s="422"/>
      <c r="AZ29" s="403"/>
      <c r="BA29" s="406"/>
      <c r="BB29" s="402"/>
      <c r="BC29" s="403"/>
      <c r="BD29" s="403"/>
      <c r="BE29" s="404"/>
      <c r="BF29" s="405"/>
      <c r="BG29" s="403"/>
      <c r="BH29" s="403"/>
      <c r="BI29" s="406"/>
    </row>
    <row r="30" customFormat="false" ht="24.45" hidden="false" customHeight="false" outlineLevel="0" collapsed="false">
      <c r="A30" s="451"/>
      <c r="B30" s="450" t="s">
        <v>580</v>
      </c>
      <c r="C30" s="381" t="n">
        <v>2</v>
      </c>
      <c r="D30" s="405"/>
      <c r="E30" s="406"/>
      <c r="F30" s="405"/>
      <c r="G30" s="403"/>
      <c r="H30" s="403"/>
      <c r="I30" s="406"/>
      <c r="J30" s="402"/>
      <c r="K30" s="403"/>
      <c r="L30" s="403"/>
      <c r="M30" s="403"/>
      <c r="N30" s="404"/>
      <c r="O30" s="405"/>
      <c r="P30" s="403"/>
      <c r="Q30" s="403"/>
      <c r="R30" s="406"/>
      <c r="S30" s="402"/>
      <c r="T30" s="403"/>
      <c r="U30" s="403"/>
      <c r="V30" s="404"/>
      <c r="W30" s="405"/>
      <c r="X30" s="403"/>
      <c r="Y30" s="403"/>
      <c r="Z30" s="406"/>
      <c r="AA30" s="402"/>
      <c r="AB30" s="403"/>
      <c r="AC30" s="403"/>
      <c r="AD30" s="403"/>
      <c r="AE30" s="404"/>
      <c r="AF30" s="405"/>
      <c r="AG30" s="403"/>
      <c r="AH30" s="403"/>
      <c r="AI30" s="406"/>
      <c r="AJ30" s="402"/>
      <c r="AK30" s="403"/>
      <c r="AL30" s="403"/>
      <c r="AM30" s="403"/>
      <c r="AN30" s="404"/>
      <c r="AO30" s="405"/>
      <c r="AP30" s="403"/>
      <c r="AQ30" s="403"/>
      <c r="AR30" s="406"/>
      <c r="AS30" s="402"/>
      <c r="AT30" s="403"/>
      <c r="AU30" s="403"/>
      <c r="AV30" s="404"/>
      <c r="AW30" s="405"/>
      <c r="AX30" s="403"/>
      <c r="AY30" s="403"/>
      <c r="AZ30" s="422"/>
      <c r="BA30" s="439"/>
      <c r="BB30" s="421"/>
      <c r="BC30" s="422"/>
      <c r="BD30" s="422"/>
      <c r="BE30" s="423"/>
      <c r="BF30" s="438"/>
      <c r="BG30" s="422"/>
      <c r="BH30" s="403"/>
      <c r="BI30" s="406"/>
    </row>
    <row r="31" customFormat="false" ht="24.45" hidden="false" customHeight="false" outlineLevel="0" collapsed="false">
      <c r="A31" s="452" t="s">
        <v>132</v>
      </c>
      <c r="B31" s="450" t="s">
        <v>581</v>
      </c>
      <c r="C31" s="381" t="n">
        <v>7</v>
      </c>
      <c r="D31" s="405"/>
      <c r="E31" s="406"/>
      <c r="F31" s="405"/>
      <c r="G31" s="403"/>
      <c r="H31" s="403"/>
      <c r="I31" s="406"/>
      <c r="J31" s="402"/>
      <c r="K31" s="403"/>
      <c r="L31" s="403"/>
      <c r="M31" s="403"/>
      <c r="N31" s="404"/>
      <c r="O31" s="405"/>
      <c r="P31" s="403"/>
      <c r="Q31" s="403"/>
      <c r="R31" s="406"/>
      <c r="S31" s="402"/>
      <c r="T31" s="403"/>
      <c r="U31" s="403"/>
      <c r="V31" s="404"/>
      <c r="W31" s="438"/>
      <c r="X31" s="422"/>
      <c r="Y31" s="422"/>
      <c r="Z31" s="439"/>
      <c r="AA31" s="421"/>
      <c r="AB31" s="422"/>
      <c r="AC31" s="422"/>
      <c r="AD31" s="422"/>
      <c r="AE31" s="423"/>
      <c r="AF31" s="438"/>
      <c r="AG31" s="422"/>
      <c r="AH31" s="422"/>
      <c r="AI31" s="439"/>
      <c r="AJ31" s="421"/>
      <c r="AK31" s="422"/>
      <c r="AL31" s="422"/>
      <c r="AM31" s="422"/>
      <c r="AN31" s="423"/>
      <c r="AO31" s="438"/>
      <c r="AP31" s="422"/>
      <c r="AQ31" s="422"/>
      <c r="AR31" s="439"/>
      <c r="AS31" s="421"/>
      <c r="AT31" s="422"/>
      <c r="AU31" s="422"/>
      <c r="AV31" s="423"/>
      <c r="AW31" s="438"/>
      <c r="AX31" s="422"/>
      <c r="AY31" s="422"/>
      <c r="AZ31" s="422"/>
      <c r="BA31" s="439"/>
      <c r="BB31" s="402"/>
      <c r="BC31" s="403"/>
      <c r="BD31" s="403"/>
      <c r="BE31" s="404"/>
      <c r="BF31" s="405"/>
      <c r="BG31" s="403"/>
      <c r="BH31" s="403"/>
      <c r="BI31" s="406"/>
    </row>
    <row r="32" customFormat="false" ht="24.45" hidden="false" customHeight="true" outlineLevel="0" collapsed="false">
      <c r="A32" s="397" t="s">
        <v>582</v>
      </c>
      <c r="B32" s="450" t="s">
        <v>583</v>
      </c>
      <c r="C32" s="381" t="n">
        <v>3</v>
      </c>
      <c r="D32" s="405"/>
      <c r="E32" s="406"/>
      <c r="F32" s="405"/>
      <c r="G32" s="403"/>
      <c r="H32" s="403"/>
      <c r="I32" s="406"/>
      <c r="J32" s="402"/>
      <c r="K32" s="403"/>
      <c r="L32" s="403"/>
      <c r="M32" s="403"/>
      <c r="N32" s="404"/>
      <c r="O32" s="405"/>
      <c r="P32" s="403"/>
      <c r="Q32" s="403"/>
      <c r="R32" s="406"/>
      <c r="S32" s="402"/>
      <c r="T32" s="403"/>
      <c r="U32" s="403"/>
      <c r="V32" s="404"/>
      <c r="W32" s="405"/>
      <c r="X32" s="403"/>
      <c r="Y32" s="403"/>
      <c r="Z32" s="406"/>
      <c r="AA32" s="402"/>
      <c r="AB32" s="403"/>
      <c r="AC32" s="403"/>
      <c r="AD32" s="403"/>
      <c r="AE32" s="404"/>
      <c r="AF32" s="405"/>
      <c r="AG32" s="403"/>
      <c r="AH32" s="403"/>
      <c r="AI32" s="406"/>
      <c r="AJ32" s="402"/>
      <c r="AK32" s="403"/>
      <c r="AL32" s="403"/>
      <c r="AM32" s="403"/>
      <c r="AN32" s="404"/>
      <c r="AO32" s="405"/>
      <c r="AP32" s="403"/>
      <c r="AQ32" s="403"/>
      <c r="AR32" s="406"/>
      <c r="AS32" s="421"/>
      <c r="AT32" s="422"/>
      <c r="AU32" s="422"/>
      <c r="AV32" s="423"/>
      <c r="AW32" s="438"/>
      <c r="AX32" s="422"/>
      <c r="AY32" s="422"/>
      <c r="AZ32" s="422"/>
      <c r="BA32" s="439"/>
      <c r="BB32" s="421"/>
      <c r="BC32" s="422"/>
      <c r="BD32" s="422"/>
      <c r="BE32" s="423"/>
      <c r="BF32" s="405"/>
      <c r="BG32" s="403"/>
      <c r="BH32" s="403"/>
      <c r="BI32" s="406"/>
    </row>
    <row r="33" customFormat="false" ht="24.45" hidden="false" customHeight="false" outlineLevel="0" collapsed="false">
      <c r="A33" s="397"/>
      <c r="B33" s="450" t="s">
        <v>584</v>
      </c>
      <c r="C33" s="381" t="n">
        <v>2</v>
      </c>
      <c r="D33" s="405"/>
      <c r="E33" s="406"/>
      <c r="F33" s="405"/>
      <c r="G33" s="403"/>
      <c r="H33" s="403"/>
      <c r="I33" s="406"/>
      <c r="J33" s="402"/>
      <c r="K33" s="403"/>
      <c r="L33" s="403"/>
      <c r="M33" s="403"/>
      <c r="N33" s="404"/>
      <c r="O33" s="405"/>
      <c r="P33" s="403"/>
      <c r="Q33" s="403"/>
      <c r="R33" s="406"/>
      <c r="S33" s="402"/>
      <c r="T33" s="403"/>
      <c r="U33" s="403"/>
      <c r="V33" s="404"/>
      <c r="W33" s="405"/>
      <c r="X33" s="403"/>
      <c r="Y33" s="403"/>
      <c r="Z33" s="406"/>
      <c r="AA33" s="402"/>
      <c r="AB33" s="403"/>
      <c r="AC33" s="403"/>
      <c r="AD33" s="403"/>
      <c r="AE33" s="404"/>
      <c r="AF33" s="405"/>
      <c r="AG33" s="403"/>
      <c r="AH33" s="403"/>
      <c r="AI33" s="406"/>
      <c r="AJ33" s="402"/>
      <c r="AK33" s="403"/>
      <c r="AL33" s="403"/>
      <c r="AM33" s="403"/>
      <c r="AN33" s="404"/>
      <c r="AO33" s="405"/>
      <c r="AP33" s="403"/>
      <c r="AQ33" s="403"/>
      <c r="AR33" s="406"/>
      <c r="AS33" s="402"/>
      <c r="AT33" s="403"/>
      <c r="AU33" s="403"/>
      <c r="AV33" s="404"/>
      <c r="AW33" s="438"/>
      <c r="AX33" s="422"/>
      <c r="AY33" s="422"/>
      <c r="AZ33" s="422"/>
      <c r="BA33" s="439"/>
      <c r="BB33" s="421"/>
      <c r="BC33" s="422"/>
      <c r="BD33" s="422"/>
      <c r="BE33" s="423"/>
      <c r="BF33" s="405"/>
      <c r="BG33" s="403"/>
      <c r="BH33" s="403"/>
      <c r="BI33" s="406"/>
    </row>
    <row r="34" customFormat="false" ht="24.45" hidden="false" customHeight="false" outlineLevel="0" collapsed="false">
      <c r="A34" s="397"/>
      <c r="B34" s="450" t="s">
        <v>585</v>
      </c>
      <c r="C34" s="381"/>
      <c r="D34" s="405"/>
      <c r="E34" s="406"/>
      <c r="F34" s="405"/>
      <c r="G34" s="403"/>
      <c r="H34" s="403"/>
      <c r="I34" s="406"/>
      <c r="J34" s="402"/>
      <c r="K34" s="403"/>
      <c r="L34" s="403"/>
      <c r="M34" s="403"/>
      <c r="N34" s="404"/>
      <c r="O34" s="405"/>
      <c r="P34" s="403"/>
      <c r="Q34" s="403"/>
      <c r="R34" s="406"/>
      <c r="S34" s="402"/>
      <c r="T34" s="403"/>
      <c r="U34" s="403"/>
      <c r="V34" s="404"/>
      <c r="W34" s="405"/>
      <c r="X34" s="403"/>
      <c r="Y34" s="403"/>
      <c r="Z34" s="406"/>
      <c r="AA34" s="402"/>
      <c r="AB34" s="403"/>
      <c r="AC34" s="403"/>
      <c r="AD34" s="403"/>
      <c r="AE34" s="404"/>
      <c r="AF34" s="405"/>
      <c r="AG34" s="403"/>
      <c r="AH34" s="403"/>
      <c r="AI34" s="406"/>
      <c r="AJ34" s="402"/>
      <c r="AK34" s="403"/>
      <c r="AL34" s="403"/>
      <c r="AM34" s="403"/>
      <c r="AN34" s="404"/>
      <c r="AO34" s="405"/>
      <c r="AP34" s="403"/>
      <c r="AQ34" s="403"/>
      <c r="AR34" s="406"/>
      <c r="AS34" s="402"/>
      <c r="AT34" s="403"/>
      <c r="AU34" s="403"/>
      <c r="AV34" s="404"/>
      <c r="AW34" s="438"/>
      <c r="AX34" s="422"/>
      <c r="AY34" s="422"/>
      <c r="AZ34" s="422"/>
      <c r="BA34" s="439"/>
      <c r="BB34" s="421"/>
      <c r="BC34" s="422"/>
      <c r="BD34" s="422"/>
      <c r="BE34" s="423"/>
      <c r="BF34" s="405"/>
      <c r="BG34" s="403"/>
      <c r="BH34" s="403"/>
      <c r="BI34" s="406"/>
    </row>
    <row r="35" customFormat="false" ht="24.45" hidden="false" customHeight="false" outlineLevel="0" collapsed="false">
      <c r="A35" s="397"/>
      <c r="B35" s="450" t="s">
        <v>586</v>
      </c>
      <c r="C35" s="381" t="n">
        <v>2.5</v>
      </c>
      <c r="D35" s="405"/>
      <c r="E35" s="406"/>
      <c r="F35" s="405"/>
      <c r="G35" s="403"/>
      <c r="H35" s="403"/>
      <c r="I35" s="406"/>
      <c r="J35" s="402"/>
      <c r="K35" s="403"/>
      <c r="L35" s="403"/>
      <c r="M35" s="403"/>
      <c r="N35" s="404"/>
      <c r="O35" s="405"/>
      <c r="P35" s="403"/>
      <c r="Q35" s="403"/>
      <c r="R35" s="406"/>
      <c r="S35" s="402"/>
      <c r="T35" s="403"/>
      <c r="U35" s="403"/>
      <c r="V35" s="404"/>
      <c r="W35" s="405"/>
      <c r="X35" s="403"/>
      <c r="Y35" s="403"/>
      <c r="Z35" s="406"/>
      <c r="AA35" s="402"/>
      <c r="AB35" s="403"/>
      <c r="AC35" s="403"/>
      <c r="AD35" s="403"/>
      <c r="AE35" s="404"/>
      <c r="AF35" s="405"/>
      <c r="AG35" s="403"/>
      <c r="AH35" s="403"/>
      <c r="AI35" s="406"/>
      <c r="AJ35" s="402"/>
      <c r="AK35" s="403"/>
      <c r="AL35" s="403"/>
      <c r="AM35" s="403"/>
      <c r="AN35" s="404"/>
      <c r="AO35" s="405"/>
      <c r="AP35" s="403"/>
      <c r="AQ35" s="403"/>
      <c r="AR35" s="406"/>
      <c r="AS35" s="402"/>
      <c r="AT35" s="403"/>
      <c r="AU35" s="403"/>
      <c r="AV35" s="404"/>
      <c r="AW35" s="438"/>
      <c r="AX35" s="422"/>
      <c r="AY35" s="422"/>
      <c r="AZ35" s="422"/>
      <c r="BA35" s="439"/>
      <c r="BB35" s="421"/>
      <c r="BC35" s="422"/>
      <c r="BD35" s="422"/>
      <c r="BE35" s="423"/>
      <c r="BF35" s="438"/>
      <c r="BG35" s="422"/>
      <c r="BH35" s="403"/>
      <c r="BI35" s="406"/>
    </row>
    <row r="36" customFormat="false" ht="24.45" hidden="false" customHeight="true" outlineLevel="0" collapsed="false">
      <c r="A36" s="397" t="s">
        <v>144</v>
      </c>
      <c r="B36" s="398" t="s">
        <v>587</v>
      </c>
      <c r="C36" s="381" t="n">
        <v>11.5</v>
      </c>
      <c r="D36" s="444"/>
      <c r="E36" s="406"/>
      <c r="F36" s="405"/>
      <c r="G36" s="401"/>
      <c r="H36" s="401"/>
      <c r="I36" s="400"/>
      <c r="J36" s="407"/>
      <c r="K36" s="401"/>
      <c r="L36" s="401"/>
      <c r="M36" s="401"/>
      <c r="N36" s="437"/>
      <c r="O36" s="399"/>
      <c r="P36" s="401"/>
      <c r="Q36" s="401"/>
      <c r="R36" s="400"/>
      <c r="S36" s="407"/>
      <c r="T36" s="422"/>
      <c r="U36" s="446"/>
      <c r="V36" s="453"/>
      <c r="W36" s="448"/>
      <c r="X36" s="446"/>
      <c r="Y36" s="446"/>
      <c r="Z36" s="454"/>
      <c r="AA36" s="421"/>
      <c r="AB36" s="422"/>
      <c r="AC36" s="422"/>
      <c r="AD36" s="422"/>
      <c r="AE36" s="423"/>
      <c r="AF36" s="448"/>
      <c r="AG36" s="422"/>
      <c r="AH36" s="422"/>
      <c r="AI36" s="439"/>
      <c r="AJ36" s="421"/>
      <c r="AK36" s="422"/>
      <c r="AL36" s="422"/>
      <c r="AM36" s="422"/>
      <c r="AN36" s="423"/>
      <c r="AO36" s="438"/>
      <c r="AP36" s="422"/>
      <c r="AQ36" s="422"/>
      <c r="AR36" s="439"/>
      <c r="AS36" s="421"/>
      <c r="AT36" s="422"/>
      <c r="AU36" s="422"/>
      <c r="AV36" s="423"/>
      <c r="AW36" s="438"/>
      <c r="AX36" s="422"/>
      <c r="AY36" s="422"/>
      <c r="AZ36" s="422"/>
      <c r="BA36" s="439"/>
      <c r="BB36" s="421"/>
      <c r="BC36" s="422"/>
      <c r="BD36" s="422"/>
      <c r="BE36" s="423"/>
      <c r="BF36" s="405"/>
      <c r="BG36" s="403"/>
      <c r="BH36" s="403"/>
      <c r="BI36" s="406"/>
    </row>
    <row r="37" customFormat="false" ht="84" hidden="false" customHeight="true" outlineLevel="0" collapsed="false">
      <c r="A37" s="397"/>
      <c r="B37" s="398" t="s">
        <v>588</v>
      </c>
      <c r="C37" s="381" t="n">
        <v>4</v>
      </c>
      <c r="D37" s="405"/>
      <c r="E37" s="406"/>
      <c r="F37" s="405"/>
      <c r="G37" s="403"/>
      <c r="H37" s="403"/>
      <c r="I37" s="406"/>
      <c r="J37" s="402"/>
      <c r="K37" s="403"/>
      <c r="L37" s="403"/>
      <c r="M37" s="403"/>
      <c r="N37" s="404"/>
      <c r="O37" s="405"/>
      <c r="P37" s="403"/>
      <c r="Q37" s="403"/>
      <c r="R37" s="406"/>
      <c r="S37" s="407"/>
      <c r="T37" s="422"/>
      <c r="U37" s="422"/>
      <c r="V37" s="423"/>
      <c r="W37" s="438"/>
      <c r="X37" s="422"/>
      <c r="Y37" s="422"/>
      <c r="Z37" s="439"/>
      <c r="AA37" s="421"/>
      <c r="AB37" s="422"/>
      <c r="AC37" s="422"/>
      <c r="AD37" s="422"/>
      <c r="AE37" s="423"/>
      <c r="AF37" s="438"/>
      <c r="AG37" s="422"/>
      <c r="AH37" s="422"/>
      <c r="AI37" s="439"/>
      <c r="AJ37" s="402"/>
      <c r="AK37" s="403"/>
      <c r="AL37" s="403"/>
      <c r="AM37" s="403"/>
      <c r="AN37" s="404"/>
      <c r="AO37" s="405"/>
      <c r="AP37" s="403"/>
      <c r="AQ37" s="403"/>
      <c r="AR37" s="406"/>
      <c r="AS37" s="402"/>
      <c r="AT37" s="403"/>
      <c r="AU37" s="403"/>
      <c r="AV37" s="404"/>
      <c r="AW37" s="405"/>
      <c r="AX37" s="403"/>
      <c r="AY37" s="403"/>
      <c r="AZ37" s="403"/>
      <c r="BA37" s="406"/>
      <c r="BB37" s="402"/>
      <c r="BC37" s="403"/>
      <c r="BD37" s="403"/>
      <c r="BE37" s="404"/>
      <c r="BF37" s="405"/>
      <c r="BG37" s="403"/>
      <c r="BH37" s="403"/>
      <c r="BI37" s="406"/>
    </row>
    <row r="38" customFormat="false" ht="24.45" hidden="false" customHeight="false" outlineLevel="0" collapsed="false">
      <c r="A38" s="397"/>
      <c r="B38" s="398" t="s">
        <v>589</v>
      </c>
      <c r="C38" s="381"/>
      <c r="D38" s="444"/>
      <c r="E38" s="406"/>
      <c r="F38" s="405"/>
      <c r="G38" s="403"/>
      <c r="H38" s="403"/>
      <c r="I38" s="406"/>
      <c r="J38" s="402"/>
      <c r="K38" s="403"/>
      <c r="L38" s="403"/>
      <c r="M38" s="403"/>
      <c r="N38" s="404"/>
      <c r="O38" s="405"/>
      <c r="P38" s="403"/>
      <c r="Q38" s="403"/>
      <c r="R38" s="406"/>
      <c r="S38" s="402"/>
      <c r="T38" s="403"/>
      <c r="U38" s="455"/>
      <c r="V38" s="456"/>
      <c r="W38" s="448"/>
      <c r="X38" s="446"/>
      <c r="Y38" s="446"/>
      <c r="Z38" s="454"/>
      <c r="AA38" s="421"/>
      <c r="AB38" s="422"/>
      <c r="AC38" s="422"/>
      <c r="AD38" s="422"/>
      <c r="AE38" s="423"/>
      <c r="AF38" s="448"/>
      <c r="AG38" s="422"/>
      <c r="AH38" s="422"/>
      <c r="AI38" s="439"/>
      <c r="AJ38" s="421"/>
      <c r="AK38" s="422"/>
      <c r="AL38" s="422"/>
      <c r="AM38" s="422"/>
      <c r="AN38" s="423"/>
      <c r="AO38" s="438"/>
      <c r="AP38" s="422"/>
      <c r="AQ38" s="422"/>
      <c r="AR38" s="439"/>
      <c r="AS38" s="421"/>
      <c r="AT38" s="422"/>
      <c r="AU38" s="422"/>
      <c r="AV38" s="423"/>
      <c r="AW38" s="438"/>
      <c r="AX38" s="422"/>
      <c r="AY38" s="422"/>
      <c r="AZ38" s="422"/>
      <c r="BA38" s="439"/>
      <c r="BB38" s="402"/>
      <c r="BC38" s="403"/>
      <c r="BD38" s="403"/>
      <c r="BE38" s="404"/>
      <c r="BF38" s="405"/>
      <c r="BG38" s="403"/>
      <c r="BH38" s="403"/>
      <c r="BI38" s="406"/>
    </row>
    <row r="39" customFormat="false" ht="24.45" hidden="false" customHeight="false" outlineLevel="0" collapsed="false">
      <c r="A39" s="397"/>
      <c r="B39" s="398" t="s">
        <v>590</v>
      </c>
      <c r="C39" s="381" t="n">
        <v>1</v>
      </c>
      <c r="D39" s="444"/>
      <c r="E39" s="406"/>
      <c r="F39" s="405"/>
      <c r="G39" s="403"/>
      <c r="H39" s="403"/>
      <c r="I39" s="406"/>
      <c r="J39" s="402"/>
      <c r="K39" s="403"/>
      <c r="L39" s="403"/>
      <c r="M39" s="403"/>
      <c r="N39" s="404"/>
      <c r="O39" s="405"/>
      <c r="P39" s="403"/>
      <c r="Q39" s="403"/>
      <c r="R39" s="406"/>
      <c r="S39" s="402"/>
      <c r="T39" s="403"/>
      <c r="U39" s="455"/>
      <c r="V39" s="456"/>
      <c r="W39" s="457"/>
      <c r="X39" s="455"/>
      <c r="Y39" s="455"/>
      <c r="Z39" s="458"/>
      <c r="AA39" s="402"/>
      <c r="AB39" s="403"/>
      <c r="AC39" s="403"/>
      <c r="AD39" s="403"/>
      <c r="AE39" s="404"/>
      <c r="AF39" s="457"/>
      <c r="AG39" s="446"/>
      <c r="AH39" s="403"/>
      <c r="AI39" s="406"/>
      <c r="AJ39" s="402"/>
      <c r="AK39" s="403"/>
      <c r="AL39" s="403"/>
      <c r="AM39" s="403"/>
      <c r="AN39" s="404"/>
      <c r="AO39" s="405"/>
      <c r="AP39" s="403"/>
      <c r="AQ39" s="403"/>
      <c r="AR39" s="406"/>
      <c r="AS39" s="402"/>
      <c r="AT39" s="403"/>
      <c r="AU39" s="403"/>
      <c r="AV39" s="404"/>
      <c r="AW39" s="405"/>
      <c r="AX39" s="403"/>
      <c r="AY39" s="403"/>
      <c r="AZ39" s="403"/>
      <c r="BA39" s="406"/>
      <c r="BB39" s="402"/>
      <c r="BC39" s="403"/>
      <c r="BD39" s="403"/>
      <c r="BE39" s="404"/>
      <c r="BF39" s="405"/>
      <c r="BG39" s="403"/>
      <c r="BH39" s="403"/>
      <c r="BI39" s="406"/>
    </row>
    <row r="40" customFormat="false" ht="24.45" hidden="false" customHeight="false" outlineLevel="0" collapsed="false">
      <c r="A40" s="397"/>
      <c r="B40" s="398" t="s">
        <v>591</v>
      </c>
      <c r="C40" s="381" t="n">
        <v>5.5</v>
      </c>
      <c r="D40" s="444"/>
      <c r="E40" s="406"/>
      <c r="F40" s="405"/>
      <c r="G40" s="403"/>
      <c r="H40" s="403"/>
      <c r="I40" s="406"/>
      <c r="J40" s="402"/>
      <c r="K40" s="403"/>
      <c r="L40" s="403"/>
      <c r="M40" s="403"/>
      <c r="N40" s="404"/>
      <c r="O40" s="405"/>
      <c r="P40" s="403"/>
      <c r="Q40" s="403"/>
      <c r="R40" s="406"/>
      <c r="S40" s="402"/>
      <c r="T40" s="403"/>
      <c r="U40" s="455"/>
      <c r="V40" s="456"/>
      <c r="W40" s="457"/>
      <c r="X40" s="455"/>
      <c r="Y40" s="455"/>
      <c r="Z40" s="458"/>
      <c r="AA40" s="402"/>
      <c r="AB40" s="403"/>
      <c r="AC40" s="422"/>
      <c r="AD40" s="422"/>
      <c r="AE40" s="423"/>
      <c r="AF40" s="448"/>
      <c r="AG40" s="422"/>
      <c r="AH40" s="422"/>
      <c r="AI40" s="439"/>
      <c r="AJ40" s="421"/>
      <c r="AK40" s="422"/>
      <c r="AL40" s="422"/>
      <c r="AM40" s="422"/>
      <c r="AN40" s="423"/>
      <c r="AO40" s="438"/>
      <c r="AP40" s="422"/>
      <c r="AQ40" s="422"/>
      <c r="AR40" s="439"/>
      <c r="AS40" s="421"/>
      <c r="AT40" s="422"/>
      <c r="AU40" s="422"/>
      <c r="AV40" s="423"/>
      <c r="AW40" s="438"/>
      <c r="AX40" s="422"/>
      <c r="AY40" s="422"/>
      <c r="AZ40" s="422"/>
      <c r="BA40" s="439"/>
      <c r="BB40" s="402"/>
      <c r="BC40" s="403"/>
      <c r="BD40" s="403"/>
      <c r="BE40" s="404"/>
      <c r="BF40" s="405"/>
      <c r="BG40" s="403"/>
      <c r="BH40" s="403"/>
      <c r="BI40" s="406"/>
    </row>
    <row r="41" customFormat="false" ht="24.45" hidden="false" customHeight="false" outlineLevel="0" collapsed="false">
      <c r="A41" s="397"/>
      <c r="B41" s="398" t="s">
        <v>592</v>
      </c>
      <c r="C41" s="381" t="n">
        <v>11</v>
      </c>
      <c r="D41" s="444"/>
      <c r="E41" s="406"/>
      <c r="F41" s="405"/>
      <c r="G41" s="403"/>
      <c r="H41" s="403"/>
      <c r="I41" s="406"/>
      <c r="J41" s="407"/>
      <c r="K41" s="401"/>
      <c r="L41" s="401"/>
      <c r="M41" s="401"/>
      <c r="N41" s="437"/>
      <c r="O41" s="399"/>
      <c r="P41" s="401"/>
      <c r="Q41" s="401"/>
      <c r="R41" s="400"/>
      <c r="S41" s="407"/>
      <c r="T41" s="422"/>
      <c r="U41" s="446"/>
      <c r="V41" s="453"/>
      <c r="W41" s="448"/>
      <c r="X41" s="446"/>
      <c r="Y41" s="446"/>
      <c r="Z41" s="454"/>
      <c r="AA41" s="421"/>
      <c r="AB41" s="422"/>
      <c r="AC41" s="422"/>
      <c r="AD41" s="422"/>
      <c r="AE41" s="423"/>
      <c r="AF41" s="448"/>
      <c r="AG41" s="422"/>
      <c r="AH41" s="422"/>
      <c r="AI41" s="439"/>
      <c r="AJ41" s="421"/>
      <c r="AK41" s="422"/>
      <c r="AL41" s="422"/>
      <c r="AM41" s="422"/>
      <c r="AN41" s="423"/>
      <c r="AO41" s="438"/>
      <c r="AP41" s="422"/>
      <c r="AQ41" s="422"/>
      <c r="AR41" s="439"/>
      <c r="AS41" s="421"/>
      <c r="AT41" s="422"/>
      <c r="AU41" s="422"/>
      <c r="AV41" s="423"/>
      <c r="AW41" s="438"/>
      <c r="AX41" s="422"/>
      <c r="AY41" s="422"/>
      <c r="AZ41" s="422"/>
      <c r="BA41" s="439"/>
      <c r="BB41" s="421"/>
      <c r="BC41" s="422"/>
      <c r="BD41" s="422"/>
      <c r="BE41" s="423"/>
      <c r="BF41" s="405"/>
      <c r="BG41" s="403"/>
      <c r="BH41" s="403"/>
      <c r="BI41" s="406"/>
    </row>
    <row r="42" customFormat="false" ht="24.45" hidden="false" customHeight="false" outlineLevel="0" collapsed="false">
      <c r="A42" s="397"/>
      <c r="B42" s="398" t="s">
        <v>593</v>
      </c>
      <c r="C42" s="381" t="n">
        <v>0.5</v>
      </c>
      <c r="D42" s="444"/>
      <c r="E42" s="406"/>
      <c r="F42" s="405"/>
      <c r="G42" s="403"/>
      <c r="H42" s="403"/>
      <c r="I42" s="406"/>
      <c r="L42" s="403"/>
      <c r="M42" s="403"/>
      <c r="N42" s="404"/>
      <c r="O42" s="405"/>
      <c r="P42" s="403"/>
      <c r="Q42" s="407"/>
      <c r="R42" s="400"/>
      <c r="S42" s="402"/>
      <c r="T42" s="403"/>
      <c r="U42" s="455"/>
      <c r="V42" s="456"/>
      <c r="W42" s="457"/>
      <c r="X42" s="455"/>
      <c r="Y42" s="455"/>
      <c r="Z42" s="458"/>
      <c r="AA42" s="402"/>
      <c r="AB42" s="403"/>
      <c r="AC42" s="403"/>
      <c r="AD42" s="403"/>
      <c r="AE42" s="404"/>
      <c r="AF42" s="457"/>
      <c r="AG42" s="403"/>
      <c r="AH42" s="403"/>
      <c r="AI42" s="406"/>
      <c r="AJ42" s="402"/>
      <c r="AK42" s="403"/>
      <c r="AL42" s="403"/>
      <c r="AM42" s="403"/>
      <c r="AN42" s="404"/>
      <c r="AO42" s="405"/>
      <c r="AP42" s="403"/>
      <c r="AQ42" s="403"/>
      <c r="AR42" s="406"/>
      <c r="AS42" s="402"/>
      <c r="AT42" s="403"/>
      <c r="AU42" s="403"/>
      <c r="AV42" s="404"/>
      <c r="AW42" s="405"/>
      <c r="AX42" s="403"/>
      <c r="AY42" s="403"/>
      <c r="AZ42" s="403"/>
      <c r="BA42" s="406"/>
      <c r="BB42" s="402"/>
      <c r="BC42" s="403"/>
      <c r="BD42" s="403"/>
      <c r="BE42" s="404"/>
      <c r="BF42" s="405"/>
      <c r="BG42" s="403"/>
      <c r="BH42" s="403"/>
      <c r="BI42" s="406"/>
    </row>
    <row r="43" customFormat="false" ht="24.45" hidden="false" customHeight="false" outlineLevel="0" collapsed="false">
      <c r="A43" s="397"/>
      <c r="B43" s="398" t="s">
        <v>594</v>
      </c>
      <c r="C43" s="381" t="n">
        <v>1</v>
      </c>
      <c r="D43" s="444"/>
      <c r="E43" s="406"/>
      <c r="F43" s="405"/>
      <c r="G43" s="403"/>
      <c r="H43" s="403"/>
      <c r="I43" s="406"/>
      <c r="J43" s="402"/>
      <c r="K43" s="403"/>
      <c r="L43" s="403"/>
      <c r="M43" s="403"/>
      <c r="N43" s="404"/>
      <c r="O43" s="405"/>
      <c r="P43" s="403"/>
      <c r="Q43" s="403"/>
      <c r="R43" s="406"/>
      <c r="S43" s="402"/>
      <c r="T43" s="403"/>
      <c r="U43" s="455"/>
      <c r="V43" s="456"/>
      <c r="W43" s="446"/>
      <c r="X43" s="455"/>
      <c r="Y43" s="455"/>
      <c r="Z43" s="458"/>
      <c r="AA43" s="402"/>
      <c r="AB43" s="403"/>
      <c r="AC43" s="403"/>
      <c r="AD43" s="403"/>
      <c r="AE43" s="404"/>
      <c r="AF43" s="457"/>
      <c r="AH43" s="403"/>
      <c r="AI43" s="406"/>
      <c r="AJ43" s="402"/>
      <c r="AK43" s="403"/>
      <c r="AL43" s="403"/>
      <c r="AM43" s="403"/>
      <c r="AN43" s="404"/>
      <c r="AO43" s="405"/>
      <c r="AP43" s="403"/>
      <c r="AQ43" s="403"/>
      <c r="AR43" s="406"/>
      <c r="AS43" s="402"/>
      <c r="AT43" s="403"/>
      <c r="AU43" s="403"/>
      <c r="AV43" s="404"/>
      <c r="AW43" s="405"/>
      <c r="AX43" s="403"/>
      <c r="AY43" s="403"/>
      <c r="AZ43" s="403"/>
      <c r="BA43" s="406"/>
      <c r="BB43" s="402"/>
      <c r="BC43" s="403"/>
      <c r="BD43" s="403"/>
      <c r="BE43" s="404"/>
      <c r="BF43" s="405"/>
      <c r="BG43" s="403"/>
      <c r="BH43" s="403"/>
      <c r="BI43" s="406"/>
    </row>
    <row r="44" customFormat="false" ht="46.25" hidden="false" customHeight="false" outlineLevel="0" collapsed="false">
      <c r="A44" s="397"/>
      <c r="B44" s="398" t="s">
        <v>595</v>
      </c>
      <c r="C44" s="381" t="n">
        <v>6.5</v>
      </c>
      <c r="D44" s="444"/>
      <c r="E44" s="406"/>
      <c r="F44" s="405"/>
      <c r="G44" s="403"/>
      <c r="H44" s="403"/>
      <c r="I44" s="406"/>
      <c r="J44" s="402"/>
      <c r="K44" s="403"/>
      <c r="L44" s="403"/>
      <c r="M44" s="403"/>
      <c r="N44" s="404"/>
      <c r="O44" s="405"/>
      <c r="P44" s="403"/>
      <c r="Q44" s="403"/>
      <c r="R44" s="406"/>
      <c r="S44" s="402"/>
      <c r="T44" s="403"/>
      <c r="U44" s="455"/>
      <c r="V44" s="456"/>
      <c r="W44" s="457"/>
      <c r="X44" s="455"/>
      <c r="Y44" s="455"/>
      <c r="Z44" s="458"/>
      <c r="AA44" s="402"/>
      <c r="AB44" s="403"/>
      <c r="AC44" s="422"/>
      <c r="AD44" s="422"/>
      <c r="AE44" s="423"/>
      <c r="AF44" s="448"/>
      <c r="AG44" s="422"/>
      <c r="AH44" s="422"/>
      <c r="AI44" s="439"/>
      <c r="AJ44" s="421"/>
      <c r="AK44" s="422"/>
      <c r="AL44" s="422"/>
      <c r="AM44" s="422"/>
      <c r="AN44" s="423"/>
      <c r="AO44" s="438"/>
      <c r="AP44" s="422"/>
      <c r="AQ44" s="422"/>
      <c r="AR44" s="439"/>
      <c r="AS44" s="421"/>
      <c r="AT44" s="422"/>
      <c r="AU44" s="422"/>
      <c r="AV44" s="423"/>
      <c r="AW44" s="438"/>
      <c r="AX44" s="422"/>
      <c r="AY44" s="422"/>
      <c r="AZ44" s="422"/>
      <c r="BA44" s="439"/>
      <c r="BB44" s="421"/>
      <c r="BC44" s="422"/>
      <c r="BD44" s="422"/>
      <c r="BE44" s="423"/>
      <c r="BF44" s="405"/>
      <c r="BG44" s="403"/>
      <c r="BH44" s="403"/>
      <c r="BI44" s="406"/>
    </row>
    <row r="45" customFormat="false" ht="46.25" hidden="false" customHeight="false" outlineLevel="0" collapsed="false">
      <c r="A45" s="397"/>
      <c r="B45" s="398" t="s">
        <v>596</v>
      </c>
      <c r="C45" s="381" t="n">
        <v>5</v>
      </c>
      <c r="D45" s="444"/>
      <c r="E45" s="406"/>
      <c r="F45" s="405"/>
      <c r="G45" s="403"/>
      <c r="H45" s="403"/>
      <c r="I45" s="406"/>
      <c r="J45" s="402"/>
      <c r="K45" s="403"/>
      <c r="L45" s="403"/>
      <c r="M45" s="403"/>
      <c r="N45" s="404"/>
      <c r="O45" s="405"/>
      <c r="P45" s="403"/>
      <c r="Q45" s="403"/>
      <c r="R45" s="406"/>
      <c r="S45" s="402"/>
      <c r="T45" s="403"/>
      <c r="U45" s="455"/>
      <c r="V45" s="456"/>
      <c r="W45" s="457"/>
      <c r="X45" s="455"/>
      <c r="Y45" s="455"/>
      <c r="Z45" s="458"/>
      <c r="AA45" s="402"/>
      <c r="AB45" s="403"/>
      <c r="AC45" s="403"/>
      <c r="AD45" s="403"/>
      <c r="AE45" s="404"/>
      <c r="AF45" s="457"/>
      <c r="AG45" s="403"/>
      <c r="AH45" s="403"/>
      <c r="AI45" s="406"/>
      <c r="AJ45" s="421"/>
      <c r="AK45" s="422"/>
      <c r="AL45" s="422"/>
      <c r="AM45" s="422"/>
      <c r="AN45" s="423"/>
      <c r="AO45" s="438"/>
      <c r="AP45" s="422"/>
      <c r="AQ45" s="422"/>
      <c r="AR45" s="439"/>
      <c r="AS45" s="421"/>
      <c r="AT45" s="422"/>
      <c r="AU45" s="422"/>
      <c r="AV45" s="423"/>
      <c r="AW45" s="438"/>
      <c r="AX45" s="422"/>
      <c r="AY45" s="422"/>
      <c r="AZ45" s="422"/>
      <c r="BA45" s="439"/>
      <c r="BB45" s="421"/>
      <c r="BC45" s="422"/>
      <c r="BD45" s="422"/>
      <c r="BE45" s="423"/>
      <c r="BF45" s="405"/>
      <c r="BG45" s="403"/>
      <c r="BH45" s="403"/>
      <c r="BI45" s="406"/>
    </row>
    <row r="46" customFormat="false" ht="24.45" hidden="false" customHeight="false" outlineLevel="0" collapsed="false">
      <c r="A46" s="397"/>
      <c r="B46" s="398" t="s">
        <v>597</v>
      </c>
      <c r="C46" s="381" t="n">
        <v>1.5</v>
      </c>
      <c r="D46" s="444"/>
      <c r="E46" s="406"/>
      <c r="F46" s="405"/>
      <c r="G46" s="403"/>
      <c r="H46" s="403"/>
      <c r="I46" s="406"/>
      <c r="J46" s="402"/>
      <c r="K46" s="403"/>
      <c r="L46" s="403"/>
      <c r="M46" s="403"/>
      <c r="N46" s="404"/>
      <c r="O46" s="405"/>
      <c r="P46" s="403"/>
      <c r="Q46" s="403"/>
      <c r="R46" s="406"/>
      <c r="S46" s="402"/>
      <c r="T46" s="403"/>
      <c r="U46" s="455"/>
      <c r="V46" s="456"/>
      <c r="W46" s="457"/>
      <c r="X46" s="455"/>
      <c r="Y46" s="455"/>
      <c r="Z46" s="458"/>
      <c r="AA46" s="402"/>
      <c r="AB46" s="403"/>
      <c r="AC46" s="403"/>
      <c r="AD46" s="403"/>
      <c r="AE46" s="404"/>
      <c r="AF46" s="457"/>
      <c r="AG46" s="403"/>
      <c r="AH46" s="403"/>
      <c r="AI46" s="406"/>
      <c r="AJ46" s="402"/>
      <c r="AK46" s="403"/>
      <c r="AL46" s="403"/>
      <c r="AM46" s="422"/>
      <c r="AN46" s="423"/>
      <c r="AO46" s="438"/>
      <c r="AP46" s="422"/>
      <c r="AQ46" s="422"/>
      <c r="AR46" s="439"/>
      <c r="AS46" s="402"/>
      <c r="AT46" s="403"/>
      <c r="AU46" s="403"/>
      <c r="AV46" s="404"/>
      <c r="AW46" s="405"/>
      <c r="AX46" s="403"/>
      <c r="AY46" s="403"/>
      <c r="AZ46" s="403"/>
      <c r="BA46" s="406"/>
      <c r="BB46" s="402"/>
      <c r="BC46" s="403"/>
      <c r="BD46" s="403"/>
      <c r="BE46" s="404"/>
      <c r="BF46" s="405"/>
      <c r="BG46" s="403"/>
      <c r="BH46" s="403"/>
      <c r="BI46" s="406"/>
    </row>
    <row r="47" customFormat="false" ht="24.45" hidden="false" customHeight="false" outlineLevel="0" collapsed="false">
      <c r="A47" s="397"/>
      <c r="B47" s="398" t="s">
        <v>598</v>
      </c>
      <c r="C47" s="381" t="n">
        <v>2.5</v>
      </c>
      <c r="D47" s="444"/>
      <c r="E47" s="406"/>
      <c r="F47" s="405"/>
      <c r="G47" s="403"/>
      <c r="H47" s="403"/>
      <c r="I47" s="406"/>
      <c r="J47" s="402"/>
      <c r="K47" s="403"/>
      <c r="L47" s="403"/>
      <c r="M47" s="403"/>
      <c r="N47" s="404"/>
      <c r="O47" s="405"/>
      <c r="P47" s="403"/>
      <c r="Q47" s="403"/>
      <c r="R47" s="406"/>
      <c r="S47" s="402"/>
      <c r="T47" s="403"/>
      <c r="U47" s="455"/>
      <c r="V47" s="456"/>
      <c r="W47" s="457"/>
      <c r="X47" s="446"/>
      <c r="Y47" s="446"/>
      <c r="Z47" s="454"/>
      <c r="AA47" s="421"/>
      <c r="AB47" s="422"/>
      <c r="AC47" s="422"/>
      <c r="AD47" s="422"/>
      <c r="AE47" s="423"/>
      <c r="AF47" s="448"/>
      <c r="AG47" s="422"/>
      <c r="AH47" s="422"/>
      <c r="AI47" s="439"/>
      <c r="AJ47" s="402"/>
      <c r="AK47" s="403"/>
      <c r="AL47" s="403"/>
      <c r="AM47" s="403"/>
      <c r="AN47" s="404"/>
      <c r="AO47" s="405"/>
      <c r="AP47" s="403"/>
      <c r="AQ47" s="403"/>
      <c r="AR47" s="406"/>
      <c r="AS47" s="402"/>
      <c r="AT47" s="403"/>
      <c r="AU47" s="403"/>
      <c r="AV47" s="404"/>
      <c r="AW47" s="405"/>
      <c r="AX47" s="403"/>
      <c r="AY47" s="403"/>
      <c r="AZ47" s="403"/>
      <c r="BA47" s="406"/>
      <c r="BB47" s="402"/>
      <c r="BC47" s="403"/>
      <c r="BD47" s="403"/>
      <c r="BE47" s="404"/>
      <c r="BF47" s="405"/>
      <c r="BG47" s="403"/>
      <c r="BH47" s="403"/>
      <c r="BI47" s="406"/>
    </row>
    <row r="48" customFormat="false" ht="24.45" hidden="false" customHeight="false" outlineLevel="0" collapsed="false">
      <c r="A48" s="397"/>
      <c r="B48" s="398" t="s">
        <v>599</v>
      </c>
      <c r="C48" s="381" t="n">
        <v>2</v>
      </c>
      <c r="D48" s="444"/>
      <c r="E48" s="406"/>
      <c r="F48" s="405"/>
      <c r="G48" s="403"/>
      <c r="H48" s="403"/>
      <c r="I48" s="406"/>
      <c r="J48" s="402"/>
      <c r="K48" s="403"/>
      <c r="L48" s="403"/>
      <c r="M48" s="403"/>
      <c r="N48" s="404"/>
      <c r="O48" s="405"/>
      <c r="P48" s="403"/>
      <c r="Q48" s="403"/>
      <c r="R48" s="406"/>
      <c r="S48" s="402"/>
      <c r="T48" s="403"/>
      <c r="U48" s="455"/>
      <c r="V48" s="456"/>
      <c r="W48" s="457"/>
      <c r="X48" s="455"/>
      <c r="Y48" s="455"/>
      <c r="Z48" s="458"/>
      <c r="AA48" s="402"/>
      <c r="AB48" s="403"/>
      <c r="AC48" s="403"/>
      <c r="AD48" s="403"/>
      <c r="AE48" s="404"/>
      <c r="AF48" s="457"/>
      <c r="AG48" s="403"/>
      <c r="AH48" s="403"/>
      <c r="AI48" s="406"/>
      <c r="AJ48" s="402"/>
      <c r="AK48" s="403"/>
      <c r="AL48" s="403"/>
      <c r="AM48" s="403"/>
      <c r="AN48" s="404"/>
      <c r="AO48" s="405"/>
      <c r="AP48" s="403"/>
      <c r="AQ48" s="403"/>
      <c r="AR48" s="406"/>
      <c r="AS48" s="421"/>
      <c r="AT48" s="422"/>
      <c r="AU48" s="422"/>
      <c r="AV48" s="423"/>
      <c r="AW48" s="438"/>
      <c r="AX48" s="422"/>
      <c r="AY48" s="422"/>
      <c r="AZ48" s="422"/>
      <c r="BA48" s="439"/>
      <c r="BB48" s="402"/>
      <c r="BC48" s="403"/>
      <c r="BD48" s="403"/>
      <c r="BE48" s="404"/>
      <c r="BF48" s="405"/>
      <c r="BG48" s="403"/>
      <c r="BH48" s="403"/>
      <c r="BI48" s="406"/>
    </row>
    <row r="49" customFormat="false" ht="68.65" hidden="false" customHeight="false" outlineLevel="0" collapsed="false">
      <c r="A49" s="397"/>
      <c r="B49" s="398" t="s">
        <v>600</v>
      </c>
      <c r="C49" s="381" t="n">
        <v>6</v>
      </c>
      <c r="D49" s="444"/>
      <c r="E49" s="406"/>
      <c r="F49" s="405"/>
      <c r="G49" s="403"/>
      <c r="H49" s="403"/>
      <c r="I49" s="406"/>
      <c r="J49" s="402"/>
      <c r="K49" s="403"/>
      <c r="L49" s="403"/>
      <c r="M49" s="403"/>
      <c r="N49" s="404"/>
      <c r="O49" s="405"/>
      <c r="P49" s="403"/>
      <c r="Q49" s="403"/>
      <c r="R49" s="406"/>
      <c r="S49" s="402"/>
      <c r="T49" s="403"/>
      <c r="U49" s="455"/>
      <c r="V49" s="456"/>
      <c r="W49" s="457"/>
      <c r="X49" s="455"/>
      <c r="Y49" s="446"/>
      <c r="Z49" s="454"/>
      <c r="AA49" s="421"/>
      <c r="AB49" s="422"/>
      <c r="AC49" s="422"/>
      <c r="AD49" s="422"/>
      <c r="AE49" s="423"/>
      <c r="AF49" s="448"/>
      <c r="AG49" s="422"/>
      <c r="AH49" s="422"/>
      <c r="AI49" s="439"/>
      <c r="AJ49" s="421"/>
      <c r="AK49" s="422"/>
      <c r="AL49" s="422"/>
      <c r="AM49" s="422"/>
      <c r="AN49" s="423"/>
      <c r="AO49" s="438"/>
      <c r="AP49" s="422"/>
      <c r="AQ49" s="422"/>
      <c r="AR49" s="439"/>
      <c r="AS49" s="421"/>
      <c r="AT49" s="422"/>
      <c r="AU49" s="422"/>
      <c r="AV49" s="423"/>
      <c r="AW49" s="438"/>
      <c r="AX49" s="422"/>
      <c r="AY49" s="403"/>
      <c r="AZ49" s="403"/>
      <c r="BA49" s="406"/>
      <c r="BB49" s="402"/>
      <c r="BC49" s="403"/>
      <c r="BD49" s="403"/>
      <c r="BE49" s="404"/>
      <c r="BF49" s="405"/>
      <c r="BG49" s="403"/>
      <c r="BH49" s="403"/>
      <c r="BI49" s="406"/>
    </row>
    <row r="50" customFormat="false" ht="24.45" hidden="false" customHeight="false" outlineLevel="0" collapsed="false">
      <c r="A50" s="397"/>
      <c r="B50" s="398" t="s">
        <v>601</v>
      </c>
      <c r="C50" s="381" t="n">
        <v>1.75</v>
      </c>
      <c r="D50" s="444"/>
      <c r="E50" s="406"/>
      <c r="F50" s="405"/>
      <c r="G50" s="403"/>
      <c r="H50" s="403"/>
      <c r="I50" s="406"/>
      <c r="J50" s="402"/>
      <c r="K50" s="403"/>
      <c r="L50" s="403"/>
      <c r="M50" s="403"/>
      <c r="N50" s="404"/>
      <c r="O50" s="405"/>
      <c r="P50" s="403"/>
      <c r="Q50" s="403"/>
      <c r="R50" s="406"/>
      <c r="S50" s="402"/>
      <c r="T50" s="403"/>
      <c r="U50" s="455"/>
      <c r="V50" s="456"/>
      <c r="W50" s="457"/>
      <c r="X50" s="455"/>
      <c r="Y50" s="455"/>
      <c r="Z50" s="458"/>
      <c r="AA50" s="402"/>
      <c r="AB50" s="403"/>
      <c r="AC50" s="403"/>
      <c r="AD50" s="403"/>
      <c r="AE50" s="404"/>
      <c r="AF50" s="457"/>
      <c r="AG50" s="422"/>
      <c r="AH50" s="422"/>
      <c r="AI50" s="439"/>
      <c r="AJ50" s="421"/>
      <c r="AK50" s="422"/>
      <c r="AL50" s="422"/>
      <c r="AM50" s="422"/>
      <c r="AN50" s="423"/>
      <c r="AO50" s="405"/>
      <c r="AP50" s="403"/>
      <c r="AQ50" s="403"/>
      <c r="AR50" s="406"/>
      <c r="AS50" s="402"/>
      <c r="AT50" s="403"/>
      <c r="AU50" s="403"/>
      <c r="AV50" s="404"/>
      <c r="AW50" s="405"/>
      <c r="AX50" s="403"/>
      <c r="AY50" s="403"/>
      <c r="AZ50" s="403"/>
      <c r="BA50" s="406"/>
      <c r="BB50" s="402"/>
      <c r="BC50" s="403"/>
      <c r="BD50" s="403"/>
      <c r="BE50" s="404"/>
      <c r="BF50" s="405"/>
      <c r="BG50" s="403"/>
      <c r="BH50" s="403"/>
      <c r="BI50" s="406"/>
    </row>
    <row r="51" customFormat="false" ht="24.45" hidden="false" customHeight="false" outlineLevel="0" collapsed="false">
      <c r="A51" s="397"/>
      <c r="B51" s="398" t="s">
        <v>602</v>
      </c>
      <c r="C51" s="381" t="n">
        <v>1.75</v>
      </c>
      <c r="D51" s="444"/>
      <c r="E51" s="406"/>
      <c r="F51" s="405"/>
      <c r="G51" s="403"/>
      <c r="H51" s="403"/>
      <c r="I51" s="406"/>
      <c r="J51" s="402"/>
      <c r="K51" s="403"/>
      <c r="L51" s="403"/>
      <c r="M51" s="403"/>
      <c r="N51" s="404"/>
      <c r="O51" s="405"/>
      <c r="P51" s="403"/>
      <c r="Q51" s="403"/>
      <c r="R51" s="406"/>
      <c r="S51" s="402"/>
      <c r="T51" s="403"/>
      <c r="U51" s="455"/>
      <c r="V51" s="456"/>
      <c r="W51" s="457"/>
      <c r="X51" s="455"/>
      <c r="Y51" s="455"/>
      <c r="Z51" s="458"/>
      <c r="AA51" s="402"/>
      <c r="AB51" s="403"/>
      <c r="AC51" s="403"/>
      <c r="AD51" s="403"/>
      <c r="AE51" s="404"/>
      <c r="AF51" s="457"/>
      <c r="AG51" s="403"/>
      <c r="AH51" s="403"/>
      <c r="AI51" s="406"/>
      <c r="AJ51" s="402"/>
      <c r="AK51" s="403"/>
      <c r="AL51" s="403"/>
      <c r="AM51" s="403"/>
      <c r="AN51" s="404"/>
      <c r="AO51" s="405"/>
      <c r="AP51" s="403"/>
      <c r="AQ51" s="403"/>
      <c r="AR51" s="406"/>
      <c r="AS51" s="402"/>
      <c r="AT51" s="403"/>
      <c r="AU51" s="403"/>
      <c r="AV51" s="404"/>
      <c r="AW51" s="438"/>
      <c r="AX51" s="422"/>
      <c r="AY51" s="422"/>
      <c r="AZ51" s="422"/>
      <c r="BA51" s="439"/>
      <c r="BB51" s="421"/>
      <c r="BC51" s="422"/>
      <c r="BD51" s="422"/>
      <c r="BE51" s="404"/>
      <c r="BF51" s="405"/>
      <c r="BG51" s="403"/>
      <c r="BH51" s="403"/>
      <c r="BI51" s="406"/>
    </row>
    <row r="52" customFormat="false" ht="62.15" hidden="false" customHeight="true" outlineLevel="0" collapsed="false">
      <c r="A52" s="449" t="s">
        <v>137</v>
      </c>
      <c r="B52" s="450" t="s">
        <v>603</v>
      </c>
      <c r="C52" s="381" t="n">
        <v>5</v>
      </c>
      <c r="D52" s="405"/>
      <c r="E52" s="406"/>
      <c r="F52" s="405"/>
      <c r="G52" s="403"/>
      <c r="H52" s="403"/>
      <c r="I52" s="406"/>
      <c r="J52" s="402"/>
      <c r="K52" s="403"/>
      <c r="L52" s="403"/>
      <c r="M52" s="403"/>
      <c r="N52" s="404"/>
      <c r="O52" s="405"/>
      <c r="P52" s="403"/>
      <c r="Q52" s="403"/>
      <c r="R52" s="406"/>
      <c r="S52" s="402"/>
      <c r="T52" s="403"/>
      <c r="U52" s="403"/>
      <c r="V52" s="404"/>
      <c r="W52" s="405"/>
      <c r="X52" s="403"/>
      <c r="Y52" s="403"/>
      <c r="Z52" s="406"/>
      <c r="AA52" s="402"/>
      <c r="AB52" s="403"/>
      <c r="AC52" s="403"/>
      <c r="AD52" s="403"/>
      <c r="AE52" s="404"/>
      <c r="AF52" s="405"/>
      <c r="AG52" s="403"/>
      <c r="AH52" s="422"/>
      <c r="AI52" s="439"/>
      <c r="AJ52" s="421"/>
      <c r="AK52" s="422"/>
      <c r="AL52" s="422"/>
      <c r="AM52" s="422"/>
      <c r="AN52" s="423"/>
      <c r="AO52" s="438"/>
      <c r="AP52" s="422"/>
      <c r="AQ52" s="422"/>
      <c r="AR52" s="439"/>
      <c r="AS52" s="421"/>
      <c r="AT52" s="422"/>
      <c r="AU52" s="422"/>
      <c r="AV52" s="423"/>
      <c r="AW52" s="438"/>
      <c r="AX52" s="422"/>
      <c r="AY52" s="422"/>
      <c r="AZ52" s="422"/>
      <c r="BA52" s="406"/>
      <c r="BB52" s="402"/>
      <c r="BC52" s="403"/>
      <c r="BD52" s="403"/>
      <c r="BE52" s="404"/>
      <c r="BF52" s="405"/>
      <c r="BG52" s="403"/>
      <c r="BH52" s="403"/>
      <c r="BI52" s="406"/>
    </row>
    <row r="53" customFormat="false" ht="62.15" hidden="false" customHeight="true" outlineLevel="0" collapsed="false">
      <c r="A53" s="449"/>
      <c r="B53" s="450" t="s">
        <v>604</v>
      </c>
      <c r="C53" s="381" t="n">
        <v>0.5</v>
      </c>
      <c r="D53" s="405"/>
      <c r="E53" s="406"/>
      <c r="F53" s="405"/>
      <c r="G53" s="403"/>
      <c r="H53" s="403"/>
      <c r="I53" s="406"/>
      <c r="J53" s="402"/>
      <c r="K53" s="403"/>
      <c r="L53" s="403"/>
      <c r="M53" s="403"/>
      <c r="N53" s="404"/>
      <c r="O53" s="405"/>
      <c r="P53" s="403"/>
      <c r="Q53" s="403"/>
      <c r="R53" s="406"/>
      <c r="S53" s="402"/>
      <c r="T53" s="403"/>
      <c r="U53" s="403"/>
      <c r="V53" s="404"/>
      <c r="W53" s="405"/>
      <c r="X53" s="403"/>
      <c r="Y53" s="403"/>
      <c r="Z53" s="406"/>
      <c r="AA53" s="402"/>
      <c r="AB53" s="403"/>
      <c r="AC53" s="403"/>
      <c r="AD53" s="403"/>
      <c r="AE53" s="404"/>
      <c r="AF53" s="405"/>
      <c r="AG53" s="403"/>
      <c r="AH53" s="403"/>
      <c r="AI53" s="406"/>
      <c r="AJ53" s="402"/>
      <c r="AK53" s="403"/>
      <c r="AL53" s="403"/>
      <c r="AM53" s="403"/>
      <c r="AN53" s="404"/>
      <c r="AO53" s="405"/>
      <c r="AP53" s="403"/>
      <c r="AQ53" s="403"/>
      <c r="AR53" s="406"/>
      <c r="AS53" s="402"/>
      <c r="AT53" s="403"/>
      <c r="AU53" s="403"/>
      <c r="AV53" s="404"/>
      <c r="AW53" s="405"/>
      <c r="AX53" s="403"/>
      <c r="AY53" s="422"/>
      <c r="AZ53" s="422"/>
      <c r="BA53" s="406"/>
      <c r="BB53" s="402"/>
      <c r="BC53" s="403"/>
      <c r="BD53" s="403"/>
      <c r="BE53" s="404"/>
      <c r="BF53" s="405"/>
      <c r="BG53" s="403"/>
      <c r="BH53" s="403"/>
      <c r="BI53" s="406"/>
    </row>
    <row r="54" customFormat="false" ht="62.15" hidden="false" customHeight="true" outlineLevel="0" collapsed="false">
      <c r="A54" s="449"/>
      <c r="B54" s="450" t="s">
        <v>605</v>
      </c>
      <c r="C54" s="381" t="n">
        <v>7</v>
      </c>
      <c r="D54" s="405"/>
      <c r="E54" s="406"/>
      <c r="F54" s="405"/>
      <c r="G54" s="403"/>
      <c r="H54" s="403"/>
      <c r="I54" s="406"/>
      <c r="J54" s="402"/>
      <c r="K54" s="403"/>
      <c r="L54" s="403"/>
      <c r="M54" s="403"/>
      <c r="N54" s="404"/>
      <c r="O54" s="405"/>
      <c r="P54" s="403"/>
      <c r="Q54" s="403"/>
      <c r="R54" s="406"/>
      <c r="S54" s="407"/>
      <c r="T54" s="422"/>
      <c r="U54" s="422"/>
      <c r="V54" s="423"/>
      <c r="W54" s="438"/>
      <c r="X54" s="422"/>
      <c r="Y54" s="422"/>
      <c r="Z54" s="439"/>
      <c r="AA54" s="421"/>
      <c r="AB54" s="422"/>
      <c r="AC54" s="422"/>
      <c r="AD54" s="422"/>
      <c r="AE54" s="423"/>
      <c r="AF54" s="438"/>
      <c r="AG54" s="422"/>
      <c r="AH54" s="422"/>
      <c r="AI54" s="439"/>
      <c r="AJ54" s="421"/>
      <c r="AK54" s="422"/>
      <c r="AL54" s="422"/>
      <c r="AM54" s="422"/>
      <c r="AN54" s="423"/>
      <c r="AO54" s="438"/>
      <c r="AP54" s="422"/>
      <c r="AQ54" s="422"/>
      <c r="AR54" s="439"/>
      <c r="AS54" s="421"/>
      <c r="AT54" s="422"/>
      <c r="AU54" s="422"/>
      <c r="AV54" s="423"/>
      <c r="AW54" s="405"/>
      <c r="AX54" s="403"/>
      <c r="AY54" s="403"/>
      <c r="AZ54" s="403"/>
      <c r="BA54" s="406"/>
      <c r="BB54" s="402"/>
      <c r="BC54" s="403"/>
      <c r="BD54" s="403"/>
      <c r="BE54" s="404"/>
      <c r="BF54" s="405"/>
      <c r="BG54" s="403"/>
      <c r="BH54" s="403"/>
      <c r="BI54" s="406"/>
    </row>
    <row r="55" customFormat="false" ht="62.15" hidden="false" customHeight="true" outlineLevel="0" collapsed="false">
      <c r="A55" s="449"/>
      <c r="B55" s="450" t="s">
        <v>606</v>
      </c>
      <c r="C55" s="381" t="n">
        <v>3</v>
      </c>
      <c r="D55" s="405"/>
      <c r="E55" s="406"/>
      <c r="F55" s="405"/>
      <c r="G55" s="403"/>
      <c r="H55" s="403"/>
      <c r="I55" s="406"/>
      <c r="J55" s="402"/>
      <c r="K55" s="403"/>
      <c r="L55" s="403"/>
      <c r="M55" s="403"/>
      <c r="N55" s="404"/>
      <c r="O55" s="405"/>
      <c r="P55" s="403"/>
      <c r="Q55" s="403"/>
      <c r="R55" s="406"/>
      <c r="S55" s="402"/>
      <c r="T55" s="403"/>
      <c r="U55" s="403"/>
      <c r="V55" s="404"/>
      <c r="W55" s="405"/>
      <c r="X55" s="403"/>
      <c r="Y55" s="403"/>
      <c r="Z55" s="406"/>
      <c r="AA55" s="402"/>
      <c r="AB55" s="403"/>
      <c r="AC55" s="403"/>
      <c r="AD55" s="403"/>
      <c r="AE55" s="404"/>
      <c r="AF55" s="405"/>
      <c r="AG55" s="403"/>
      <c r="AH55" s="403"/>
      <c r="AI55" s="406"/>
      <c r="AJ55" s="402"/>
      <c r="AK55" s="403"/>
      <c r="AL55" s="403"/>
      <c r="AM55" s="403"/>
      <c r="AN55" s="404"/>
      <c r="AO55" s="405"/>
      <c r="AP55" s="403"/>
      <c r="AQ55" s="403"/>
      <c r="AR55" s="406"/>
      <c r="AS55" s="421"/>
      <c r="AT55" s="422"/>
      <c r="AU55" s="422"/>
      <c r="AV55" s="423"/>
      <c r="AW55" s="438"/>
      <c r="AX55" s="422"/>
      <c r="AY55" s="422"/>
      <c r="AZ55" s="422"/>
      <c r="BA55" s="439"/>
      <c r="BB55" s="421"/>
      <c r="BC55" s="422"/>
      <c r="BD55" s="422"/>
      <c r="BE55" s="423"/>
      <c r="BF55" s="405"/>
      <c r="BG55" s="403"/>
      <c r="BH55" s="403"/>
      <c r="BI55" s="406"/>
    </row>
    <row r="56" customFormat="false" ht="24.45" hidden="false" customHeight="false" outlineLevel="0" collapsed="false">
      <c r="A56" s="449"/>
      <c r="B56" s="398" t="s">
        <v>607</v>
      </c>
      <c r="C56" s="381" t="n">
        <v>11</v>
      </c>
      <c r="D56" s="444"/>
      <c r="E56" s="406"/>
      <c r="F56" s="405"/>
      <c r="G56" s="403"/>
      <c r="H56" s="403"/>
      <c r="I56" s="406"/>
      <c r="J56" s="402"/>
      <c r="K56" s="403"/>
      <c r="L56" s="401"/>
      <c r="M56" s="401"/>
      <c r="N56" s="437"/>
      <c r="O56" s="399"/>
      <c r="P56" s="401"/>
      <c r="Q56" s="401"/>
      <c r="R56" s="400"/>
      <c r="S56" s="407"/>
      <c r="T56" s="422"/>
      <c r="U56" s="446"/>
      <c r="V56" s="453"/>
      <c r="W56" s="448"/>
      <c r="X56" s="446"/>
      <c r="Y56" s="446"/>
      <c r="Z56" s="454"/>
      <c r="AA56" s="421"/>
      <c r="AB56" s="422"/>
      <c r="AC56" s="422"/>
      <c r="AD56" s="422"/>
      <c r="AE56" s="423"/>
      <c r="AF56" s="448"/>
      <c r="AG56" s="422"/>
      <c r="AH56" s="422"/>
      <c r="AI56" s="439"/>
      <c r="AJ56" s="421"/>
      <c r="AK56" s="422"/>
      <c r="AL56" s="422"/>
      <c r="AM56" s="422"/>
      <c r="AN56" s="423"/>
      <c r="AO56" s="438"/>
      <c r="AP56" s="422"/>
      <c r="AQ56" s="422"/>
      <c r="AR56" s="439"/>
      <c r="AS56" s="421"/>
      <c r="AT56" s="422"/>
      <c r="AU56" s="422"/>
      <c r="AV56" s="423"/>
      <c r="AW56" s="438"/>
      <c r="AX56" s="422"/>
      <c r="AY56" s="422"/>
      <c r="AZ56" s="422"/>
      <c r="BA56" s="439"/>
      <c r="BB56" s="421"/>
      <c r="BC56" s="422"/>
      <c r="BD56" s="422"/>
      <c r="BE56" s="404"/>
      <c r="BF56" s="405"/>
      <c r="BG56" s="403"/>
      <c r="BH56" s="403"/>
      <c r="BI56" s="406"/>
    </row>
    <row r="57" customFormat="false" ht="24.45" hidden="false" customHeight="false" outlineLevel="0" collapsed="false">
      <c r="A57" s="449"/>
      <c r="B57" s="398" t="s">
        <v>608</v>
      </c>
      <c r="C57" s="381" t="n">
        <v>2.5</v>
      </c>
      <c r="D57" s="444"/>
      <c r="E57" s="406"/>
      <c r="F57" s="405"/>
      <c r="G57" s="403"/>
      <c r="H57" s="403"/>
      <c r="I57" s="406"/>
      <c r="J57" s="402"/>
      <c r="K57" s="403"/>
      <c r="L57" s="403"/>
      <c r="M57" s="403"/>
      <c r="N57" s="404"/>
      <c r="O57" s="405"/>
      <c r="P57" s="403"/>
      <c r="Q57" s="403"/>
      <c r="R57" s="406"/>
      <c r="S57" s="407"/>
      <c r="T57" s="422"/>
      <c r="U57" s="446"/>
      <c r="V57" s="453"/>
      <c r="W57" s="448"/>
      <c r="X57" s="446"/>
      <c r="Y57" s="446"/>
      <c r="Z57" s="454"/>
      <c r="AA57" s="402"/>
      <c r="AB57" s="403"/>
      <c r="AC57" s="403"/>
      <c r="AD57" s="403"/>
      <c r="AE57" s="404"/>
      <c r="AF57" s="457"/>
      <c r="AG57" s="403"/>
      <c r="AH57" s="403"/>
      <c r="AI57" s="406"/>
      <c r="AJ57" s="402"/>
      <c r="AK57" s="403"/>
      <c r="AL57" s="403"/>
      <c r="AM57" s="403"/>
      <c r="AN57" s="404"/>
      <c r="AO57" s="405"/>
      <c r="AP57" s="403"/>
      <c r="AQ57" s="403"/>
      <c r="AR57" s="406"/>
      <c r="AS57" s="402"/>
      <c r="AT57" s="403"/>
      <c r="AU57" s="403"/>
      <c r="AV57" s="404"/>
      <c r="AW57" s="405"/>
      <c r="AX57" s="403"/>
      <c r="AY57" s="403"/>
      <c r="AZ57" s="403"/>
      <c r="BA57" s="406"/>
      <c r="BB57" s="402"/>
      <c r="BC57" s="403"/>
      <c r="BD57" s="403"/>
      <c r="BE57" s="404"/>
      <c r="BF57" s="405"/>
      <c r="BG57" s="403"/>
      <c r="BH57" s="403"/>
      <c r="BI57" s="406"/>
    </row>
    <row r="58" customFormat="false" ht="116.5" hidden="false" customHeight="true" outlineLevel="0" collapsed="false">
      <c r="A58" s="424"/>
      <c r="B58" s="450" t="s">
        <v>609</v>
      </c>
      <c r="C58" s="381" t="n">
        <v>1</v>
      </c>
      <c r="D58" s="459"/>
      <c r="E58" s="460"/>
      <c r="F58" s="459"/>
      <c r="G58" s="461"/>
      <c r="H58" s="461"/>
      <c r="I58" s="460"/>
      <c r="J58" s="462"/>
      <c r="K58" s="461"/>
      <c r="L58" s="461"/>
      <c r="M58" s="461"/>
      <c r="N58" s="463"/>
      <c r="O58" s="459"/>
      <c r="P58" s="461"/>
      <c r="Q58" s="461"/>
      <c r="R58" s="460"/>
      <c r="S58" s="462"/>
      <c r="T58" s="461"/>
      <c r="U58" s="461"/>
      <c r="V58" s="463"/>
      <c r="W58" s="459"/>
      <c r="X58" s="461"/>
      <c r="Y58" s="461"/>
      <c r="Z58" s="460"/>
      <c r="AA58" s="462"/>
      <c r="AB58" s="461"/>
      <c r="AC58" s="461"/>
      <c r="AD58" s="461"/>
      <c r="AE58" s="463"/>
      <c r="AF58" s="459"/>
      <c r="AG58" s="461"/>
      <c r="AH58" s="461"/>
      <c r="AI58" s="460"/>
      <c r="AJ58" s="462"/>
      <c r="AK58" s="461"/>
      <c r="AL58" s="461"/>
      <c r="AM58" s="461"/>
      <c r="AN58" s="463"/>
      <c r="AO58" s="459"/>
      <c r="AP58" s="461"/>
      <c r="AQ58" s="461"/>
      <c r="AR58" s="460"/>
      <c r="AS58" s="462"/>
      <c r="AT58" s="461"/>
      <c r="AU58" s="461"/>
      <c r="AV58" s="463"/>
      <c r="AW58" s="459"/>
      <c r="AX58" s="461"/>
      <c r="AY58" s="461"/>
      <c r="AZ58" s="461"/>
      <c r="BA58" s="460"/>
      <c r="BB58" s="462"/>
      <c r="BC58" s="461"/>
      <c r="BD58" s="461"/>
      <c r="BE58" s="463"/>
      <c r="BF58" s="464"/>
      <c r="BG58" s="465"/>
      <c r="BH58" s="465"/>
      <c r="BI58" s="466"/>
    </row>
  </sheetData>
  <mergeCells count="22">
    <mergeCell ref="D3:BI4"/>
    <mergeCell ref="D7:E7"/>
    <mergeCell ref="F7:I7"/>
    <mergeCell ref="J7:N7"/>
    <mergeCell ref="O7:R7"/>
    <mergeCell ref="S7:V7"/>
    <mergeCell ref="W7:Z7"/>
    <mergeCell ref="AA7:AE7"/>
    <mergeCell ref="AF7:AI7"/>
    <mergeCell ref="AJ7:AN7"/>
    <mergeCell ref="AO7:AR7"/>
    <mergeCell ref="AS7:AV7"/>
    <mergeCell ref="AW7:BA7"/>
    <mergeCell ref="BB7:BE7"/>
    <mergeCell ref="BF7:BI7"/>
    <mergeCell ref="A10:A12"/>
    <mergeCell ref="A14:A20"/>
    <mergeCell ref="A21:A26"/>
    <mergeCell ref="A27:A30"/>
    <mergeCell ref="A32:A35"/>
    <mergeCell ref="A36:A51"/>
    <mergeCell ref="A52:A5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?>
<Relationships xmlns="http://schemas.openxmlformats.org/package/2006/relationships"><Relationship Id="rId1" Type="http://schemas.openxmlformats.org/officeDocument/2006/relationships/customXmlProps" Target="itemProps4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DataMashup xmlns="http://schemas.microsoft.com/DataMashup">AAAAABQDAABQSwMEFAACAAgApZNqWrN1cnqkAAAA9gAAABIAHABDb25maWcvUGFja2FnZS54bWwgohgAKKAUAAAAAAAAAAAAAAAAAAAAAAAAAAAAhY8xDoIwGIWvQrrTloqJIT9lYIXExMS4NqVCIxRDi+VuDh7JK4hR1M3xfe8b3rtfb5BNXRtc1GB1b1IUYYoCZWRfaVOnaHTHcIMyDlshT6JWwSwbm0y2SlHj3DkhxHuP/Qr3Q00YpRE5lMVONqoT6CPr/3KojXXCSIU47F9jOMNRTHFM15gCWSCU2nwFNu99tj8Q8rF146C4smFeAFkikPcH/gBQSwMEFAACAAgApZNqWg/K6aukAAAA6QAAABMAHABbQ29udGVudF9UeXBlc10ueG1sIKIYACigFAAAAAAAAAAAAAAAAAAAAAAAAAAAAG2OSw7CMAxErxJ5n7qwQAg1ZQHcgAtEwf2I5qPGReFsLDgSVyBtd4ilZ+Z55vN6V8dkB/GgMfbeKdgUJQhyxt961yqYuJF7ONbV9Rkoihx1UUHHHA6I0XRkdSx8IJedxo9Wcz7HFoM2d90Sbstyh8Y7JseS5x9QV2dq9DSwuKQsr7UZB3Fac3OVAqbEuMj4l7A/eR3C0BvN2cQkbZR2IXEZXn8BUEsDBBQAAgAIAKWTalooike4DgAAABEAAAATABwARm9ybXVsYXMvU2VjdGlvbjEubSCiGAAooBQAAAAAAAAAAAAAAAAAAAAAAAAAAAArTk0uyczPUwiG0IbWAFBLAQItABQAAgAIAKWTalqzdXJ6pAAAAPYAAAASAAAAAAAAAAAAAAAAAAAAAABDb25maWcvUGFja2FnZS54bWxQSwECLQAUAAIACAClk2paD8rpq6QAAADpAAAAEwAAAAAAAAAAAAAAAADwAAAAW0NvbnRlbnRfVHlwZXNdLnhtbFBLAQItABQAAgAIAKWTalooike4DgAAABEAAAATAAAAAAAAAAAAAAAAAOEBAABGb3JtdWxhcy9TZWN0aW9uMS5tUEsFBgAAAAADAAMAwgAAADwCAAAAABABAADvu788P3htbCB2ZXJzaW9uPSIxLjAiIGVuY29kaW5nPSJ1dGYtOCI/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pcBAAAAAAAAdQEAAO+7vzw/eG1sIHZlcnNpb249IjEuMCIgZW5jb2Rpbmc9InV0Zi04Ij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C9JdGVtcz48L0xvY2FsUGFja2FnZU1ldGFkYXRhRmlsZT4WAAAAUEsFBgAAAAAAAAAAAAAAAAAAAAAAACYBAAABAAAA0Iyd3wEV0RGMegDAT8KX6wEAAADYpscStrm6QrG/kS91e97mAAAAAAIAAAAAABBmAAAAAQAAIAAAALIuusYWuHmOeybU902SZd5KLuo3tLW4vocjRXo9i88sAAAAAA6AAAAAAgAAIAAAAMl9dai1TpMPzEg2c/5p/D0BfwbYbWhPWMMSLe2pG5AzUAAAAMZGEwpyzouG8NSUFBx0DVnwNeRAx0AyB8qLVZF70R/vzAnyHDZp3KkMG1SJvRcb8pDBcSiAygOca+YyppMBNrG3WjaOywSCqfBSJNnmSNl2QAAAAL7WFq4oZx8i0VoBQqDO7fr3kRajvFT4dpKfXxrg0XkeMU/tR87braI0NesqwKZ42qVXHs+g6eMF1MQfmTWKMmw=</DataMashup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C065EDC2DB964B8B9036378862D85B" ma:contentTypeVersion="4" ma:contentTypeDescription="Crear nuevo documento." ma:contentTypeScope="" ma:versionID="ff6cb1de79b116127a327b7ad3e4f6b8">
  <xsd:schema xmlns:xsd="http://www.w3.org/2001/XMLSchema" xmlns:xs="http://www.w3.org/2001/XMLSchema" xmlns:p="http://schemas.microsoft.com/office/2006/metadata/properties" xmlns:ns2="125eb432-c9d6-4f73-a7fc-abac3416ab74" targetNamespace="http://schemas.microsoft.com/office/2006/metadata/properties" ma:root="true" ma:fieldsID="e49f28c4aa0bde227d50f40fd7890963" ns2:_="">
    <xsd:import namespace="125eb432-c9d6-4f73-a7fc-abac3416ab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5eb432-c9d6-4f73-a7fc-abac3416ab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488F5F-B6B3-43E1-A534-F7EEDE3B706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9C4D73-77FD-4BC7-86E8-F563393D2602}">
  <ds:schemaRefs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purl.org/dc/elements/1.1/"/>
    <ds:schemaRef ds:uri="http://purl.org/dc/terms/"/>
    <ds:schemaRef ds:uri="125eb432-c9d6-4f73-a7fc-abac3416ab74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6365B051-E862-4341-AC73-FD6F85EAB53C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BA6CD9C9-FA0C-4598-989F-119472CEF0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5eb432-c9d6-4f73-a7fc-abac3416ab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2023-01-23T20:09:58Z</dcterms:created>
  <dc:creator>Nicolas quinteros</dc:creator>
  <dc:description/>
  <dc:language>en-US</dc:language>
  <cp:lastModifiedBy/>
  <cp:lastPrinted>2025-11-21T19:38:47Z</cp:lastPrinted>
  <dcterms:modified xsi:type="dcterms:W3CDTF">2026-10-10T17:12:21Z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lianceAssetId">
    <vt:lpwstr/>
  </property>
  <property fmtid="{D5CDD505-2E9C-101B-9397-08002B2CF9AE}" pid="3" name="ContentTypeId">
    <vt:lpwstr>0x0101002AC065EDC2DB964B8B9036378862D85B</vt:lpwstr>
  </property>
  <property fmtid="{D5CDD505-2E9C-101B-9397-08002B2CF9AE}" pid="4" name="MediaServiceImageTags">
    <vt:lpwstr/>
  </property>
  <property fmtid="{D5CDD505-2E9C-101B-9397-08002B2CF9AE}" pid="5" name="Order">
    <vt:r8>3600</vt:r8>
  </property>
  <property fmtid="{D5CDD505-2E9C-101B-9397-08002B2CF9AE}" pid="6" name="TemplateUrl">
    <vt:lpwstr/>
  </property>
  <property fmtid="{D5CDD505-2E9C-101B-9397-08002B2CF9AE}" pid="7" name="TriggerFlowInfo">
    <vt:lpwstr/>
  </property>
  <property fmtid="{D5CDD505-2E9C-101B-9397-08002B2CF9AE}" pid="8" name="_ExtendedDescription">
    <vt:lpwstr/>
  </property>
  <property fmtid="{D5CDD505-2E9C-101B-9397-08002B2CF9AE}" pid="9" name="xd_ProgID">
    <vt:lpwstr/>
  </property>
  <property fmtid="{D5CDD505-2E9C-101B-9397-08002B2CF9AE}" pid="10" name="xd_Signature">
    <vt:bool>0</vt:bool>
  </property>
</Properties>
</file>