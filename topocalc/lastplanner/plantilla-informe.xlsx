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drawing5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49" firstSheet="0" activeTab="4"/>
  </bookViews>
  <sheets>
    <sheet name="Minuta N° 65" sheetId="1" state="visible" r:id="rId3"/>
    <sheet name="Last Planner-65" sheetId="2" state="visible" r:id="rId4"/>
    <sheet name="Pl. Restricciones N°65" sheetId="3" state="visible" r:id="rId5"/>
    <sheet name="Consolidado" sheetId="4" state="visible" r:id="rId6"/>
    <sheet name="Ev. Subcontratista" sheetId="5" state="visible" r:id="rId7"/>
    <sheet name="PLAN MAESTRO V2" sheetId="6" state="visible" r:id="rId8"/>
  </sheets>
  <definedNames>
    <definedName function="false" hidden="false" name="fechas" vbProcedure="false"/>
    <definedName function="false" hidden="false" name="responsable" vbProcedure="false"/>
    <definedName function="false" hidden="false" name="Resp_inicial" vbProcedure="false"/>
    <definedName function="false" hidden="false" name="Tabla_asignación" vbProcedure="false"/>
    <definedName function="false" hidden="false" name="Tabla_Recursos" vbProcedure="false"/>
    <definedName function="false" hidden="false" name="Tabla_Tareas" vbProcedure="false"/>
    <definedName function="false" hidden="false" name="tema" vbProcedure="false"/>
    <definedName function="false" hidden="false" name="tipo" vbProcedure="false"/>
    <definedName function="false" hidden="false" localSheetId="0" name="_xlnm.Print_Area" vbProcedure="false"/>
    <definedName function="false" hidden="false" localSheetId="1" name="Tabla_asignación" vbProcedure="false"/>
    <definedName function="false" hidden="false" localSheetId="1" name="Tabla_Recursos" vbProcedure="false"/>
    <definedName function="false" hidden="false" localSheetId="1" name="Tabla_Tareas" vbProcedure="false"/>
    <definedName function="false" hidden="false" localSheetId="1" name="_xlnm.Print_Area" vbProcedure="false"/>
    <definedName function="false" hidden="false" localSheetId="2" name="_xlnm.Print_Area" vbProcedure="false"/>
    <definedName function="false" hidden="false" localSheetId="3" name="_xlnm.Print_Area" vbProcedure="false"/>
    <definedName function="false" hidden="false" localSheetId="4" name="_xlnm.Print_Area" vbProcedure="false"/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2" authorId="0">
      <text>
        <r>
          <rPr>
            <sz val="10"/>
            <rFont val="Arial"/>
            <family val="2"/>
          </rPr>
          <t xml:space="preserve">Acer:
</t>
        </r>
        <r>
          <rPr>
            <sz val="9"/>
            <color rgb="FF000000"/>
            <rFont val="Tahoma"/>
            <family val="2"/>
            <charset val="1"/>
          </rPr>
          <t xml:space="preserve">no se trabajo esta semana proimedio semana anterior + siguiente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D9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E9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H9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I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J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K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L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M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N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O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P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Q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R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S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T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U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V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W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X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Y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Z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A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B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C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D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E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F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G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H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I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J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K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L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M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N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O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P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Q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R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S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T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U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V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W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X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Y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CZ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DA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DB9" authorId="0">
      <text>
        <r>
          <rPr>
            <sz val="10"/>
            <rFont val="Arial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DC9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</commentList>
</comments>
</file>

<file path=xl/sharedStrings.xml><?xml version="1.0" encoding="utf-8"?>
<sst xmlns="http://schemas.openxmlformats.org/spreadsheetml/2006/main" count="3009" uniqueCount="610">
  <si>
    <t xml:space="preserve">Acta de Reunión</t>
  </si>
  <si>
    <t xml:space="preserve">TEMA:</t>
  </si>
  <si>
    <t xml:space="preserve">Plan Semanal
02-03-26 al 08-03-26</t>
  </si>
  <si>
    <t xml:space="preserve">Documento:</t>
  </si>
  <si>
    <t xml:space="preserve">Fecha:</t>
  </si>
  <si>
    <t xml:space="preserve">Lugar:</t>
  </si>
  <si>
    <t xml:space="preserve">Comedor</t>
  </si>
  <si>
    <t xml:space="preserve">PARTICIPANTES:</t>
  </si>
  <si>
    <t xml:space="preserve">N°</t>
  </si>
  <si>
    <t xml:space="preserve">Nombre</t>
  </si>
  <si>
    <t xml:space="preserve">Cargo</t>
  </si>
  <si>
    <t xml:space="preserve">Iniciales</t>
  </si>
  <si>
    <t xml:space="preserve">Asistencia</t>
  </si>
  <si>
    <t xml:space="preserve">Firma</t>
  </si>
  <si>
    <t xml:space="preserve">Luis Aguilar</t>
  </si>
  <si>
    <t xml:space="preserve">Administrado de obra</t>
  </si>
  <si>
    <t xml:space="preserve">LA</t>
  </si>
  <si>
    <t xml:space="preserve">Alex Soto</t>
  </si>
  <si>
    <t xml:space="preserve">Supervisor DEIGENER</t>
  </si>
  <si>
    <t xml:space="preserve">AS</t>
  </si>
  <si>
    <t xml:space="preserve">Cristian Hernandez</t>
  </si>
  <si>
    <t xml:space="preserve">Programador de obra</t>
  </si>
  <si>
    <t xml:space="preserve">CH</t>
  </si>
  <si>
    <t xml:space="preserve">Angel Aguila</t>
  </si>
  <si>
    <t xml:space="preserve">Instalador ductos climatizacion</t>
  </si>
  <si>
    <t xml:space="preserve">AA</t>
  </si>
  <si>
    <t xml:space="preserve">Julio Morales</t>
  </si>
  <si>
    <t xml:space="preserve">Jefe de terreno</t>
  </si>
  <si>
    <t xml:space="preserve">JM</t>
  </si>
  <si>
    <t xml:space="preserve">Mario Araya </t>
  </si>
  <si>
    <t xml:space="preserve">Maestro Proyectos y servicios san Pedro spa</t>
  </si>
  <si>
    <t xml:space="preserve">MA</t>
  </si>
  <si>
    <t xml:space="preserve">Ricardo Caro</t>
  </si>
  <si>
    <t xml:space="preserve">Prevencionista de riesgos</t>
  </si>
  <si>
    <t xml:space="preserve">RC</t>
  </si>
  <si>
    <t xml:space="preserve">Marcelo San Pedro</t>
  </si>
  <si>
    <t xml:space="preserve">Representante legal Proyectos y servicios san Pedro spa</t>
  </si>
  <si>
    <t xml:space="preserve">SP</t>
  </si>
  <si>
    <t xml:space="preserve">Felipe Gonzalez</t>
  </si>
  <si>
    <t xml:space="preserve">PAC</t>
  </si>
  <si>
    <t xml:space="preserve">FG</t>
  </si>
  <si>
    <t xml:space="preserve">Humberto Contreras</t>
  </si>
  <si>
    <t xml:space="preserve">Venesur</t>
  </si>
  <si>
    <t xml:space="preserve">HC</t>
  </si>
  <si>
    <t xml:space="preserve">Mario Verdugo</t>
  </si>
  <si>
    <t xml:space="preserve">Topografo</t>
  </si>
  <si>
    <t xml:space="preserve">MV</t>
  </si>
  <si>
    <t xml:space="preserve">Victor Muñoz</t>
  </si>
  <si>
    <t xml:space="preserve">Cubiertas y muebles Talca</t>
  </si>
  <si>
    <t xml:space="preserve">VM</t>
  </si>
  <si>
    <t xml:space="preserve">Alejandro Soto</t>
  </si>
  <si>
    <t xml:space="preserve">Jefe de obra</t>
  </si>
  <si>
    <t xml:space="preserve">Teodoro Gallo</t>
  </si>
  <si>
    <t xml:space="preserve">Administrativo</t>
  </si>
  <si>
    <t xml:space="preserve">TG</t>
  </si>
  <si>
    <t xml:space="preserve">Luis Rojas</t>
  </si>
  <si>
    <t xml:space="preserve">AITO Servicio Salud Maule</t>
  </si>
  <si>
    <t xml:space="preserve">LR</t>
  </si>
  <si>
    <t xml:space="preserve">Juvenal Soto </t>
  </si>
  <si>
    <t xml:space="preserve">Subcontratista Sanitario</t>
  </si>
  <si>
    <t xml:space="preserve">JS</t>
  </si>
  <si>
    <t xml:space="preserve">Matias Bravo</t>
  </si>
  <si>
    <t xml:space="preserve">Gasfiter</t>
  </si>
  <si>
    <t xml:space="preserve">MB</t>
  </si>
  <si>
    <t xml:space="preserve">Hector Acevedo</t>
  </si>
  <si>
    <t xml:space="preserve">Representante legal Loma Alta Electricidad</t>
  </si>
  <si>
    <t xml:space="preserve">HA</t>
  </si>
  <si>
    <t xml:space="preserve">Luis Arraya</t>
  </si>
  <si>
    <t xml:space="preserve">Supervisor Electrico</t>
  </si>
  <si>
    <t xml:space="preserve">LAR</t>
  </si>
  <si>
    <t xml:space="preserve">Jose Perez</t>
  </si>
  <si>
    <t xml:space="preserve">Representante legal DEIGENER</t>
  </si>
  <si>
    <t xml:space="preserve">JP</t>
  </si>
  <si>
    <t xml:space="preserve">AREA</t>
  </si>
  <si>
    <t xml:space="preserve">TEMA</t>
  </si>
  <si>
    <t xml:space="preserve">TEMAS DE LA PLANIFICACION</t>
  </si>
  <si>
    <t xml:space="preserve">RESPONSABLE</t>
  </si>
  <si>
    <t xml:space="preserve">CAUSA DE NO CUMPLIMIENTO</t>
  </si>
  <si>
    <t xml:space="preserve">FRECUENCIA</t>
  </si>
  <si>
    <t xml:space="preserve">%</t>
  </si>
  <si>
    <t xml:space="preserve">OBRA</t>
  </si>
  <si>
    <t xml:space="preserve">REPOSICIÓN CONSULTORIO GENERAL RURAL CURANIPE, COMUNA DE PELLUHUE</t>
  </si>
  <si>
    <t xml:space="preserve">Falta o Falla de Equipos</t>
  </si>
  <si>
    <t xml:space="preserve">INFORME DE PLANIFICACION SEMANAL Y PROGRAMACION DIARIA  N°</t>
  </si>
  <si>
    <t xml:space="preserve">FECHA IINICIO DE OBRA</t>
  </si>
  <si>
    <t xml:space="preserve">Falta Mano de Obra</t>
  </si>
  <si>
    <t xml:space="preserve">PROF. ADIMINISTRADOR</t>
  </si>
  <si>
    <t xml:space="preserve">LUIS AGUILAR</t>
  </si>
  <si>
    <t xml:space="preserve">Falta de Materiales</t>
  </si>
  <si>
    <t xml:space="preserve">FECHA DE EVALUACION</t>
  </si>
  <si>
    <t xml:space="preserve">Falla de Subcontratistas</t>
  </si>
  <si>
    <t xml:space="preserve">Eventos no programables (clima, despachos, etc.)</t>
  </si>
  <si>
    <t xml:space="preserve">Falla de Programación</t>
  </si>
  <si>
    <t xml:space="preserve">INFORME DE LO EJECUTADO ENTRE:</t>
  </si>
  <si>
    <t xml:space="preserve">AL</t>
  </si>
  <si>
    <t xml:space="preserve">Cambio de Activ. Por el JT o AO</t>
  </si>
  <si>
    <t xml:space="preserve"> </t>
  </si>
  <si>
    <t xml:space="preserve">SEMANA</t>
  </si>
  <si>
    <t xml:space="preserve">Indefinición de Proyecto o Diseño</t>
  </si>
  <si>
    <t xml:space="preserve">ITEM</t>
  </si>
  <si>
    <t xml:space="preserve">FASE</t>
  </si>
  <si>
    <t xml:space="preserve">ZONA</t>
  </si>
  <si>
    <t xml:space="preserve">DESCRIPCION DE LA ACTIVIDAD</t>
  </si>
  <si>
    <t xml:space="preserve">SUPERVISOR RESPONSABLE</t>
  </si>
  <si>
    <t xml:space="preserve">Lu</t>
  </si>
  <si>
    <t xml:space="preserve">Ma</t>
  </si>
  <si>
    <t xml:space="preserve">Mi</t>
  </si>
  <si>
    <t xml:space="preserve">Ju</t>
  </si>
  <si>
    <t xml:space="preserve">Vi</t>
  </si>
  <si>
    <t xml:space="preserve">Sa</t>
  </si>
  <si>
    <t xml:space="preserve">Do</t>
  </si>
  <si>
    <t xml:space="preserve">% CUMPLIMIENTO</t>
  </si>
  <si>
    <t xml:space="preserve">L o NL</t>
  </si>
  <si>
    <t xml:space="preserve">CAUSAS DE NO CUMPLIMIENTO</t>
  </si>
  <si>
    <t xml:space="preserve">OBSERVACIONES</t>
  </si>
  <si>
    <t xml:space="preserve">Mala Ejecucion</t>
  </si>
  <si>
    <t xml:space="preserve">SOLICITADO</t>
  </si>
  <si>
    <t xml:space="preserve">REAL</t>
  </si>
  <si>
    <t xml:space="preserve">TERMINACIONES</t>
  </si>
  <si>
    <t xml:space="preserve">Instalacion pasamano</t>
  </si>
  <si>
    <t xml:space="preserve">Constructora CASAA Ltda</t>
  </si>
  <si>
    <t xml:space="preserve">Instalacion accesorios</t>
  </si>
  <si>
    <t xml:space="preserve">Instalacion brazos hidraulicos en puertas</t>
  </si>
  <si>
    <t xml:space="preserve">Instalacion extintores</t>
  </si>
  <si>
    <t xml:space="preserve">doble altura</t>
  </si>
  <si>
    <t xml:space="preserve">Maquillaje interior closset TIC </t>
  </si>
  <si>
    <t xml:space="preserve">Esmalte 2° mano muros</t>
  </si>
  <si>
    <t xml:space="preserve">Proyectos y servicios San Pedro spa</t>
  </si>
  <si>
    <t xml:space="preserve">Estructuracion y cubierta muebles</t>
  </si>
  <si>
    <t xml:space="preserve">Cubiertas y muebles  Talca</t>
  </si>
  <si>
    <t xml:space="preserve">Puertas de muebles</t>
  </si>
  <si>
    <t xml:space="preserve">Entrega final muebles</t>
  </si>
  <si>
    <t xml:space="preserve">FACHADA</t>
  </si>
  <si>
    <t xml:space="preserve">Termino grano EIFS en vano</t>
  </si>
  <si>
    <t xml:space="preserve">Patio 1</t>
  </si>
  <si>
    <t xml:space="preserve">Patio 2</t>
  </si>
  <si>
    <t xml:space="preserve">Aparejo y pintura terminacion fachada</t>
  </si>
  <si>
    <t xml:space="preserve">OBRAS EXTERIORES</t>
  </si>
  <si>
    <t xml:space="preserve">Estacionamiento</t>
  </si>
  <si>
    <t xml:space="preserve">Sobrelosa estanque</t>
  </si>
  <si>
    <t xml:space="preserve">Zona tecnica</t>
  </si>
  <si>
    <t xml:space="preserve">Rejilla aguas lluvias</t>
  </si>
  <si>
    <t xml:space="preserve">M3</t>
  </si>
  <si>
    <t xml:space="preserve">Reparacion muro de contencion</t>
  </si>
  <si>
    <t xml:space="preserve">INSTALACIONES</t>
  </si>
  <si>
    <t xml:space="preserve">Reinstalacion de lavamano y WC</t>
  </si>
  <si>
    <t xml:space="preserve">JS Instalaciones sanitarias spa</t>
  </si>
  <si>
    <t xml:space="preserve">Conexión lavafondo y lavamanos</t>
  </si>
  <si>
    <t xml:space="preserve">Pruebas de artefactos</t>
  </si>
  <si>
    <t xml:space="preserve">Sellado de artefactos</t>
  </si>
  <si>
    <t xml:space="preserve">Punto electrico y pacco VEX 05</t>
  </si>
  <si>
    <t xml:space="preserve">Sociedad Loma Alta Electricidad Limitada</t>
  </si>
  <si>
    <t xml:space="preserve">Cableado termostato UMAS</t>
  </si>
  <si>
    <t xml:space="preserve">Punto electrico para caldera</t>
  </si>
  <si>
    <t xml:space="preserve">Instacion luminarias</t>
  </si>
  <si>
    <t xml:space="preserve">Instacion corrientes debiles</t>
  </si>
  <si>
    <t xml:space="preserve">Señaleticas</t>
  </si>
  <si>
    <t xml:space="preserve">Instalacion Hublot</t>
  </si>
  <si>
    <t xml:space="preserve">Conexión Caldera</t>
  </si>
  <si>
    <t xml:space="preserve">DEIGENER LTDA</t>
  </si>
  <si>
    <t xml:space="preserve">Conexión Electrica Chiller</t>
  </si>
  <si>
    <t xml:space="preserve">Conexión electrica UMAS</t>
  </si>
  <si>
    <t xml:space="preserve">Instalacion termostatos UMAS</t>
  </si>
  <si>
    <t xml:space="preserve">Conexión electrica caldera</t>
  </si>
  <si>
    <t xml:space="preserve">Conexión ductos para VEX</t>
  </si>
  <si>
    <t xml:space="preserve">Rejillas y difusores</t>
  </si>
  <si>
    <t xml:space="preserve">Ductos de cubierta</t>
  </si>
  <si>
    <t xml:space="preserve">Forro hojalateria subida vertifcal ppr a cubierta</t>
  </si>
  <si>
    <t xml:space="preserve">Tapa gorro ducto chimenea caldera</t>
  </si>
  <si>
    <t xml:space="preserve">N° ACTIV, PROGRAMADAS</t>
  </si>
  <si>
    <t xml:space="preserve">TOTAL LOGRADO</t>
  </si>
  <si>
    <t xml:space="preserve">% DE CUMPLIMIENTO PAC </t>
  </si>
  <si>
    <t xml:space="preserve">% DE CUMPLIMIENTO PROG.</t>
  </si>
  <si>
    <t xml:space="preserve">DIAGRAMA DE PARETO</t>
  </si>
  <si>
    <t xml:space="preserve">% ACUMULADO</t>
  </si>
  <si>
    <t xml:space="preserve">ACCIONES CORRECTICAS RECOMENDADAS</t>
  </si>
  <si>
    <t xml:space="preserve">PLANILLA DE RESTRICCIONES SEMANALES</t>
  </si>
  <si>
    <t xml:space="preserve">FECHA DETECCION RESTRICCION</t>
  </si>
  <si>
    <t xml:space="preserve">PARTIDA</t>
  </si>
  <si>
    <t xml:space="preserve">TIPO DE RESTRICCIÓN</t>
  </si>
  <si>
    <t xml:space="preserve">DESCRIPCION RESTRICCION</t>
  </si>
  <si>
    <t xml:space="preserve">CLIENTE </t>
  </si>
  <si>
    <t xml:space="preserve">FECHA REQUERIDA POR EL CLIENTE</t>
  </si>
  <si>
    <t xml:space="preserve">FECHA LIBERADA</t>
  </si>
  <si>
    <t xml:space="preserve">ESTADO</t>
  </si>
  <si>
    <t xml:space="preserve">Z6</t>
  </si>
  <si>
    <t xml:space="preserve">Corrientes Debiles</t>
  </si>
  <si>
    <t xml:space="preserve">Diseño</t>
  </si>
  <si>
    <t xml:space="preserve">Ubicación central de radio</t>
  </si>
  <si>
    <t xml:space="preserve">CONSTRUCTORA CASAA LTDA</t>
  </si>
  <si>
    <t xml:space="preserve">GENERAL</t>
  </si>
  <si>
    <t xml:space="preserve">TERMINACION GRUESA</t>
  </si>
  <si>
    <t xml:space="preserve">Iluminacion</t>
  </si>
  <si>
    <t xml:space="preserve">Trazado</t>
  </si>
  <si>
    <t xml:space="preserve">Reprogramar trazados de iluminacion para canalizaciones electricas</t>
  </si>
  <si>
    <t xml:space="preserve">ESTACIONAMIENTO</t>
  </si>
  <si>
    <t xml:space="preserve">Union Domiciliaria</t>
  </si>
  <si>
    <t xml:space="preserve">Ejecucion </t>
  </si>
  <si>
    <t xml:space="preserve">Dejar tapon con yeso</t>
  </si>
  <si>
    <t xml:space="preserve">POLIDEPORTIVO</t>
  </si>
  <si>
    <t xml:space="preserve">Aumento de obra</t>
  </si>
  <si>
    <t xml:space="preserve">Programacion</t>
  </si>
  <si>
    <t xml:space="preserve">Programar Instalacion de soleras y pavimento de veredas en Zona Polideportivo</t>
  </si>
  <si>
    <t xml:space="preserve">PLANILLA DE RESTRICCIONES LEVANTADAS</t>
  </si>
  <si>
    <t xml:space="preserve">M2</t>
  </si>
  <si>
    <t xml:space="preserve">OBRA GRUESA</t>
  </si>
  <si>
    <t xml:space="preserve">Fundación Muro de contención </t>
  </si>
  <si>
    <t xml:space="preserve">Materiales</t>
  </si>
  <si>
    <t xml:space="preserve">Gestionar compra de tablones para inicio de  entibación en zona de derrumbes</t>
  </si>
  <si>
    <t xml:space="preserve">Z3-Z4-Z5</t>
  </si>
  <si>
    <t xml:space="preserve">Relleno radieres</t>
  </si>
  <si>
    <t xml:space="preserve">Mano de obra</t>
  </si>
  <si>
    <t xml:space="preserve">Plataforma para rellenos interiores</t>
  </si>
  <si>
    <t xml:space="preserve">Jimmy Jara</t>
  </si>
  <si>
    <t xml:space="preserve">General</t>
  </si>
  <si>
    <t xml:space="preserve">General elementos de obra</t>
  </si>
  <si>
    <t xml:space="preserve">Información</t>
  </si>
  <si>
    <t xml:space="preserve">Chequear pasadas de elementos </t>
  </si>
  <si>
    <t xml:space="preserve">Patricio Barrientos </t>
  </si>
  <si>
    <t xml:space="preserve">Z1 y Z2</t>
  </si>
  <si>
    <t xml:space="preserve">Hormigón vigas de fundación</t>
  </si>
  <si>
    <t xml:space="preserve">Correo con información referente al tratamiento a la corrosión del Hilo instalado para anclajes</t>
  </si>
  <si>
    <t xml:space="preserve">10-03-205</t>
  </si>
  <si>
    <t xml:space="preserve">Z4</t>
  </si>
  <si>
    <t xml:space="preserve">Reprogramar ingreso JS Instalaciones sanitarias spa en plantas de alcantarillado </t>
  </si>
  <si>
    <t xml:space="preserve">Z2</t>
  </si>
  <si>
    <t xml:space="preserve">Hormigonado de losas</t>
  </si>
  <si>
    <t xml:space="preserve">Se deberá resolver si las tuberías van bajo losa o dentro de losa</t>
  </si>
  <si>
    <t xml:space="preserve">Arriendo de Moldaje elementos en general</t>
  </si>
  <si>
    <t xml:space="preserve">Equipos</t>
  </si>
  <si>
    <t xml:space="preserve">Devolución de moldajes a DOM</t>
  </si>
  <si>
    <t xml:space="preserve">Matias Oyarce</t>
  </si>
  <si>
    <t xml:space="preserve">Z1</t>
  </si>
  <si>
    <t xml:space="preserve">Altura de losa en acceso principal</t>
  </si>
  <si>
    <t xml:space="preserve">EQUIPO DE TRABAJO</t>
  </si>
  <si>
    <t xml:space="preserve">Profesional de obra</t>
  </si>
  <si>
    <t xml:space="preserve">Aprobación profesional BIM</t>
  </si>
  <si>
    <t xml:space="preserve">Proyecto climatización</t>
  </si>
  <si>
    <t xml:space="preserve">Presentación de Subcontrato de Climatización a Inspección</t>
  </si>
  <si>
    <t xml:space="preserve">Confirmar ubicación de túneles solares</t>
  </si>
  <si>
    <t xml:space="preserve">Plano de pasadas especialidades</t>
  </si>
  <si>
    <t xml:space="preserve">Muro contención</t>
  </si>
  <si>
    <t xml:space="preserve">Subcontrato para impermeabilización</t>
  </si>
  <si>
    <t xml:space="preserve">Desviación de descarga aguas lluvias en Talud del muro de contención sector estacionamientos</t>
  </si>
  <si>
    <t xml:space="preserve">Luis Rojas y Luis Aguilar</t>
  </si>
  <si>
    <t xml:space="preserve">Encontrar casa para subcontrato para impermeabilización</t>
  </si>
  <si>
    <t xml:space="preserve">Excavación Muro de contención </t>
  </si>
  <si>
    <t xml:space="preserve">Levantamiento topográfico</t>
  </si>
  <si>
    <t xml:space="preserve">Retirar árbol polideportivo. Gestionar donde se reubicara</t>
  </si>
  <si>
    <t xml:space="preserve">Ricardo Caro y Jimmy Jara</t>
  </si>
  <si>
    <t xml:space="preserve">Z7</t>
  </si>
  <si>
    <t xml:space="preserve">Enfierradura </t>
  </si>
  <si>
    <t xml:space="preserve">Entregar modificación vano puerta en Recinto Técnico</t>
  </si>
  <si>
    <t xml:space="preserve">Z4-Z5</t>
  </si>
  <si>
    <t xml:space="preserve">Hormigón Viga de fundación</t>
  </si>
  <si>
    <t xml:space="preserve">Definición proceso constructivo Viga de fundación para proceso de hormigonado emplantillado</t>
  </si>
  <si>
    <t xml:space="preserve">Topografía</t>
  </si>
  <si>
    <t xml:space="preserve">Chequeo de equipos topográficos</t>
  </si>
  <si>
    <t xml:space="preserve">Matias Pérez</t>
  </si>
  <si>
    <t xml:space="preserve">Moldaje de muros</t>
  </si>
  <si>
    <t xml:space="preserve">Distribución de moldajes de muro para determinar corte de hormigonado</t>
  </si>
  <si>
    <t xml:space="preserve">Jimmy Jara y Patricio Barrientos</t>
  </si>
  <si>
    <t xml:space="preserve">Hormigonado de losa</t>
  </si>
  <si>
    <t xml:space="preserve">Coordinación subcontrato de hormigón losa</t>
  </si>
  <si>
    <t xml:space="preserve">Patricio Barrientos</t>
  </si>
  <si>
    <t xml:space="preserve">Moldajes y hormigones de coronación</t>
  </si>
  <si>
    <t xml:space="preserve">Reprogramación en moldajes y hormigón de coronación</t>
  </si>
  <si>
    <t xml:space="preserve">EIFS</t>
  </si>
  <si>
    <t xml:space="preserve">Mano de obra </t>
  </si>
  <si>
    <t xml:space="preserve">Buscar subcontrato de EIFS</t>
  </si>
  <si>
    <t xml:space="preserve">Excavaciones</t>
  </si>
  <si>
    <t xml:space="preserve">Entibaciones zona tramo 2 </t>
  </si>
  <si>
    <t xml:space="preserve">Levantamiento muro contención</t>
  </si>
  <si>
    <t xml:space="preserve">Aguas lluvias</t>
  </si>
  <si>
    <t xml:space="preserve">Revisión material para barbacanas</t>
  </si>
  <si>
    <t xml:space="preserve">Impermeabilización</t>
  </si>
  <si>
    <t xml:space="preserve">Altura de rellenos para impermeabilización de Denso. Trazado de Mario</t>
  </si>
  <si>
    <t xml:space="preserve">Moldajes</t>
  </si>
  <si>
    <t xml:space="preserve">Faltan carpinteros</t>
  </si>
  <si>
    <t xml:space="preserve">Constructora torres del Valle spa</t>
  </si>
  <si>
    <t xml:space="preserve">Muro de contención</t>
  </si>
  <si>
    <t xml:space="preserve">Retirar polines tramo 3 para colocar en tramo 2</t>
  </si>
  <si>
    <t xml:space="preserve">Z3</t>
  </si>
  <si>
    <t xml:space="preserve">Vigas</t>
  </si>
  <si>
    <t xml:space="preserve">No armar en zona 3 vigas desde el eje 6 al eje 3 para facilitar instalación de moldajes</t>
  </si>
  <si>
    <t xml:space="preserve">Rodrigo Gonzalez</t>
  </si>
  <si>
    <t xml:space="preserve">Canalizaciones</t>
  </si>
  <si>
    <t xml:space="preserve">Revisión y entrega de subcontrato electico en ducterias muros</t>
  </si>
  <si>
    <t xml:space="preserve">Luis Araya</t>
  </si>
  <si>
    <t xml:space="preserve">Responder correo a EFCO por equipos de perdida total</t>
  </si>
  <si>
    <t xml:space="preserve">Confirmar llegada de material WEBER para EIFS</t>
  </si>
  <si>
    <t xml:space="preserve">Solicitud de material granular para drenes de muro contención</t>
  </si>
  <si>
    <t xml:space="preserve">Socalzado Muro contención</t>
  </si>
  <si>
    <t xml:space="preserve">Materiales y Mano de obra</t>
  </si>
  <si>
    <t xml:space="preserve">Aplicar agua cemento en paredes de excavación pilas</t>
  </si>
  <si>
    <t xml:space="preserve">Pilas</t>
  </si>
  <si>
    <t xml:space="preserve">Materiales </t>
  </si>
  <si>
    <t xml:space="preserve">Tablones para pilas </t>
  </si>
  <si>
    <t xml:space="preserve">Enfierradura para pilas</t>
  </si>
  <si>
    <t xml:space="preserve">Cotizar y comprar expansor. Igualmente cotizar hormigón premezclado con expansor</t>
  </si>
  <si>
    <t xml:space="preserve">Relleno Radieres</t>
  </si>
  <si>
    <t xml:space="preserve">Ayudante para Gasfíter en terreno</t>
  </si>
  <si>
    <t xml:space="preserve">Juvenal Soto</t>
  </si>
  <si>
    <t xml:space="preserve">Petróleo</t>
  </si>
  <si>
    <t xml:space="preserve">Pasadas proyecto petróleo</t>
  </si>
  <si>
    <t xml:space="preserve">Estacionamientos</t>
  </si>
  <si>
    <t xml:space="preserve">Pavimentos Exteriores</t>
  </si>
  <si>
    <t xml:space="preserve">Entregar propuesta de planos con pavimentos exteriores</t>
  </si>
  <si>
    <t xml:space="preserve">Mario Verdugo y Javier Aguirre</t>
  </si>
  <si>
    <t xml:space="preserve">Muro de contención </t>
  </si>
  <si>
    <t xml:space="preserve">Reprogramar trabajos de drenes muro de contención en zona tramo 3</t>
  </si>
  <si>
    <t xml:space="preserve">Informacion</t>
  </si>
  <si>
    <t xml:space="preserve">Reprogramar muro de contencion del tramo 2</t>
  </si>
  <si>
    <t xml:space="preserve">Hormigon</t>
  </si>
  <si>
    <t xml:space="preserve">Hormigonar muro eje L en zona 3 para terminar moldaje de losa</t>
  </si>
  <si>
    <t xml:space="preserve">Hormigon Losa</t>
  </si>
  <si>
    <t xml:space="preserve">Pasadas de losa en zona 3 </t>
  </si>
  <si>
    <t xml:space="preserve">Felipe Gonzalez y/o Javier Aguirre</t>
  </si>
  <si>
    <t xml:space="preserve">Equipo</t>
  </si>
  <si>
    <t xml:space="preserve">Ver andamios con ruedas</t>
  </si>
  <si>
    <t xml:space="preserve">Patricio Bariientos</t>
  </si>
  <si>
    <t xml:space="preserve">Liberar moldaje manto para el muro de contención para poder cumplir con programación</t>
  </si>
  <si>
    <t xml:space="preserve">Wilson Campos</t>
  </si>
  <si>
    <t xml:space="preserve">Levantar rendimiento de descimbre</t>
  </si>
  <si>
    <t xml:space="preserve">Limpieza de sobrecimientos para hormigonado dia miercoles 16-04</t>
  </si>
  <si>
    <t xml:space="preserve">Jose Cerpa</t>
  </si>
  <si>
    <t xml:space="preserve">Enlucidos de yeso</t>
  </si>
  <si>
    <t xml:space="preserve">Buscar subcontrato de yeso</t>
  </si>
  <si>
    <t xml:space="preserve">EXTERIORES</t>
  </si>
  <si>
    <t xml:space="preserve">PAVIMENTOS EXTERIROES</t>
  </si>
  <si>
    <t xml:space="preserve">Traspasado niveles exteriores a los murtos de contencion y muros del edificio</t>
  </si>
  <si>
    <t xml:space="preserve">Informacion altura llave Jardin en eje H para instalacion de sistema EIFS</t>
  </si>
  <si>
    <t xml:space="preserve">Revision altura revestimientos exterior para terminar coronaciones</t>
  </si>
  <si>
    <t xml:space="preserve">Programacion empalme provisiorio agua potable.</t>
  </si>
  <si>
    <t xml:space="preserve">Eléctrico</t>
  </si>
  <si>
    <t xml:space="preserve">Información trinchera para eléctrico</t>
  </si>
  <si>
    <t xml:space="preserve">Luis Aguilar y Ernesto Castro</t>
  </si>
  <si>
    <t xml:space="preserve">Z5</t>
  </si>
  <si>
    <t xml:space="preserve">Moldaje</t>
  </si>
  <si>
    <t xml:space="preserve">equipo</t>
  </si>
  <si>
    <t xml:space="preserve">Ver equipo faltante para coodirnar despacho</t>
  </si>
  <si>
    <t xml:space="preserve">Z1 - Z2</t>
  </si>
  <si>
    <t xml:space="preserve">Ver tema de Anclajes de Fachada Ventilada</t>
  </si>
  <si>
    <t xml:space="preserve">Hunter Douglas y Dario Marro</t>
  </si>
  <si>
    <t xml:space="preserve">coodinar despacho material faltante losa 5</t>
  </si>
  <si>
    <t xml:space="preserve">ver forma de mantener seca losas de zona 1 y 2</t>
  </si>
  <si>
    <t xml:space="preserve">Ductos de Climatizacion</t>
  </si>
  <si>
    <t xml:space="preserve">Descubrir pasadas de climatizacion en zona 1</t>
  </si>
  <si>
    <t xml:space="preserve">Pasadas de losa</t>
  </si>
  <si>
    <t xml:space="preserve">Descubri pasadas en zona 3 para electrico ya que estan con Hormigon</t>
  </si>
  <si>
    <t xml:space="preserve">Tabiques </t>
  </si>
  <si>
    <t xml:space="preserve">Despacho tronillos 6x2" para segunda </t>
  </si>
  <si>
    <t xml:space="preserve">Martias Oyarce</t>
  </si>
  <si>
    <t xml:space="preserve">Centro electrico de enchufe</t>
  </si>
  <si>
    <t xml:space="preserve">Agregar enchufe a piso adicional en sala rehabilitacion</t>
  </si>
  <si>
    <t xml:space="preserve">Regularizar cambio de materialidad de acero a ppr en proyecto clima</t>
  </si>
  <si>
    <t xml:space="preserve">Felipe Gutierrez</t>
  </si>
  <si>
    <t xml:space="preserve">Climatizacion</t>
  </si>
  <si>
    <t xml:space="preserve">Solucion de pasada de muro  de ductos por no ejecucion en muros de hormigon</t>
  </si>
  <si>
    <t xml:space="preserve">MOLDAJES</t>
  </si>
  <si>
    <t xml:space="preserve">DISEÑO</t>
  </si>
  <si>
    <t xml:space="preserve">Interferencia enchufe y muebles aereos Sala de servicios Externos</t>
  </si>
  <si>
    <t xml:space="preserve">1-2-3</t>
  </si>
  <si>
    <t xml:space="preserve">IMPERMEABILIZACION</t>
  </si>
  <si>
    <t xml:space="preserve">PROGRAMACION</t>
  </si>
  <si>
    <t xml:space="preserve">Programar instalacion Poliestireno sobre losa</t>
  </si>
  <si>
    <t xml:space="preserve">Informacion de estructura de puertas corta fuego</t>
  </si>
  <si>
    <t xml:space="preserve">Cristian hernandez</t>
  </si>
  <si>
    <t xml:space="preserve">Artefactos sanitarios </t>
  </si>
  <si>
    <t xml:space="preserve">Compra</t>
  </si>
  <si>
    <t xml:space="preserve">Gestionar compra de artefactos Sanitarios </t>
  </si>
  <si>
    <t xml:space="preserve">Estructura Metalica </t>
  </si>
  <si>
    <t xml:space="preserve">Taladros y brocas para perforacion de costaneras</t>
  </si>
  <si>
    <t xml:space="preserve">Jimmy jara</t>
  </si>
  <si>
    <t xml:space="preserve">Despachar moldaje de losa en zona 6</t>
  </si>
  <si>
    <t xml:space="preserve">Llave de torque para estructura metalica</t>
  </si>
  <si>
    <t xml:space="preserve">Hormigones</t>
  </si>
  <si>
    <t xml:space="preserve">Pasada de losa en zona 4 para tuberia de clima para alimentacion de UMA</t>
  </si>
  <si>
    <t xml:space="preserve">Revisar de forma general pasadas</t>
  </si>
  <si>
    <t xml:space="preserve">Javier Aguirre</t>
  </si>
  <si>
    <t xml:space="preserve">Pasadas de losa en sector 6 entre 3 y 4</t>
  </si>
  <si>
    <t xml:space="preserve">Electricidada</t>
  </si>
  <si>
    <t xml:space="preserve">Trazado de equipos e iluminacion en radieres</t>
  </si>
  <si>
    <t xml:space="preserve">Matias Perez</t>
  </si>
  <si>
    <t xml:space="preserve"> ejecucion de pasadas de ducto en muros
en total son 3 </t>
  </si>
  <si>
    <t xml:space="preserve">Jimmy Jara y Julio Morales</t>
  </si>
  <si>
    <t xml:space="preserve">15-07-20025</t>
  </si>
  <si>
    <t xml:space="preserve">Coordinacion</t>
  </si>
  <si>
    <t xml:space="preserve">Se enviara a chofer de bodega a San Carlos a buscar testiguera de Juvenal Soto</t>
  </si>
  <si>
    <t xml:space="preserve">Confirmacion de proposicion de detalles de desague y conexión equipo Fancoil.</t>
  </si>
  <si>
    <t xml:space="preserve">Enviar formalidad  Propuesta de pasada de ductos de clima en losa con pasada mas pequeña
dibujo</t>
  </si>
  <si>
    <t xml:space="preserve">Sanitario</t>
  </si>
  <si>
    <t xml:space="preserve">ver tema de artefactos sanitarios en baños universales</t>
  </si>
  <si>
    <t xml:space="preserve">Z1-Z2</t>
  </si>
  <si>
    <t xml:space="preserve">Estructura Metalica</t>
  </si>
  <si>
    <t xml:space="preserve">Cubicacion</t>
  </si>
  <si>
    <t xml:space="preserve">entregar cubicaciones de pintura intumescente</t>
  </si>
  <si>
    <t xml:space="preserve">General obra</t>
  </si>
  <si>
    <t xml:space="preserve">Programacion intermedia</t>
  </si>
  <si>
    <t xml:space="preserve">Insonorizacion</t>
  </si>
  <si>
    <t xml:space="preserve">Paneles Acusticos distribucion de paneles faltantes</t>
  </si>
  <si>
    <t xml:space="preserve">Definicion de fluxores con piezas especiales y retiro de perfil acero 75x75</t>
  </si>
  <si>
    <t xml:space="preserve">Electricidad</t>
  </si>
  <si>
    <t xml:space="preserve">Ver tema de inicio de trabajos de escalerilla en pasillo doble altura</t>
  </si>
  <si>
    <t xml:space="preserve">Instalacion Tableros Electricos.</t>
  </si>
  <si>
    <t xml:space="preserve">Material</t>
  </si>
  <si>
    <t xml:space="preserve">Ver angulos para trinchera de grupo generador</t>
  </si>
  <si>
    <t xml:space="preserve">Dosificacion para hormigones in situ</t>
  </si>
  <si>
    <t xml:space="preserve">Reprogramar reparaciones de Vanos de portones</t>
  </si>
  <si>
    <t xml:space="preserve">Pasadas de ductos de clima en zona doble altura.</t>
  </si>
  <si>
    <t xml:space="preserve">Estanque agua potable</t>
  </si>
  <si>
    <t xml:space="preserve">Dar nivel de altura terminacion muros de estanque agua potable</t>
  </si>
  <si>
    <t xml:space="preserve">Programacion de obra</t>
  </si>
  <si>
    <t xml:space="preserve">Reprogramacion de instalacion Planchas yeso carton</t>
  </si>
  <si>
    <t xml:space="preserve">Reprogramacion pintura intumescente en base a rendimientos</t>
  </si>
  <si>
    <t xml:space="preserve">Instalacion de faena</t>
  </si>
  <si>
    <t xml:space="preserve">Atriles para tableros electricos de faena</t>
  </si>
  <si>
    <t xml:space="preserve">Cielos</t>
  </si>
  <si>
    <t xml:space="preserve">Trazado de equipos fancoil en losa de cada recinto</t>
  </si>
  <si>
    <t xml:space="preserve">Pintura</t>
  </si>
  <si>
    <t xml:space="preserve">Solicitar medidor de micras para intumcescente</t>
  </si>
  <si>
    <t xml:space="preserve">Tapas prefabricadas para camaras de aguas lluvias </t>
  </si>
  <si>
    <t xml:space="preserve">ver tema de retenedor para puertas corta fuego</t>
  </si>
  <si>
    <t xml:space="preserve">solicitar cholguan para proteccion de pisos</t>
  </si>
  <si>
    <t xml:space="preserve">Materialidad</t>
  </si>
  <si>
    <t xml:space="preserve">Consultar a Loma alta traera caja para valvula de agua potable</t>
  </si>
  <si>
    <t xml:space="preserve">Pinturas</t>
  </si>
  <si>
    <t xml:space="preserve">Se reprograma pintura Latex</t>
  </si>
  <si>
    <t xml:space="preserve">Instalaciones Sanitarias</t>
  </si>
  <si>
    <t xml:space="preserve">Reprogramar tuberias aguas lluvias</t>
  </si>
  <si>
    <t xml:space="preserve">Mantencion</t>
  </si>
  <si>
    <t xml:space="preserve">Cotizar maquina de soldar por sobre 160 </t>
  </si>
  <si>
    <t xml:space="preserve">Combustible</t>
  </si>
  <si>
    <t xml:space="preserve">Programar pasadas </t>
  </si>
  <si>
    <t xml:space="preserve">ZONA TECNICA Y Z7</t>
  </si>
  <si>
    <t xml:space="preserve">Programar combustible</t>
  </si>
  <si>
    <t xml:space="preserve">electrico y sanitario</t>
  </si>
  <si>
    <t xml:space="preserve">Programar especialidades en cielos Box dental</t>
  </si>
  <si>
    <t xml:space="preserve">Alcantarillado</t>
  </si>
  <si>
    <t xml:space="preserve">Proceso Constructivo</t>
  </si>
  <si>
    <t xml:space="preserve">Planificacion trabajos de atravieso calle 14</t>
  </si>
  <si>
    <t xml:space="preserve">Julio Morales - Juvenal Soto y Alejandro</t>
  </si>
  <si>
    <t xml:space="preserve">Proyecto Acustico</t>
  </si>
  <si>
    <t xml:space="preserve">Entregar altura para barrera acustica sobre zona 7</t>
  </si>
  <si>
    <t xml:space="preserve">Instalaciones</t>
  </si>
  <si>
    <t xml:space="preserve">Programar actividad reparacion bajadas ISAMED RDI</t>
  </si>
  <si>
    <t xml:space="preserve">Programacion ISAMED con actividades</t>
  </si>
  <si>
    <t xml:space="preserve">Programacion red agua potable baños Z3 -Z4 - Z5 en cielos</t>
  </si>
  <si>
    <t xml:space="preserve">1 y 2</t>
  </si>
  <si>
    <t xml:space="preserve">Hojalateria</t>
  </si>
  <si>
    <t xml:space="preserve">Programacion Pletinas para instalacion hojalateria</t>
  </si>
  <si>
    <t xml:space="preserve">Revestimiento exterior</t>
  </si>
  <si>
    <t xml:space="preserve">Programar trabajos sobrecimiento EIFS</t>
  </si>
  <si>
    <t xml:space="preserve">Cubierta</t>
  </si>
  <si>
    <t xml:space="preserve">Estructuracion</t>
  </si>
  <si>
    <t xml:space="preserve">Modificacion Estructura UMAS</t>
  </si>
  <si>
    <t xml:space="preserve">Solicitar reunion con Juvenal 27-10</t>
  </si>
  <si>
    <t xml:space="preserve">CUBIERTA</t>
  </si>
  <si>
    <t xml:space="preserve">Impermeabilizacion</t>
  </si>
  <si>
    <t xml:space="preserve">Modificacion de programacion de Setipol</t>
  </si>
  <si>
    <t xml:space="preserve">Agua potable y electricidad</t>
  </si>
  <si>
    <t xml:space="preserve">ver proyecto de riego con agua potable y electricidad</t>
  </si>
  <si>
    <t xml:space="preserve">Pavimentos</t>
  </si>
  <si>
    <t xml:space="preserve">programar Sello estacionamientos</t>
  </si>
  <si>
    <t xml:space="preserve">programar reparacion en estacionamiento</t>
  </si>
  <si>
    <t xml:space="preserve">Estructura vulcomental</t>
  </si>
  <si>
    <t xml:space="preserve">Programar sellado de fronton en zona 1</t>
  </si>
  <si>
    <t xml:space="preserve">Programar  trazados de focos de iluminacion </t>
  </si>
  <si>
    <t xml:space="preserve">Programar cuellos camaras estanque agua potable</t>
  </si>
  <si>
    <t xml:space="preserve">Programar actividades sanitaria en polideportivo</t>
  </si>
  <si>
    <t xml:space="preserve">TERMINACION FINA</t>
  </si>
  <si>
    <t xml:space="preserve">Pisos</t>
  </si>
  <si>
    <t xml:space="preserve">Programar instalacion piso vinilico en sala servidores</t>
  </si>
  <si>
    <t xml:space="preserve">programar picado para retenedores de puertas </t>
  </si>
  <si>
    <t xml:space="preserve">comprar tubo para caldera</t>
  </si>
  <si>
    <t xml:space="preserve">Z1 Y Z2</t>
  </si>
  <si>
    <t xml:space="preserve">Agregar a programacion partida de Esmalte en cielos </t>
  </si>
  <si>
    <t xml:space="preserve">Agregar a programacion partida de Esmalte en muros</t>
  </si>
  <si>
    <t xml:space="preserve">Agregar a programacion partida de focos de iluminacion en cileos </t>
  </si>
  <si>
    <t xml:space="preserve">Agregar a programacion partida de artefactos electricos en muros</t>
  </si>
  <si>
    <t xml:space="preserve">entregar medidas de camaras y rejilla estanque agua potable.</t>
  </si>
  <si>
    <t xml:space="preserve">Instalar ventilaciones Estanque agua potable.</t>
  </si>
  <si>
    <t xml:space="preserve">comprar tapas metalicas para estanque agua potable
1,20 x1,20 0,9x0,90 2 unis</t>
  </si>
  <si>
    <t xml:space="preserve">Dar punto exacto de alimentacion de riego</t>
  </si>
  <si>
    <t xml:space="preserve">INDICE DE PRODUCTIVIDAD SEMANAL </t>
  </si>
  <si>
    <t xml:space="preserve">CT.RF.LP.IS.04-13 Rev. 0</t>
  </si>
  <si>
    <t xml:space="preserve">PORCENTAJE DE ACT. COMPLETADAS</t>
  </si>
  <si>
    <t xml:space="preserve">PORCENTAJE CUMPL. PROGRAMA</t>
  </si>
  <si>
    <t xml:space="preserve">CAUSAS DE NO CUMPLIMIENTO PORCENTUALES</t>
  </si>
  <si>
    <t xml:space="preserve"> Evaluacion De Subcontratos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</si>
  <si>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</si>
  <si>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</si>
  <si>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</si>
  <si>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</si>
  <si>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</si>
  <si>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</si>
  <si>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</si>
  <si>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</si>
  <si>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</si>
  <si>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</si>
  <si>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ENERO</t>
  </si>
  <si>
    <t xml:space="preserve">FEBRERO</t>
  </si>
  <si>
    <t xml:space="preserve">Subcontrato    </t>
  </si>
  <si>
    <t xml:space="preserve">CA</t>
  </si>
  <si>
    <t xml:space="preserve">S</t>
  </si>
  <si>
    <t xml:space="preserve">A.A</t>
  </si>
  <si>
    <t xml:space="preserve">  P</t>
  </si>
  <si>
    <t xml:space="preserve">CO</t>
  </si>
  <si>
    <t xml:space="preserve">PROMEDIO</t>
  </si>
  <si>
    <t xml:space="preserve">JS Instalaciones Sanitarias</t>
  </si>
  <si>
    <t xml:space="preserve">SIMBOLOGIA</t>
  </si>
  <si>
    <t xml:space="preserve">Loma Alta Electricidad Ltda</t>
  </si>
  <si>
    <t xml:space="preserve">MUEBLE ALUM</t>
  </si>
  <si>
    <t xml:space="preserve">VENESUR</t>
  </si>
  <si>
    <t xml:space="preserve">Muebles y cubiertas Talca spa</t>
  </si>
  <si>
    <t xml:space="preserve">INVERSIONES MANCERA SPA</t>
  </si>
  <si>
    <t xml:space="preserve">Consoring spa</t>
  </si>
  <si>
    <t xml:space="preserve">ALPERPRO</t>
  </si>
  <si>
    <t xml:space="preserve">ISAMED spa</t>
  </si>
  <si>
    <t xml:space="preserve">CONSTRUCTORA Y SERVICIOS MG SPA</t>
  </si>
  <si>
    <t xml:space="preserve">Omar Mardones ( Enfierradura)</t>
  </si>
  <si>
    <t xml:space="preserve">Constructora Torres de Valle spa</t>
  </si>
  <si>
    <t xml:space="preserve">Constructora 4S Ltda</t>
  </si>
  <si>
    <t xml:space="preserve">PLAN MAESTRO REPOSICIÓN CONSULTORIO GENERAL RURAL CURANIPE, COMUNA DE PELLUHUE</t>
  </si>
  <si>
    <t xml:space="preserve">CORRESPONDIENTE</t>
  </si>
  <si>
    <t xml:space="preserve">DUR. ESTIMADA (MESES)</t>
  </si>
  <si>
    <t xml:space="preserve">26</t>
  </si>
  <si>
    <t xml:space="preserve">29</t>
  </si>
  <si>
    <t xml:space="preserve">6</t>
  </si>
  <si>
    <t xml:space="preserve">13</t>
  </si>
  <si>
    <t xml:space="preserve">20</t>
  </si>
  <si>
    <t xml:space="preserve">27</t>
  </si>
  <si>
    <t xml:space="preserve">3</t>
  </si>
  <si>
    <t xml:space="preserve">10</t>
  </si>
  <si>
    <t xml:space="preserve">17</t>
  </si>
  <si>
    <t xml:space="preserve">24</t>
  </si>
  <si>
    <t xml:space="preserve">31</t>
  </si>
  <si>
    <t xml:space="preserve">7</t>
  </si>
  <si>
    <t xml:space="preserve">14</t>
  </si>
  <si>
    <t xml:space="preserve">21</t>
  </si>
  <si>
    <t xml:space="preserve">28</t>
  </si>
  <si>
    <t xml:space="preserve">4</t>
  </si>
  <si>
    <t xml:space="preserve">11</t>
  </si>
  <si>
    <t xml:space="preserve">18</t>
  </si>
  <si>
    <t xml:space="preserve">25</t>
  </si>
  <si>
    <t xml:space="preserve">2</t>
  </si>
  <si>
    <t xml:space="preserve">9</t>
  </si>
  <si>
    <t xml:space="preserve">16</t>
  </si>
  <si>
    <t xml:space="preserve">23</t>
  </si>
  <si>
    <t xml:space="preserve">30</t>
  </si>
  <si>
    <t xml:space="preserve">1</t>
  </si>
  <si>
    <t xml:space="preserve">8</t>
  </si>
  <si>
    <t xml:space="preserve">15</t>
  </si>
  <si>
    <t xml:space="preserve">22</t>
  </si>
  <si>
    <t xml:space="preserve">5</t>
  </si>
  <si>
    <t xml:space="preserve">12</t>
  </si>
  <si>
    <t xml:space="preserve">19</t>
  </si>
  <si>
    <t xml:space="preserve">PLAZO TOTAL</t>
  </si>
  <si>
    <t xml:space="preserve">OBRAS PRELIMINARES</t>
  </si>
  <si>
    <t xml:space="preserve">INSTALACIÓN DE FAENAS, INSTALACIONES PROVISORIAS, CIERRE PROVISORIO</t>
  </si>
  <si>
    <t xml:space="preserve">FUNDACIÓN GRÚA</t>
  </si>
  <si>
    <t xml:space="preserve">GRÚA</t>
  </si>
  <si>
    <t xml:space="preserve">EDIFICIO PRINCIPAL + RECINTO TECNICO</t>
  </si>
  <si>
    <t xml:space="preserve">EXCAVACIONES</t>
  </si>
  <si>
    <t xml:space="preserve">ACERO DE REFUERZO</t>
  </si>
  <si>
    <t xml:space="preserve">HORMIGONES</t>
  </si>
  <si>
    <t xml:space="preserve">IMPERMEABILIZACION HORMIGONES DE FUNDACION</t>
  </si>
  <si>
    <t xml:space="preserve">SOBRELOSA</t>
  </si>
  <si>
    <t xml:space="preserve">CUBIERTA E IMPERMEABILIZACION</t>
  </si>
  <si>
    <t xml:space="preserve">TERMINACIÓN GRUESA</t>
  </si>
  <si>
    <t xml:space="preserve">TABIQUES</t>
  </si>
  <si>
    <t xml:space="preserve">YESOS Y ESTUCOS</t>
  </si>
  <si>
    <t xml:space="preserve">AISLACION TERMICA EIFS</t>
  </si>
  <si>
    <t xml:space="preserve">VENTANAS</t>
  </si>
  <si>
    <t xml:space="preserve">PUERTAS</t>
  </si>
  <si>
    <t xml:space="preserve">REVESTIMIENTOS INTERIORES CERAMICAS Y PORCELANATOS</t>
  </si>
  <si>
    <t xml:space="preserve">TERMINACIÓN FINA</t>
  </si>
  <si>
    <t xml:space="preserve">REVESTIMIENTO PISOS INTERIORES</t>
  </si>
  <si>
    <t xml:space="preserve">PINTURAS</t>
  </si>
  <si>
    <t xml:space="preserve">CIELOS DUROS</t>
  </si>
  <si>
    <t xml:space="preserve">CIELOS MODULARES</t>
  </si>
  <si>
    <t xml:space="preserve">REVESTIMIENTOS EXTERIORES</t>
  </si>
  <si>
    <t xml:space="preserve">EQUIPAMIENTO</t>
  </si>
  <si>
    <t xml:space="preserve">ARTEFACTOS SANITARIOS</t>
  </si>
  <si>
    <t xml:space="preserve">ARTEFACTOS ELECTRICOS</t>
  </si>
  <si>
    <t xml:space="preserve">ILUMINACION</t>
  </si>
  <si>
    <t xml:space="preserve">MUEBLES</t>
  </si>
  <si>
    <t xml:space="preserve">INSTALACIONES SANITARIAS</t>
  </si>
  <si>
    <t xml:space="preserve">ESTANQUE AGUA POTABLE ( OBRAS CIVILES Y EQUIPAMIENTO)</t>
  </si>
  <si>
    <t xml:space="preserve">CLIMATIZACION</t>
  </si>
  <si>
    <t xml:space="preserve">CHILLER POLIVALENTE</t>
  </si>
  <si>
    <t xml:space="preserve">GASES CLINICOS</t>
  </si>
  <si>
    <t xml:space="preserve">INSTALACIONES ELECTRICAS</t>
  </si>
  <si>
    <t xml:space="preserve">MALLA TIERRA</t>
  </si>
  <si>
    <t xml:space="preserve">GRUPO GENERADOR</t>
  </si>
  <si>
    <t xml:space="preserve">CABLEADO ESTRUCTURADO Y CORRIENTES DEBILES</t>
  </si>
  <si>
    <t xml:space="preserve">CONTROL CENTRALIZADO AUTOMATIZADO</t>
  </si>
  <si>
    <t xml:space="preserve">PROTECCIONES RADIOLOGICAS</t>
  </si>
  <si>
    <t xml:space="preserve">COMBUSTIBLE DIESEL</t>
  </si>
  <si>
    <t xml:space="preserve">MANEJO DE RECIDUOS</t>
  </si>
  <si>
    <t xml:space="preserve">PROTECCION CONTRA INCENDIOS Y VIAS DE EVACUACION</t>
  </si>
  <si>
    <t xml:space="preserve">INSONORIZACION</t>
  </si>
  <si>
    <t xml:space="preserve">SEÑALETICAS</t>
  </si>
  <si>
    <t xml:space="preserve">PAVIMENTACIÓN</t>
  </si>
  <si>
    <t xml:space="preserve">EQUIPAMIENTOEXTERIOR</t>
  </si>
  <si>
    <t xml:space="preserve">CIERRES PERIMETRALES DEFINITIVOS</t>
  </si>
  <si>
    <t xml:space="preserve">PAISAJISMO</t>
  </si>
  <si>
    <t xml:space="preserve">PROYECTO AGUAS LLUVIAS </t>
  </si>
  <si>
    <t xml:space="preserve">DRENES</t>
  </si>
  <si>
    <t xml:space="preserve">ENTREGA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</si>
</sst>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m/d/yyyy"/>
    <numFmt numFmtId="166" formatCode="General"/>
    <numFmt numFmtId="167" formatCode="0.00%"/>
    <numFmt numFmtId="168" formatCode="[$-C0A]d/mmm/yy;@"/>
    <numFmt numFmtId="169" formatCode="[$-C0A]dd/mmm/yy;@"/>
    <numFmt numFmtId="170" formatCode="[$-C0A]mmm/yy;@"/>
    <numFmt numFmtId="171" formatCode="0%"/>
    <numFmt numFmtId="172" formatCode="0.0%"/>
    <numFmt numFmtId="173" formatCode="d/m/yyyy"/>
    <numFmt numFmtId="174" formatCode="@"/>
    <numFmt numFmtId="175" formatCode="[$-C0A]mmmm/yy;@"/>
    <numFmt numFmtId="176" formatCode="dd/mm/yy;@"/>
    <numFmt numFmtId="177" formatCode="0.0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b val="true"/>
      <sz val="14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24"/>
      <name val="Calibri"/>
      <family val="2"/>
      <charset val="1"/>
    </font>
    <font>
      <b val="true"/>
      <sz val="14"/>
      <color theme="9" tint="-0.2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theme="1"/>
      <name val="Trebuchet MS"/>
      <family val="2"/>
      <charset val="1"/>
    </font>
    <font>
      <b val="true"/>
      <sz val="14"/>
      <color rgb="FFFFC000"/>
      <name val="Gill Sans Ultra Bold"/>
      <family val="2"/>
      <charset val="1"/>
    </font>
    <font>
      <b val="true"/>
      <sz val="14"/>
      <color theme="9" tint="-0.25"/>
      <name val="Trebuchet MS"/>
      <family val="2"/>
      <charset val="1"/>
    </font>
    <font>
      <sz val="16"/>
      <name val="Arial Narrow"/>
      <family val="2"/>
      <charset val="1"/>
    </font>
    <font>
      <b val="true"/>
      <sz val="16"/>
      <color theme="1" tint="0.15"/>
      <name val="Arial Narrow"/>
      <family val="2"/>
      <charset val="1"/>
    </font>
    <font>
      <b val="true"/>
      <sz val="16"/>
      <name val="Arial Narrow"/>
      <family val="2"/>
      <charset val="1"/>
    </font>
    <font>
      <sz val="16"/>
      <color theme="1"/>
      <name val="Calibri"/>
      <family val="2"/>
      <charset val="1"/>
    </font>
    <font>
      <sz val="16"/>
      <color rgb="FF0000FF"/>
      <name val="Arial Narrow"/>
      <family val="2"/>
      <charset val="1"/>
    </font>
    <font>
      <sz val="16"/>
      <color theme="0"/>
      <name val="Arial Narrow"/>
      <family val="2"/>
      <charset val="1"/>
    </font>
    <font>
      <sz val="10"/>
      <color rgb="FF000000"/>
      <name val="Calibri"/>
      <family val="2"/>
    </font>
    <font>
      <b val="true"/>
      <sz val="11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sz val="10"/>
      <name val="Arial Narrow"/>
      <family val="2"/>
      <charset val="1"/>
    </font>
    <font>
      <b val="true"/>
      <sz val="20"/>
      <name val="Arial Narrow"/>
      <family val="2"/>
      <charset val="1"/>
    </font>
    <font>
      <b val="true"/>
      <sz val="9"/>
      <color theme="1" tint="0.15"/>
      <name val="Arial Narrow"/>
      <family val="2"/>
      <charset val="1"/>
    </font>
    <font>
      <b val="true"/>
      <sz val="10"/>
      <color theme="1" tint="0.15"/>
      <name val="Arial Narrow"/>
      <family val="2"/>
      <charset val="1"/>
    </font>
    <font>
      <sz val="8"/>
      <color theme="1"/>
      <name val="Calibri"/>
      <family val="2"/>
      <charset val="1"/>
    </font>
    <font>
      <b val="true"/>
      <sz val="8"/>
      <color theme="4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8"/>
      <color rgb="FFFF0000"/>
      <name val="Calibri"/>
      <family val="2"/>
      <charset val="1"/>
    </font>
    <font>
      <sz val="11"/>
      <name val="Arial Narrow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8"/>
      <color rgb="FF404040"/>
      <name val="Calibri"/>
      <family val="2"/>
    </font>
    <font>
      <b val="true"/>
      <sz val="9"/>
      <color rgb="FFFFFFFF"/>
      <name val="Calibri"/>
      <family val="2"/>
    </font>
    <font>
      <sz val="9"/>
      <color rgb="FF404040"/>
      <name val="Calibri"/>
      <family val="2"/>
    </font>
    <font>
      <b val="true"/>
      <sz val="16"/>
      <color theme="1"/>
      <name val="Arial Narrow"/>
      <family val="2"/>
      <charset val="1"/>
    </font>
    <font>
      <b val="true"/>
      <sz val="12"/>
      <color theme="1"/>
      <name val="Arial Narrow"/>
      <family val="2"/>
      <charset val="1"/>
    </font>
    <font>
      <sz val="12"/>
      <color theme="1"/>
      <name val="Arial Narrow"/>
      <family val="2"/>
      <charset val="1"/>
    </font>
    <font>
      <b val="true"/>
      <sz val="12"/>
      <color theme="0"/>
      <name val="Arial Narrow"/>
      <family val="2"/>
      <charset val="1"/>
    </font>
    <font>
      <b val="true"/>
      <sz val="36"/>
      <color theme="1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b val="true"/>
      <sz val="20"/>
      <color rgb="FFFF0000"/>
      <name val="Times New Roman"/>
      <family val="1"/>
      <charset val="1"/>
    </font>
    <font>
      <sz val="20"/>
      <color theme="1"/>
      <name val="Times New Roman"/>
      <family val="1"/>
      <charset val="1"/>
    </font>
    <font>
      <sz val="20"/>
      <color rgb="FFFF0000"/>
      <name val="Times New Roman"/>
      <family val="1"/>
      <charset val="1"/>
    </font>
    <font>
      <b val="true"/>
      <sz val="20"/>
      <name val="Times New Roman"/>
      <family val="1"/>
      <charset val="1"/>
    </font>
    <font>
      <sz val="10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4" tint="0.7999"/>
        <bgColor rgb="FFF2F2F2"/>
      </patternFill>
    </fill>
    <fill>
      <patternFill patternType="solid">
        <fgColor theme="0" tint="-0.15"/>
        <bgColor rgb="FFD8D8D8"/>
      </patternFill>
    </fill>
    <fill>
      <patternFill patternType="solid">
        <fgColor theme="0" tint="-0.25"/>
        <bgColor rgb="FFD8D8D8"/>
      </patternFill>
    </fill>
    <fill>
      <patternFill patternType="solid">
        <fgColor rgb="FFFF0000"/>
        <bgColor rgb="FF9C0006"/>
      </patternFill>
    </fill>
    <fill>
      <patternFill patternType="solid">
        <fgColor theme="7" tint="0.7999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CCFF"/>
        <bgColor rgb="FFFFC7CE"/>
      </patternFill>
    </fill>
    <fill>
      <patternFill patternType="solid">
        <fgColor rgb="FF92D050"/>
        <bgColor rgb="FFBFBFBF"/>
      </patternFill>
    </fill>
    <fill>
      <patternFill patternType="solid">
        <fgColor rgb="FFFF66CC"/>
        <bgColor rgb="FFD97F53"/>
      </patternFill>
    </fill>
    <fill>
      <patternFill patternType="solid">
        <fgColor rgb="FF00B0F0"/>
        <bgColor rgb="FF008080"/>
      </patternFill>
    </fill>
    <fill>
      <patternFill patternType="solid">
        <fgColor theme="4" tint="-0.25"/>
        <bgColor rgb="FF0066CC"/>
      </patternFill>
    </fill>
    <fill>
      <patternFill patternType="solid">
        <fgColor theme="0" tint="-0.05"/>
        <bgColor rgb="FFDEEBF7"/>
      </patternFill>
    </fill>
    <fill>
      <patternFill patternType="solid">
        <fgColor theme="3" tint="0.3999"/>
        <bgColor rgb="FF8B8B8B"/>
      </patternFill>
    </fill>
    <fill>
      <patternFill patternType="solid">
        <fgColor rgb="FFFFC000"/>
        <bgColor rgb="FFFF9900"/>
      </patternFill>
    </fill>
    <fill>
      <patternFill patternType="solid">
        <fgColor rgb="FFD8D8D8"/>
        <bgColor rgb="FFD9D9D9"/>
      </patternFill>
    </fill>
    <fill>
      <patternFill patternType="solid">
        <fgColor theme="8" tint="0.3999"/>
        <bgColor rgb="FF8497B0"/>
      </patternFill>
    </fill>
  </fills>
  <borders count="6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0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0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3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2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4" fillId="4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4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4" fillId="4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15" fillId="5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5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5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5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9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1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1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8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9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3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3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8" borderId="3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6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3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3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4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1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4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2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" fillId="2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2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4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4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3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2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4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4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4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3" fontId="20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1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3" borderId="1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5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5" fillId="4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2" borderId="4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2" borderId="5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2" borderId="3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2" borderId="4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75" fontId="0" fillId="2" borderId="4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3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2" borderId="2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2" borderId="4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6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0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0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6" fillId="2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3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4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4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8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5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5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8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15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0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5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0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5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15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0" fillId="4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5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2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0" fillId="4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4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0" fillId="4" borderId="4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4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3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0" fillId="4" borderId="5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5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1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5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1" fillId="16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16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16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1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1" fillId="16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1" fillId="16" borderId="5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1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1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17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1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17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0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3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5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0" fillId="0" borderId="5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2" fillId="18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18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18" borderId="4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8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8" borderId="5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18" borderId="5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18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0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8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8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8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8" borderId="6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8" borderId="6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0" borderId="6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0" borderId="6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18" borderId="6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3" fillId="18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17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17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17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17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17" borderId="4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6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6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6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6" borderId="4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3" fillId="6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4" fillId="6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4" fillId="6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4" fillId="6" borderId="4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4" fillId="6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44" fillId="6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18" borderId="5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18" borderId="3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8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8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8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0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0" borderId="4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8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6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6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6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6" fillId="0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6" fillId="8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6" fillId="8" borderId="4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6" fillId="8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6" fillId="8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6" fillId="8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6" fillId="19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6" fillId="19" borderId="4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6" fillId="19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6" fillId="19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19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19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19" borderId="4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4" fillId="18" borderId="5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4" fillId="18" borderId="3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4" fillId="18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5" fillId="17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17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17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17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17" borderId="4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6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6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6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6" borderId="4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6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8" borderId="4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19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19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2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5" fillId="19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18" borderId="3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5" fillId="19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18" borderId="5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18" borderId="3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7" fillId="18" borderId="3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18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5" fillId="19" borderId="4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5" fillId="19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5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5" fillId="2" borderId="4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5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5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5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0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0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0" borderId="1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0" borderId="5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19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19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5" fillId="19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8B8B8B"/>
      <rgbColor rgb="FF8FAADC"/>
      <rgbColor rgb="FFFF66CC"/>
      <rgbColor rgb="FFFFF2CC"/>
      <rgbColor rgb="FFDEEBF7"/>
      <rgbColor rgb="FF660066"/>
      <rgbColor rgb="FFD97F53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D9D9D9"/>
      <rgbColor rgb="FFFFFF99"/>
      <rgbColor rgb="FF99CCFF"/>
      <rgbColor rgb="FFF1A78B"/>
      <rgbColor rgb="FFFFCCFF"/>
      <rgbColor rgb="FFFFC7CE"/>
      <rgbColor rgb="FF2E75B6"/>
      <rgbColor rgb="FF5B9BD5"/>
      <rgbColor rgb="FF92D050"/>
      <rgbColor rgb="FFFFC000"/>
      <rgbColor rgb="FFFF9900"/>
      <rgbColor rgb="FFED7D31"/>
      <rgbColor rgb="FF595959"/>
      <rgbColor rgb="FF8497B0"/>
      <rgbColor rgb="FF003366"/>
      <rgbColor rgb="FF00B050"/>
      <rgbColor rgb="FF003300"/>
      <rgbColor rgb="FF404040"/>
      <rgbColor rgb="FFCA6017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142827814763762"/>
          <c:y val="0.0174882890921258"/>
          <c:w val="0.915901692230988"/>
          <c:h val="0.9238010260985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'Last Planner-65'!$E$319:$E$319</c:f>
              <c:strCache>
                <c:ptCount val="1"/>
                <c:pt idx="0">
                  <c:v>FRECUENCIA</c:v>
                </c:pt>
              </c:strCache>
            </c:strRef>
          </c:tx>
          <c:spPr>
            <a:gradFill>
              <a:gsLst>
                <a:gs pos="0">
                  <a:srgbClr val="d97f53"/>
                </a:gs>
                <a:gs pos="50000">
                  <a:srgbClr val="da6c22"/>
                </a:gs>
                <a:gs pos="100000">
                  <a:srgbClr val="ca6017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'Last Planner-65'!$T$2:$T$10</c:f>
              <c:strCache>
                <c:ptCount val="9"/>
                <c:pt idx="0">
                  <c:v>Falta o Falla de Equipos</c:v>
                </c:pt>
                <c:pt idx="1">
                  <c:v>Falta Mano de Obra</c:v>
                </c:pt>
                <c:pt idx="2">
                  <c:v>Falta de Materiales</c:v>
                </c:pt>
                <c:pt idx="3">
                  <c:v>Falla de Subcontratistas</c:v>
                </c:pt>
                <c:pt idx="4">
                  <c:v>Eventos no programables (clima, despachos, etc.)</c:v>
                </c:pt>
                <c:pt idx="5">
                  <c:v>Falla de Programación</c:v>
                </c:pt>
                <c:pt idx="6">
                  <c:v>Cambio de Activ. Por el JT o AO</c:v>
                </c:pt>
                <c:pt idx="7">
                  <c:v>Indefinición de Proyecto o Diseño</c:v>
                </c:pt>
                <c:pt idx="8">
                  <c:v>Mala Ejecucion</c:v>
                </c:pt>
              </c:strCache>
            </c:strRef>
          </c:cat>
          <c:val>
            <c:numRef>
              <c:f>'Last Planner-65'!$E$320:$E$328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27558683"/>
        <c:axId val="57938617"/>
      </c:barChart>
      <c:lineChart>
        <c:grouping val="standard"/>
        <c:varyColors val="0"/>
        <c:ser>
          <c:idx val="1"/>
          <c:order val="1"/>
          <c:tx>
            <c:strRef>
              <c:f>'Last Planner-65'!$W$1:$W$1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1a78b"/>
            </a:solidFill>
            <a:ln w="44280">
              <a:solidFill>
                <a:srgbClr val="f1a78b"/>
              </a:solidFill>
              <a:round/>
            </a:ln>
          </c:spPr>
          <c:marker>
            <c:symbol val="square"/>
            <c:size val="7"/>
            <c:spPr>
              <a:solidFill>
                <a:srgbClr val="f1a78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'Last Planner-65'!$T$2:$T$10</c:f>
              <c:strCache>
                <c:ptCount val="9"/>
                <c:pt idx="0">
                  <c:v>Falta o Falla de Equipos</c:v>
                </c:pt>
                <c:pt idx="1">
                  <c:v>Falta Mano de Obra</c:v>
                </c:pt>
                <c:pt idx="2">
                  <c:v>Falta de Materiales</c:v>
                </c:pt>
                <c:pt idx="3">
                  <c:v>Falla de Subcontratistas</c:v>
                </c:pt>
                <c:pt idx="4">
                  <c:v>Eventos no programables (clima, despachos, etc.)</c:v>
                </c:pt>
                <c:pt idx="5">
                  <c:v>Falla de Programación</c:v>
                </c:pt>
                <c:pt idx="6">
                  <c:v>Cambio de Activ. Por el JT o AO</c:v>
                </c:pt>
                <c:pt idx="7">
                  <c:v>Indefinición de Proyecto o Diseño</c:v>
                </c:pt>
                <c:pt idx="8">
                  <c:v>Mala Ejecucion</c:v>
                </c:pt>
              </c:strCache>
            </c:strRef>
          </c:cat>
          <c:val>
            <c:numRef>
              <c:f>'Last Planner-65'!$W$2:$W$10</c:f>
              <c:numCache>
                <c:formatCode>0.00%</c:formatCode>
                <c:ptCount val="9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679907"/>
        <c:axId val="38306337"/>
      </c:lineChart>
      <c:catAx>
        <c:axId val="27558683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38617"/>
        <c:crosses val="autoZero"/>
        <c:auto val="1"/>
        <c:lblAlgn val="ctr"/>
        <c:lblOffset val="100"/>
        <c:noMultiLvlLbl val="0"/>
      </c:catAx>
      <c:valAx>
        <c:axId val="5793861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58683"/>
        <c:crosses val="autoZero"/>
        <c:crossBetween val="between"/>
        <c:majorUnit val="1"/>
      </c:valAx>
      <c:catAx>
        <c:axId val="5267990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06337"/>
        <c:auto val="1"/>
        <c:lblAlgn val="ctr"/>
        <c:lblOffset val="100"/>
        <c:noMultiLvlLbl val="0"/>
      </c:catAx>
      <c:valAx>
        <c:axId val="38306337"/>
        <c:scaling>
          <c:orientation val="minMax"/>
          <c:max val="1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67990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25560">
      <a:solidFill>
        <a:srgbClr val="00000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PORCENTAJE DE ACTIVIDADES COMPLETADAS (PAC)</a:t>
            </a:r>
          </a:p>
        </c:rich>
      </c:tx>
      <c:layout>
        <c:manualLayout>
          <c:xMode val="edge"/>
          <c:yMode val="edge"/>
          <c:x val="0.0193451869174949"/>
          <c:y val="0.0147001329267339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Consolidado!$D$41:$BP$42</c:f>
              <c:multiLvlStrCache>
                <c:ptCount val="65"/>
                <c:lvl>
                  <c:pt idx="0">
                    <c:v>80.0%</c:v>
                  </c:pt>
                  <c:pt idx="1">
                    <c:v>80.0%</c:v>
                  </c:pt>
                  <c:pt idx="2">
                    <c:v>80.0%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66.0%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</c:lvl>
                <c:lvl>
                  <c:pt idx="0">
                    <c:v>29/11/24</c:v>
                  </c:pt>
                  <c:pt idx="1">
                    <c:v>06/12/24</c:v>
                  </c:pt>
                  <c:pt idx="2">
                    <c:v>13/12/24</c:v>
                  </c:pt>
                  <c:pt idx="3">
                    <c:v>20/12/24</c:v>
                  </c:pt>
                  <c:pt idx="4">
                    <c:v>27/12/24</c:v>
                  </c:pt>
                  <c:pt idx="5">
                    <c:v>03/01/25</c:v>
                  </c:pt>
                  <c:pt idx="6">
                    <c:v>10/01/25</c:v>
                  </c:pt>
                  <c:pt idx="7">
                    <c:v>17/01/25</c:v>
                  </c:pt>
                  <c:pt idx="8">
                    <c:v>24/01/25</c:v>
                  </c:pt>
                  <c:pt idx="9">
                    <c:v>31/01/25</c:v>
                  </c:pt>
                  <c:pt idx="10">
                    <c:v>07/02/25</c:v>
                  </c:pt>
                  <c:pt idx="11">
                    <c:v>14/02/25</c:v>
                  </c:pt>
                  <c:pt idx="12">
                    <c:v>21/02/25</c:v>
                  </c:pt>
                  <c:pt idx="13">
                    <c:v>28/02/25</c:v>
                  </c:pt>
                  <c:pt idx="14">
                    <c:v>07/03/25</c:v>
                  </c:pt>
                  <c:pt idx="15">
                    <c:v>14/03/25</c:v>
                  </c:pt>
                  <c:pt idx="16">
                    <c:v>21/03/25</c:v>
                  </c:pt>
                  <c:pt idx="17">
                    <c:v>28/03/25</c:v>
                  </c:pt>
                  <c:pt idx="18">
                    <c:v>04/04/25</c:v>
                  </c:pt>
                  <c:pt idx="19">
                    <c:v>11/04/25</c:v>
                  </c:pt>
                  <c:pt idx="20">
                    <c:v>18/04/25</c:v>
                  </c:pt>
                  <c:pt idx="21">
                    <c:v>25/04/25</c:v>
                  </c:pt>
                  <c:pt idx="22">
                    <c:v>02/05/25</c:v>
                  </c:pt>
                  <c:pt idx="23">
                    <c:v>09/05/25</c:v>
                  </c:pt>
                  <c:pt idx="24">
                    <c:v>16/05/25</c:v>
                  </c:pt>
                  <c:pt idx="25">
                    <c:v>23/05/25</c:v>
                  </c:pt>
                  <c:pt idx="26">
                    <c:v>30/05/25</c:v>
                  </c:pt>
                  <c:pt idx="27">
                    <c:v>06/06/25</c:v>
                  </c:pt>
                  <c:pt idx="28">
                    <c:v>13/06/25</c:v>
                  </c:pt>
                  <c:pt idx="29">
                    <c:v>20/06/25</c:v>
                  </c:pt>
                  <c:pt idx="30">
                    <c:v>27/06/25</c:v>
                  </c:pt>
                  <c:pt idx="31">
                    <c:v>04/07/25</c:v>
                  </c:pt>
                  <c:pt idx="32">
                    <c:v>11/07/25</c:v>
                  </c:pt>
                  <c:pt idx="33">
                    <c:v>18/07/25</c:v>
                  </c:pt>
                  <c:pt idx="34">
                    <c:v>25/07/25</c:v>
                  </c:pt>
                  <c:pt idx="35">
                    <c:v>01/08/25</c:v>
                  </c:pt>
                  <c:pt idx="36">
                    <c:v>08/08/25</c:v>
                  </c:pt>
                  <c:pt idx="37">
                    <c:v>15/08/25</c:v>
                  </c:pt>
                  <c:pt idx="38">
                    <c:v>22/08/25</c:v>
                  </c:pt>
                  <c:pt idx="39">
                    <c:v>29/08/25</c:v>
                  </c:pt>
                  <c:pt idx="40">
                    <c:v>05/09/25</c:v>
                  </c:pt>
                  <c:pt idx="41">
                    <c:v>12/09/25</c:v>
                  </c:pt>
                  <c:pt idx="42">
                    <c:v>19/09/25</c:v>
                  </c:pt>
                  <c:pt idx="43">
                    <c:v>26/09/25</c:v>
                  </c:pt>
                  <c:pt idx="44">
                    <c:v>03/10/25</c:v>
                  </c:pt>
                  <c:pt idx="45">
                    <c:v>10/10/25</c:v>
                  </c:pt>
                  <c:pt idx="46">
                    <c:v>17/10/25</c:v>
                  </c:pt>
                  <c:pt idx="47">
                    <c:v>24/10/25</c:v>
                  </c:pt>
                  <c:pt idx="48">
                    <c:v>31/10/25</c:v>
                  </c:pt>
                  <c:pt idx="49">
                    <c:v>07/11/25</c:v>
                  </c:pt>
                  <c:pt idx="50">
                    <c:v>14/11/25</c:v>
                  </c:pt>
                  <c:pt idx="51">
                    <c:v>21/11/25</c:v>
                  </c:pt>
                  <c:pt idx="52">
                    <c:v>28/11/25</c:v>
                  </c:pt>
                  <c:pt idx="53">
                    <c:v>05/12/25</c:v>
                  </c:pt>
                  <c:pt idx="54">
                    <c:v>12/12/25</c:v>
                  </c:pt>
                  <c:pt idx="55">
                    <c:v>19/12/25</c:v>
                  </c:pt>
                  <c:pt idx="56">
                    <c:v>02/01/26</c:v>
                  </c:pt>
                  <c:pt idx="57">
                    <c:v>09/01/26</c:v>
                  </c:pt>
                  <c:pt idx="58">
                    <c:v>16/01/26</c:v>
                  </c:pt>
                  <c:pt idx="59">
                    <c:v>23/01/26</c:v>
                  </c:pt>
                  <c:pt idx="60">
                    <c:v>30/01/26</c:v>
                  </c:pt>
                  <c:pt idx="61">
                    <c:v>06/02/26</c:v>
                  </c:pt>
                  <c:pt idx="62">
                    <c:v>13/02/26</c:v>
                  </c:pt>
                  <c:pt idx="63">
                    <c:v>20/02/26</c:v>
                  </c:pt>
                  <c:pt idx="64">
                    <c:v>27/02/26</c:v>
                  </c:pt>
                </c:lvl>
              </c:multiLvlStrCache>
            </c:multiLvlStrRef>
          </c:cat>
          <c:val>
            <c:numRef>
              <c:f>Consolidado!$D$42:$BP$42</c:f>
              <c:numCache>
                <c:formatCode>0.0%</c:formatCode>
                <c:ptCount val="6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5">
                  <c:v>0.66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Consolidado!$B$43:$C$43</c:f>
              <c:strCache>
                <c:ptCount val="1"/>
                <c:pt idx="0">
                  <c:v>PORCENTAJE CUMPL. PROGRAMA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Consolidado!$D$41:$BP$42</c:f>
              <c:multiLvlStrCache>
                <c:ptCount val="65"/>
                <c:lvl>
                  <c:pt idx="0">
                    <c:v>80.0%</c:v>
                  </c:pt>
                  <c:pt idx="1">
                    <c:v>80.0%</c:v>
                  </c:pt>
                  <c:pt idx="2">
                    <c:v>80.0%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66.0%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</c:lvl>
                <c:lvl>
                  <c:pt idx="0">
                    <c:v>29/11/24</c:v>
                  </c:pt>
                  <c:pt idx="1">
                    <c:v>06/12/24</c:v>
                  </c:pt>
                  <c:pt idx="2">
                    <c:v>13/12/24</c:v>
                  </c:pt>
                  <c:pt idx="3">
                    <c:v>20/12/24</c:v>
                  </c:pt>
                  <c:pt idx="4">
                    <c:v>27/12/24</c:v>
                  </c:pt>
                  <c:pt idx="5">
                    <c:v>03/01/25</c:v>
                  </c:pt>
                  <c:pt idx="6">
                    <c:v>10/01/25</c:v>
                  </c:pt>
                  <c:pt idx="7">
                    <c:v>17/01/25</c:v>
                  </c:pt>
                  <c:pt idx="8">
                    <c:v>24/01/25</c:v>
                  </c:pt>
                  <c:pt idx="9">
                    <c:v>31/01/25</c:v>
                  </c:pt>
                  <c:pt idx="10">
                    <c:v>07/02/25</c:v>
                  </c:pt>
                  <c:pt idx="11">
                    <c:v>14/02/25</c:v>
                  </c:pt>
                  <c:pt idx="12">
                    <c:v>21/02/25</c:v>
                  </c:pt>
                  <c:pt idx="13">
                    <c:v>28/02/25</c:v>
                  </c:pt>
                  <c:pt idx="14">
                    <c:v>07/03/25</c:v>
                  </c:pt>
                  <c:pt idx="15">
                    <c:v>14/03/25</c:v>
                  </c:pt>
                  <c:pt idx="16">
                    <c:v>21/03/25</c:v>
                  </c:pt>
                  <c:pt idx="17">
                    <c:v>28/03/25</c:v>
                  </c:pt>
                  <c:pt idx="18">
                    <c:v>04/04/25</c:v>
                  </c:pt>
                  <c:pt idx="19">
                    <c:v>11/04/25</c:v>
                  </c:pt>
                  <c:pt idx="20">
                    <c:v>18/04/25</c:v>
                  </c:pt>
                  <c:pt idx="21">
                    <c:v>25/04/25</c:v>
                  </c:pt>
                  <c:pt idx="22">
                    <c:v>02/05/25</c:v>
                  </c:pt>
                  <c:pt idx="23">
                    <c:v>09/05/25</c:v>
                  </c:pt>
                  <c:pt idx="24">
                    <c:v>16/05/25</c:v>
                  </c:pt>
                  <c:pt idx="25">
                    <c:v>23/05/25</c:v>
                  </c:pt>
                  <c:pt idx="26">
                    <c:v>30/05/25</c:v>
                  </c:pt>
                  <c:pt idx="27">
                    <c:v>06/06/25</c:v>
                  </c:pt>
                  <c:pt idx="28">
                    <c:v>13/06/25</c:v>
                  </c:pt>
                  <c:pt idx="29">
                    <c:v>20/06/25</c:v>
                  </c:pt>
                  <c:pt idx="30">
                    <c:v>27/06/25</c:v>
                  </c:pt>
                  <c:pt idx="31">
                    <c:v>04/07/25</c:v>
                  </c:pt>
                  <c:pt idx="32">
                    <c:v>11/07/25</c:v>
                  </c:pt>
                  <c:pt idx="33">
                    <c:v>18/07/25</c:v>
                  </c:pt>
                  <c:pt idx="34">
                    <c:v>25/07/25</c:v>
                  </c:pt>
                  <c:pt idx="35">
                    <c:v>01/08/25</c:v>
                  </c:pt>
                  <c:pt idx="36">
                    <c:v>08/08/25</c:v>
                  </c:pt>
                  <c:pt idx="37">
                    <c:v>15/08/25</c:v>
                  </c:pt>
                  <c:pt idx="38">
                    <c:v>22/08/25</c:v>
                  </c:pt>
                  <c:pt idx="39">
                    <c:v>29/08/25</c:v>
                  </c:pt>
                  <c:pt idx="40">
                    <c:v>05/09/25</c:v>
                  </c:pt>
                  <c:pt idx="41">
                    <c:v>12/09/25</c:v>
                  </c:pt>
                  <c:pt idx="42">
                    <c:v>19/09/25</c:v>
                  </c:pt>
                  <c:pt idx="43">
                    <c:v>26/09/25</c:v>
                  </c:pt>
                  <c:pt idx="44">
                    <c:v>03/10/25</c:v>
                  </c:pt>
                  <c:pt idx="45">
                    <c:v>10/10/25</c:v>
                  </c:pt>
                  <c:pt idx="46">
                    <c:v>17/10/25</c:v>
                  </c:pt>
                  <c:pt idx="47">
                    <c:v>24/10/25</c:v>
                  </c:pt>
                  <c:pt idx="48">
                    <c:v>31/10/25</c:v>
                  </c:pt>
                  <c:pt idx="49">
                    <c:v>07/11/25</c:v>
                  </c:pt>
                  <c:pt idx="50">
                    <c:v>14/11/25</c:v>
                  </c:pt>
                  <c:pt idx="51">
                    <c:v>21/11/25</c:v>
                  </c:pt>
                  <c:pt idx="52">
                    <c:v>28/11/25</c:v>
                  </c:pt>
                  <c:pt idx="53">
                    <c:v>05/12/25</c:v>
                  </c:pt>
                  <c:pt idx="54">
                    <c:v>12/12/25</c:v>
                  </c:pt>
                  <c:pt idx="55">
                    <c:v>19/12/25</c:v>
                  </c:pt>
                  <c:pt idx="56">
                    <c:v>02/01/26</c:v>
                  </c:pt>
                  <c:pt idx="57">
                    <c:v>09/01/26</c:v>
                  </c:pt>
                  <c:pt idx="58">
                    <c:v>16/01/26</c:v>
                  </c:pt>
                  <c:pt idx="59">
                    <c:v>23/01/26</c:v>
                  </c:pt>
                  <c:pt idx="60">
                    <c:v>30/01/26</c:v>
                  </c:pt>
                  <c:pt idx="61">
                    <c:v>06/02/26</c:v>
                  </c:pt>
                  <c:pt idx="62">
                    <c:v>13/02/26</c:v>
                  </c:pt>
                  <c:pt idx="63">
                    <c:v>20/02/26</c:v>
                  </c:pt>
                  <c:pt idx="64">
                    <c:v>27/02/26</c:v>
                  </c:pt>
                </c:lvl>
              </c:multiLvlStrCache>
            </c:multiLvlStrRef>
          </c:cat>
          <c:val>
            <c:numRef>
              <c:f>Consolidado!$D$43:$FC$43</c:f>
              <c:numCache>
                <c:formatCode>0.0%</c:formatCode>
                <c:ptCount val="15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0.8</c:v>
                </c:pt>
                <c:pt idx="88">
                  <c:v>0.8</c:v>
                </c:pt>
                <c:pt idx="89">
                  <c:v>0.8</c:v>
                </c:pt>
                <c:pt idx="90">
                  <c:v>0.8</c:v>
                </c:pt>
                <c:pt idx="91">
                  <c:v>0.8</c:v>
                </c:pt>
                <c:pt idx="92">
                  <c:v>0.8</c:v>
                </c:pt>
                <c:pt idx="93">
                  <c:v>0.8</c:v>
                </c:pt>
                <c:pt idx="94">
                  <c:v>0.8</c:v>
                </c:pt>
                <c:pt idx="95">
                  <c:v>0.8</c:v>
                </c:pt>
                <c:pt idx="96">
                  <c:v>0.8</c:v>
                </c:pt>
                <c:pt idx="97">
                  <c:v>0.8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0.8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0.8</c:v>
                </c:pt>
                <c:pt idx="114">
                  <c:v>0.8</c:v>
                </c:pt>
                <c:pt idx="115">
                  <c:v>0.8</c:v>
                </c:pt>
                <c:pt idx="116">
                  <c:v>0.8</c:v>
                </c:pt>
                <c:pt idx="117">
                  <c:v>0.8</c:v>
                </c:pt>
                <c:pt idx="118">
                  <c:v>0.8</c:v>
                </c:pt>
                <c:pt idx="119">
                  <c:v>0.8</c:v>
                </c:pt>
                <c:pt idx="120">
                  <c:v>0.8</c:v>
                </c:pt>
                <c:pt idx="121">
                  <c:v>0.8</c:v>
                </c:pt>
                <c:pt idx="122">
                  <c:v>0.8</c:v>
                </c:pt>
                <c:pt idx="123">
                  <c:v>0.8</c:v>
                </c:pt>
                <c:pt idx="124">
                  <c:v>0.8</c:v>
                </c:pt>
                <c:pt idx="125">
                  <c:v>0.8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0.8</c:v>
                </c:pt>
                <c:pt idx="135">
                  <c:v>0.8</c:v>
                </c:pt>
                <c:pt idx="136">
                  <c:v>0.8</c:v>
                </c:pt>
                <c:pt idx="137">
                  <c:v>0.8</c:v>
                </c:pt>
                <c:pt idx="138">
                  <c:v>0.8</c:v>
                </c:pt>
                <c:pt idx="139">
                  <c:v>0.8</c:v>
                </c:pt>
                <c:pt idx="140">
                  <c:v>0.8</c:v>
                </c:pt>
                <c:pt idx="141">
                  <c:v>0.8</c:v>
                </c:pt>
                <c:pt idx="142">
                  <c:v>0.8</c:v>
                </c:pt>
                <c:pt idx="143">
                  <c:v>0.8</c:v>
                </c:pt>
                <c:pt idx="144">
                  <c:v>0.8</c:v>
                </c:pt>
                <c:pt idx="145">
                  <c:v>0.8</c:v>
                </c:pt>
                <c:pt idx="146">
                  <c:v>0.8</c:v>
                </c:pt>
                <c:pt idx="147">
                  <c:v>0.8</c:v>
                </c:pt>
                <c:pt idx="148">
                  <c:v>0.8</c:v>
                </c:pt>
                <c:pt idx="149">
                  <c:v>0.8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96654"/>
        <c:axId val="38056591"/>
      </c:lineChart>
      <c:catAx>
        <c:axId val="559665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8056591"/>
        <c:crosses val="autoZero"/>
        <c:auto val="1"/>
        <c:lblAlgn val="ctr"/>
        <c:lblOffset val="100"/>
        <c:noMultiLvlLbl val="0"/>
      </c:catAx>
      <c:valAx>
        <c:axId val="38056591"/>
        <c:scaling>
          <c:orientation val="minMax"/>
          <c:max val="1"/>
          <c:min val="0.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96654"/>
        <c:crosses val="autoZero"/>
        <c:crossBetween val="between"/>
        <c:majorUnit val="0.1"/>
        <c:minorUnit val="0.01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CL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s-CL" sz="1800" spc="-1" strike="noStrike">
                <a:solidFill>
                  <a:srgbClr val="404040"/>
                </a:solidFill>
                <a:latin typeface="Calibri"/>
              </a:rPr>
              <a:t>Causas de no Cumplimiento (General)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5b9bd5">
                <a:alpha val="85000"/>
              </a:srgbClr>
            </a:solidFill>
            <a:ln w="9360">
              <a:solidFill>
                <a:srgbClr val="ffffff">
                  <a:alpha val="50000"/>
                </a:srgbClr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Consolidado!$B$59:$B$67</c:f>
              <c:strCache>
                <c:ptCount val="9"/>
                <c:pt idx="0">
                  <c:v>Falta o Falla de Equipos</c:v>
                </c:pt>
                <c:pt idx="1">
                  <c:v>Falta Mano de Obra</c:v>
                </c:pt>
                <c:pt idx="2">
                  <c:v>Falta de Materiales</c:v>
                </c:pt>
                <c:pt idx="3">
                  <c:v>Falla de Subcontratistas</c:v>
                </c:pt>
                <c:pt idx="4">
                  <c:v>Eventos no programables (clima, despachos, etc.)</c:v>
                </c:pt>
                <c:pt idx="5">
                  <c:v>Falla de Programación</c:v>
                </c:pt>
                <c:pt idx="6">
                  <c:v>Cambio de Activ. Por el JT o AO</c:v>
                </c:pt>
                <c:pt idx="7">
                  <c:v>Indefinición de Proyecto o Diseño</c:v>
                </c:pt>
                <c:pt idx="8">
                  <c:v>Mala Ejecucion</c:v>
                </c:pt>
              </c:strCache>
            </c:strRef>
          </c:cat>
          <c:val>
            <c:numRef>
              <c:f>Consolidado!$C$59:$C$67</c:f>
              <c:numCache>
                <c:formatCode>0%</c:formatCode>
                <c:ptCount val="9"/>
              </c:numCache>
            </c:numRef>
          </c:val>
        </c:ser>
        <c:gapWidth val="65"/>
        <c:overlap val="0"/>
        <c:axId val="68627965"/>
        <c:axId val="44550227"/>
      </c:barChart>
      <c:catAx>
        <c:axId val="686279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44550227"/>
        <c:crosses val="autoZero"/>
        <c:auto val="1"/>
        <c:lblAlgn val="ctr"/>
        <c:lblOffset val="100"/>
        <c:noMultiLvlLbl val="0"/>
      </c:catAx>
      <c:valAx>
        <c:axId val="44550227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>
                  <a:alpha val="36000"/>
                </a:srgbClr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86279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CL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s-CL" sz="1800" spc="-1" strike="noStrike">
                <a:solidFill>
                  <a:srgbClr val="404040"/>
                </a:solidFill>
                <a:latin typeface="Calibri"/>
              </a:rPr>
              <a:t>Causas de no Cumplimiento (Semanal)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5b9bd5">
                <a:alpha val="85000"/>
              </a:srgbClr>
            </a:solidFill>
            <a:ln w="9360">
              <a:solidFill>
                <a:srgbClr val="ffffff">
                  <a:alpha val="50000"/>
                </a:srgbClr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Consolidado!$B$59:$B$67</c:f>
              <c:strCache>
                <c:ptCount val="9"/>
                <c:pt idx="0">
                  <c:v>Falta o Falla de Equipos</c:v>
                </c:pt>
                <c:pt idx="1">
                  <c:v>Falta Mano de Obra</c:v>
                </c:pt>
                <c:pt idx="2">
                  <c:v>Falta de Materiales</c:v>
                </c:pt>
                <c:pt idx="3">
                  <c:v>Falla de Subcontratistas</c:v>
                </c:pt>
                <c:pt idx="4">
                  <c:v>Eventos no programables (clima, despachos, etc.)</c:v>
                </c:pt>
                <c:pt idx="5">
                  <c:v>Falla de Programación</c:v>
                </c:pt>
                <c:pt idx="6">
                  <c:v>Cambio de Activ. Por el JT o AO</c:v>
                </c:pt>
                <c:pt idx="7">
                  <c:v>Indefinición de Proyecto o Diseño</c:v>
                </c:pt>
                <c:pt idx="8">
                  <c:v>Mala Ejecucion</c:v>
                </c:pt>
              </c:strCache>
            </c:strRef>
          </c:cat>
          <c:val>
            <c:numRef>
              <c:f>Consolidado!$BP$59:$BP$67</c:f>
              <c:numCache>
                <c:formatCode>0%</c:formatCode>
                <c:ptCount val="9"/>
              </c:numCache>
            </c:numRef>
          </c:val>
        </c:ser>
        <c:gapWidth val="65"/>
        <c:overlap val="0"/>
        <c:axId val="76876407"/>
        <c:axId val="26294302"/>
      </c:barChart>
      <c:catAx>
        <c:axId val="768764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26294302"/>
        <c:crosses val="autoZero"/>
        <c:auto val="1"/>
        <c:lblAlgn val="ctr"/>
        <c:lblOffset val="100"/>
        <c:noMultiLvlLbl val="0"/>
      </c:catAx>
      <c:valAx>
        <c:axId val="26294302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>
                  <a:alpha val="36000"/>
                </a:srgbClr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768764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image" Target="../media/image5.png"/><Relationship Id="rId4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289440</xdr:colOff>
      <xdr:row>0</xdr:row>
      <xdr:rowOff>117000</xdr:rowOff>
    </xdr:from>
    <xdr:to>
      <xdr:col>3</xdr:col>
      <xdr:colOff>644760</xdr:colOff>
      <xdr:row>2</xdr:row>
      <xdr:rowOff>253440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590400" y="117000"/>
          <a:ext cx="2116800" cy="517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470880</xdr:colOff>
      <xdr:row>339</xdr:row>
      <xdr:rowOff>202680</xdr:rowOff>
    </xdr:from>
    <xdr:to>
      <xdr:col>17</xdr:col>
      <xdr:colOff>2647440</xdr:colOff>
      <xdr:row>371</xdr:row>
      <xdr:rowOff>143640</xdr:rowOff>
    </xdr:to>
    <xdr:graphicFrame>
      <xdr:nvGraphicFramePr>
        <xdr:cNvPr id="1" name="7 Gráfico"/>
        <xdr:cNvGraphicFramePr/>
      </xdr:nvGraphicFramePr>
      <xdr:xfrm>
        <a:off x="470880" y="98608680"/>
        <a:ext cx="24549480" cy="8069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265680</xdr:colOff>
      <xdr:row>1</xdr:row>
      <xdr:rowOff>207720</xdr:rowOff>
    </xdr:from>
    <xdr:to>
      <xdr:col>2</xdr:col>
      <xdr:colOff>860040</xdr:colOff>
      <xdr:row>4</xdr:row>
      <xdr:rowOff>211680</xdr:rowOff>
    </xdr:to>
    <xdr:pic>
      <xdr:nvPicPr>
        <xdr:cNvPr id="2" name="Imagen 2" descr=""/>
        <xdr:cNvPicPr/>
      </xdr:nvPicPr>
      <xdr:blipFill>
        <a:blip r:embed="rId2"/>
        <a:stretch/>
      </xdr:blipFill>
      <xdr:spPr>
        <a:xfrm>
          <a:off x="265680" y="235080"/>
          <a:ext cx="3388320" cy="771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100800</xdr:colOff>
      <xdr:row>1</xdr:row>
      <xdr:rowOff>39600</xdr:rowOff>
    </xdr:from>
    <xdr:to>
      <xdr:col>2</xdr:col>
      <xdr:colOff>830880</xdr:colOff>
      <xdr:row>3</xdr:row>
      <xdr:rowOff>176040</xdr:rowOff>
    </xdr:to>
    <xdr:pic>
      <xdr:nvPicPr>
        <xdr:cNvPr id="3" name="Imagen 1" descr=""/>
        <xdr:cNvPicPr/>
      </xdr:nvPicPr>
      <xdr:blipFill>
        <a:blip r:embed="rId1"/>
        <a:stretch/>
      </xdr:blipFill>
      <xdr:spPr>
        <a:xfrm>
          <a:off x="523800" y="230040"/>
          <a:ext cx="2120760" cy="51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100800</xdr:colOff>
      <xdr:row>1</xdr:row>
      <xdr:rowOff>39600</xdr:rowOff>
    </xdr:from>
    <xdr:to>
      <xdr:col>2</xdr:col>
      <xdr:colOff>830880</xdr:colOff>
      <xdr:row>3</xdr:row>
      <xdr:rowOff>173160</xdr:rowOff>
    </xdr:to>
    <xdr:pic>
      <xdr:nvPicPr>
        <xdr:cNvPr id="4" name="Imagen 2" descr=""/>
        <xdr:cNvPicPr/>
      </xdr:nvPicPr>
      <xdr:blipFill>
        <a:blip r:embed="rId2"/>
        <a:stretch/>
      </xdr:blipFill>
      <xdr:spPr>
        <a:xfrm>
          <a:off x="523800" y="230040"/>
          <a:ext cx="2120760" cy="51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100800</xdr:colOff>
      <xdr:row>1</xdr:row>
      <xdr:rowOff>39600</xdr:rowOff>
    </xdr:from>
    <xdr:to>
      <xdr:col>2</xdr:col>
      <xdr:colOff>830880</xdr:colOff>
      <xdr:row>3</xdr:row>
      <xdr:rowOff>176040</xdr:rowOff>
    </xdr:to>
    <xdr:pic>
      <xdr:nvPicPr>
        <xdr:cNvPr id="5" name="Imagen 3" descr=""/>
        <xdr:cNvPicPr/>
      </xdr:nvPicPr>
      <xdr:blipFill>
        <a:blip r:embed="rId3"/>
        <a:stretch/>
      </xdr:blipFill>
      <xdr:spPr>
        <a:xfrm>
          <a:off x="523800" y="230040"/>
          <a:ext cx="2120760" cy="517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100800</xdr:colOff>
      <xdr:row>1</xdr:row>
      <xdr:rowOff>39600</xdr:rowOff>
    </xdr:from>
    <xdr:to>
      <xdr:col>2</xdr:col>
      <xdr:colOff>830880</xdr:colOff>
      <xdr:row>3</xdr:row>
      <xdr:rowOff>173160</xdr:rowOff>
    </xdr:to>
    <xdr:pic>
      <xdr:nvPicPr>
        <xdr:cNvPr id="6" name="Imagen 4" descr=""/>
        <xdr:cNvPicPr/>
      </xdr:nvPicPr>
      <xdr:blipFill>
        <a:blip r:embed="rId4"/>
        <a:stretch/>
      </xdr:blipFill>
      <xdr:spPr>
        <a:xfrm>
          <a:off x="523800" y="230040"/>
          <a:ext cx="2120760" cy="51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731520</xdr:colOff>
      <xdr:row>12</xdr:row>
      <xdr:rowOff>149400</xdr:rowOff>
    </xdr:from>
    <xdr:to>
      <xdr:col>71</xdr:col>
      <xdr:colOff>522000</xdr:colOff>
      <xdr:row>37</xdr:row>
      <xdr:rowOff>149400</xdr:rowOff>
    </xdr:to>
    <xdr:graphicFrame>
      <xdr:nvGraphicFramePr>
        <xdr:cNvPr id="7" name="Gráfico 1"/>
        <xdr:cNvGraphicFramePr/>
      </xdr:nvGraphicFramePr>
      <xdr:xfrm>
        <a:off x="833760" y="2684880"/>
        <a:ext cx="41870520" cy="460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138960</xdr:colOff>
      <xdr:row>72</xdr:row>
      <xdr:rowOff>50040</xdr:rowOff>
    </xdr:from>
    <xdr:to>
      <xdr:col>20</xdr:col>
      <xdr:colOff>269640</xdr:colOff>
      <xdr:row>111</xdr:row>
      <xdr:rowOff>174960</xdr:rowOff>
    </xdr:to>
    <xdr:graphicFrame>
      <xdr:nvGraphicFramePr>
        <xdr:cNvPr id="8" name="Gráfico 3"/>
        <xdr:cNvGraphicFramePr/>
      </xdr:nvGraphicFramePr>
      <xdr:xfrm>
        <a:off x="2176200" y="16607160"/>
        <a:ext cx="9610920" cy="730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46440</xdr:colOff>
      <xdr:row>1</xdr:row>
      <xdr:rowOff>293400</xdr:rowOff>
    </xdr:from>
    <xdr:to>
      <xdr:col>1</xdr:col>
      <xdr:colOff>1780920</xdr:colOff>
      <xdr:row>2</xdr:row>
      <xdr:rowOff>97200</xdr:rowOff>
    </xdr:to>
    <xdr:pic>
      <xdr:nvPicPr>
        <xdr:cNvPr id="9" name="Imagen 2" descr=""/>
        <xdr:cNvPicPr/>
      </xdr:nvPicPr>
      <xdr:blipFill>
        <a:blip r:embed="rId3"/>
        <a:stretch/>
      </xdr:blipFill>
      <xdr:spPr>
        <a:xfrm>
          <a:off x="148680" y="401400"/>
          <a:ext cx="1734480" cy="383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155880</xdr:colOff>
      <xdr:row>113</xdr:row>
      <xdr:rowOff>130680</xdr:rowOff>
    </xdr:from>
    <xdr:to>
      <xdr:col>20</xdr:col>
      <xdr:colOff>289440</xdr:colOff>
      <xdr:row>153</xdr:row>
      <xdr:rowOff>79560</xdr:rowOff>
    </xdr:to>
    <xdr:graphicFrame>
      <xdr:nvGraphicFramePr>
        <xdr:cNvPr id="10" name="Gráfico 5"/>
        <xdr:cNvGraphicFramePr/>
      </xdr:nvGraphicFramePr>
      <xdr:xfrm>
        <a:off x="2193120" y="24237720"/>
        <a:ext cx="9613800" cy="731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522</xdr:col>
      <xdr:colOff>684360</xdr:colOff>
      <xdr:row>12</xdr:row>
      <xdr:rowOff>91080</xdr:rowOff>
    </xdr:from>
    <xdr:to>
      <xdr:col>523</xdr:col>
      <xdr:colOff>711000</xdr:colOff>
      <xdr:row>18</xdr:row>
      <xdr:rowOff>113040</xdr:rowOff>
    </xdr:to>
    <xdr:pic>
      <xdr:nvPicPr>
        <xdr:cNvPr id="11" name="Picture 2" descr=""/>
        <xdr:cNvPicPr/>
      </xdr:nvPicPr>
      <xdr:blipFill>
        <a:blip r:embed="rId1"/>
        <a:srcRect l="43266" t="42186" r="44948" b="19530"/>
        <a:stretch/>
      </xdr:blipFill>
      <xdr:spPr>
        <a:xfrm>
          <a:off x="130255560" y="2495160"/>
          <a:ext cx="779040" cy="120312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0</xdr:col>
      <xdr:colOff>152280</xdr:colOff>
      <xdr:row>2</xdr:row>
      <xdr:rowOff>184320</xdr:rowOff>
    </xdr:from>
    <xdr:to>
      <xdr:col>0</xdr:col>
      <xdr:colOff>1684440</xdr:colOff>
      <xdr:row>2</xdr:row>
      <xdr:rowOff>568080</xdr:rowOff>
    </xdr:to>
    <xdr:pic>
      <xdr:nvPicPr>
        <xdr:cNvPr id="12" name="Imagen 2" descr=""/>
        <xdr:cNvPicPr/>
      </xdr:nvPicPr>
      <xdr:blipFill>
        <a:blip r:embed="rId2"/>
        <a:stretch/>
      </xdr:blipFill>
      <xdr:spPr>
        <a:xfrm>
          <a:off x="152280" y="184320"/>
          <a:ext cx="1532160" cy="383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522</xdr:col>
      <xdr:colOff>553320</xdr:colOff>
      <xdr:row>6</xdr:row>
      <xdr:rowOff>95040</xdr:rowOff>
    </xdr:from>
    <xdr:to>
      <xdr:col>524</xdr:col>
      <xdr:colOff>582120</xdr:colOff>
      <xdr:row>12</xdr:row>
      <xdr:rowOff>20520</xdr:rowOff>
    </xdr:to>
    <xdr:pic>
      <xdr:nvPicPr>
        <xdr:cNvPr id="13" name="Imagen 3" descr=""/>
        <xdr:cNvPicPr/>
      </xdr:nvPicPr>
      <xdr:blipFill>
        <a:blip r:embed="rId3"/>
        <a:stretch/>
      </xdr:blipFill>
      <xdr:spPr>
        <a:xfrm>
          <a:off x="130124520" y="1265400"/>
          <a:ext cx="1533600" cy="1159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P7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L10" activeCellId="0" sqref="L10"/>
    </sheetView>
  </sheetViews>
  <sheetFormatPr defaultColWidth="11.453125" defaultRowHeight="18.5" zeroHeight="false" outlineLevelRow="0" outlineLevelCol="0"/>
  <cols>
    <col collapsed="false" customWidth="true" hidden="false" outlineLevel="0" max="1" min="1" style="1" width="4.27"/>
    <col collapsed="false" customWidth="true" hidden="false" outlineLevel="0" max="2" min="2" style="1" width="7.45"/>
    <col collapsed="false" customWidth="true" hidden="false" outlineLevel="0" max="3" min="3" style="1" width="17.54"/>
    <col collapsed="false" customWidth="true" hidden="false" outlineLevel="0" max="4" min="4" style="1" width="28.82"/>
    <col collapsed="false" customWidth="true" hidden="false" outlineLevel="0" max="5" min="5" style="1" width="14.27"/>
    <col collapsed="false" customWidth="true" hidden="false" outlineLevel="0" max="6" min="6" style="1" width="8.45"/>
    <col collapsed="false" customWidth="true" hidden="false" outlineLevel="0" max="7" min="7" style="1" width="11.82"/>
    <col collapsed="false" customWidth="true" hidden="false" outlineLevel="0" max="8" min="8" style="1" width="27.82"/>
    <col collapsed="false" customWidth="true" hidden="false" outlineLevel="0" max="9" min="9" style="1" width="12.18"/>
    <col collapsed="false" customWidth="true" hidden="false" outlineLevel="0" max="10" min="10" style="1" width="22"/>
    <col collapsed="false" customWidth="true" hidden="false" outlineLevel="0" max="11" min="11" style="1" width="26.18"/>
    <col collapsed="false" customWidth="true" hidden="false" outlineLevel="0" max="12" min="12" style="1" width="13.54"/>
    <col collapsed="false" customWidth="true" hidden="false" outlineLevel="0" max="13" min="13" style="1" width="17.82"/>
    <col collapsed="false" customWidth="true" hidden="false" outlineLevel="0" max="14" min="14" style="1" width="28.54"/>
    <col collapsed="false" customWidth="true" hidden="false" outlineLevel="0" max="15" min="15" style="1" width="3.54"/>
    <col collapsed="false" customWidth="false" hidden="false" outlineLevel="0" max="16384" min="16" style="1" width="11.45"/>
  </cols>
  <sheetData>
    <row r="1" customFormat="false" ht="15" hidden="false" customHeight="true" outlineLevel="0" collapsed="false">
      <c r="A1" s="2"/>
      <c r="B1" s="2"/>
      <c r="C1" s="2"/>
      <c r="D1" s="2"/>
      <c r="E1" s="3"/>
      <c r="F1" s="3"/>
      <c r="G1" s="3"/>
      <c r="H1" s="3"/>
      <c r="I1" s="3"/>
      <c r="J1" s="4"/>
      <c r="K1" s="4"/>
      <c r="L1" s="4"/>
      <c r="N1" s="3"/>
    </row>
    <row r="2" customFormat="false" ht="15" hidden="false" customHeight="true" outlineLevel="0" collapsed="false">
      <c r="A2" s="2"/>
      <c r="C2" s="5"/>
      <c r="D2" s="5"/>
      <c r="E2" s="6" t="s">
        <v>0</v>
      </c>
      <c r="F2" s="6"/>
      <c r="G2" s="6"/>
      <c r="H2" s="6"/>
      <c r="I2" s="6"/>
      <c r="J2" s="6"/>
      <c r="K2" s="6"/>
      <c r="L2" s="6"/>
      <c r="M2" s="6"/>
      <c r="N2" s="6"/>
    </row>
    <row r="3" customFormat="false" ht="37" hidden="false" customHeight="true" outlineLevel="0" collapsed="false">
      <c r="B3" s="2"/>
      <c r="C3" s="2"/>
      <c r="D3" s="2"/>
      <c r="E3" s="6"/>
      <c r="F3" s="6"/>
      <c r="G3" s="6"/>
      <c r="H3" s="6"/>
      <c r="I3" s="6"/>
      <c r="J3" s="6"/>
      <c r="K3" s="6"/>
      <c r="L3" s="6"/>
      <c r="M3" s="6"/>
      <c r="N3" s="6"/>
    </row>
    <row r="4" s="7" customFormat="true" ht="44.5" hidden="false" customHeight="true" outlineLevel="0" collapsed="false">
      <c r="B4" s="8" t="s">
        <v>1</v>
      </c>
      <c r="C4" s="8"/>
      <c r="D4" s="9" t="s">
        <v>2</v>
      </c>
      <c r="E4" s="8" t="s">
        <v>3</v>
      </c>
      <c r="F4" s="8"/>
      <c r="G4" s="9" t="n">
        <v>65</v>
      </c>
      <c r="H4" s="9"/>
      <c r="I4" s="8" t="s">
        <v>4</v>
      </c>
      <c r="J4" s="10" t="n">
        <v>46083</v>
      </c>
      <c r="K4" s="10"/>
      <c r="L4" s="8" t="s">
        <v>5</v>
      </c>
      <c r="M4" s="9" t="s">
        <v>6</v>
      </c>
      <c r="N4" s="9"/>
    </row>
    <row r="5" customFormat="false" ht="21.75" hidden="false" customHeight="true" outlineLevel="0" collapsed="false">
      <c r="B5" s="11" t="s">
        <v>7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21.75" hidden="false" customHeight="true" outlineLevel="0" collapsed="false">
      <c r="B6" s="12" t="s">
        <v>8</v>
      </c>
      <c r="C6" s="13" t="s">
        <v>9</v>
      </c>
      <c r="D6" s="13" t="s">
        <v>10</v>
      </c>
      <c r="E6" s="13" t="s">
        <v>11</v>
      </c>
      <c r="F6" s="13" t="s">
        <v>12</v>
      </c>
      <c r="G6" s="13"/>
      <c r="H6" s="14" t="s">
        <v>13</v>
      </c>
      <c r="I6" s="15" t="s">
        <v>8</v>
      </c>
      <c r="J6" s="13" t="s">
        <v>9</v>
      </c>
      <c r="K6" s="13" t="s">
        <v>10</v>
      </c>
      <c r="L6" s="13" t="s">
        <v>11</v>
      </c>
      <c r="M6" s="13" t="s">
        <v>12</v>
      </c>
      <c r="N6" s="14" t="s">
        <v>13</v>
      </c>
    </row>
    <row r="7" s="16" customFormat="true" ht="50.15" hidden="false" customHeight="true" outlineLevel="0" collapsed="false">
      <c r="B7" s="17" t="n">
        <v>1</v>
      </c>
      <c r="C7" s="18" t="s">
        <v>14</v>
      </c>
      <c r="D7" s="18" t="s">
        <v>15</v>
      </c>
      <c r="E7" s="19" t="s">
        <v>16</v>
      </c>
      <c r="F7" s="20"/>
      <c r="G7" s="20"/>
      <c r="H7" s="21"/>
      <c r="I7" s="22" t="n">
        <f aca="false">+B31+1</f>
        <v>15</v>
      </c>
      <c r="J7" s="23" t="s">
        <v>17</v>
      </c>
      <c r="K7" s="18" t="s">
        <v>18</v>
      </c>
      <c r="L7" s="19" t="s">
        <v>19</v>
      </c>
      <c r="M7" s="20"/>
      <c r="N7" s="21"/>
      <c r="O7" s="1"/>
    </row>
    <row r="8" s="16" customFormat="true" ht="50.15" hidden="false" customHeight="true" outlineLevel="0" collapsed="false">
      <c r="B8" s="17" t="n">
        <f aca="false">+B7+1</f>
        <v>2</v>
      </c>
      <c r="C8" s="18" t="s">
        <v>20</v>
      </c>
      <c r="D8" s="18" t="s">
        <v>21</v>
      </c>
      <c r="E8" s="19" t="s">
        <v>22</v>
      </c>
      <c r="F8" s="20"/>
      <c r="G8" s="20"/>
      <c r="H8" s="24"/>
      <c r="I8" s="22" t="n">
        <f aca="false">+I7+1</f>
        <v>16</v>
      </c>
      <c r="J8" s="23" t="s">
        <v>23</v>
      </c>
      <c r="K8" s="18" t="s">
        <v>24</v>
      </c>
      <c r="L8" s="19" t="s">
        <v>25</v>
      </c>
      <c r="M8" s="20"/>
      <c r="N8" s="24"/>
      <c r="O8" s="1"/>
    </row>
    <row r="9" s="16" customFormat="true" ht="50.15" hidden="false" customHeight="true" outlineLevel="0" collapsed="false">
      <c r="B9" s="17" t="n">
        <f aca="false">+B8+1</f>
        <v>3</v>
      </c>
      <c r="C9" s="18" t="s">
        <v>26</v>
      </c>
      <c r="D9" s="18" t="s">
        <v>27</v>
      </c>
      <c r="E9" s="19" t="s">
        <v>28</v>
      </c>
      <c r="F9" s="20"/>
      <c r="G9" s="20"/>
      <c r="H9" s="24"/>
      <c r="I9" s="22" t="n">
        <f aca="false">+I8+1</f>
        <v>17</v>
      </c>
      <c r="J9" s="23" t="s">
        <v>29</v>
      </c>
      <c r="K9" s="18" t="s">
        <v>30</v>
      </c>
      <c r="L9" s="19" t="s">
        <v>31</v>
      </c>
      <c r="M9" s="20"/>
      <c r="N9" s="24"/>
      <c r="O9" s="1"/>
    </row>
    <row r="10" s="16" customFormat="true" ht="50.15" hidden="false" customHeight="true" outlineLevel="0" collapsed="false">
      <c r="B10" s="17" t="n">
        <f aca="false">+B9+1</f>
        <v>4</v>
      </c>
      <c r="C10" s="18" t="s">
        <v>32</v>
      </c>
      <c r="D10" s="18" t="s">
        <v>33</v>
      </c>
      <c r="E10" s="19" t="s">
        <v>34</v>
      </c>
      <c r="F10" s="20"/>
      <c r="G10" s="20"/>
      <c r="H10" s="24"/>
      <c r="I10" s="22" t="n">
        <f aca="false">+I9+1</f>
        <v>18</v>
      </c>
      <c r="J10" s="23" t="s">
        <v>35</v>
      </c>
      <c r="K10" s="18" t="s">
        <v>36</v>
      </c>
      <c r="L10" s="19" t="s">
        <v>37</v>
      </c>
      <c r="M10" s="20"/>
      <c r="N10" s="24"/>
      <c r="O10" s="1"/>
    </row>
    <row r="11" s="16" customFormat="true" ht="50.15" hidden="false" customHeight="true" outlineLevel="0" collapsed="false">
      <c r="B11" s="17" t="n">
        <f aca="false">+B10+1</f>
        <v>5</v>
      </c>
      <c r="C11" s="18" t="s">
        <v>38</v>
      </c>
      <c r="D11" s="18" t="s">
        <v>39</v>
      </c>
      <c r="E11" s="19" t="s">
        <v>40</v>
      </c>
      <c r="F11" s="20"/>
      <c r="G11" s="20"/>
      <c r="H11" s="24"/>
      <c r="I11" s="22" t="n">
        <f aca="false">+I10+1</f>
        <v>19</v>
      </c>
      <c r="J11" s="18" t="s">
        <v>41</v>
      </c>
      <c r="K11" s="18" t="s">
        <v>42</v>
      </c>
      <c r="L11" s="19" t="s">
        <v>43</v>
      </c>
      <c r="M11" s="20"/>
      <c r="N11" s="24"/>
      <c r="O11" s="1"/>
    </row>
    <row r="12" s="16" customFormat="true" ht="50.15" hidden="false" customHeight="true" outlineLevel="0" collapsed="false">
      <c r="B12" s="17" t="n">
        <f aca="false">+B11+1</f>
        <v>6</v>
      </c>
      <c r="C12" s="23" t="s">
        <v>44</v>
      </c>
      <c r="D12" s="18" t="s">
        <v>45</v>
      </c>
      <c r="E12" s="19" t="s">
        <v>46</v>
      </c>
      <c r="F12" s="20"/>
      <c r="G12" s="20"/>
      <c r="H12" s="24"/>
      <c r="I12" s="22" t="n">
        <f aca="false">+I11+1</f>
        <v>20</v>
      </c>
      <c r="J12" s="23" t="s">
        <v>47</v>
      </c>
      <c r="K12" s="18" t="s">
        <v>48</v>
      </c>
      <c r="L12" s="19" t="s">
        <v>49</v>
      </c>
      <c r="M12" s="20"/>
      <c r="N12" s="24"/>
      <c r="O12" s="1"/>
    </row>
    <row r="13" s="16" customFormat="true" ht="50.15" hidden="false" customHeight="true" outlineLevel="0" collapsed="false">
      <c r="B13" s="17" t="n">
        <f aca="false">+B12+1</f>
        <v>7</v>
      </c>
      <c r="C13" s="18" t="s">
        <v>50</v>
      </c>
      <c r="D13" s="18" t="s">
        <v>51</v>
      </c>
      <c r="E13" s="19" t="s">
        <v>19</v>
      </c>
      <c r="F13" s="20"/>
      <c r="G13" s="20"/>
      <c r="H13" s="24"/>
      <c r="I13" s="22"/>
      <c r="J13" s="23"/>
      <c r="K13" s="18"/>
      <c r="L13" s="19"/>
      <c r="M13" s="20"/>
      <c r="N13" s="24"/>
      <c r="O13" s="1"/>
    </row>
    <row r="14" s="16" customFormat="true" ht="50.15" hidden="false" customHeight="true" outlineLevel="0" collapsed="false">
      <c r="B14" s="17" t="n">
        <f aca="false">+B13+1</f>
        <v>8</v>
      </c>
      <c r="C14" s="18" t="s">
        <v>52</v>
      </c>
      <c r="D14" s="18" t="s">
        <v>53</v>
      </c>
      <c r="E14" s="19" t="s">
        <v>54</v>
      </c>
      <c r="F14" s="20"/>
      <c r="G14" s="20"/>
      <c r="H14" s="24"/>
      <c r="I14" s="22"/>
      <c r="J14" s="23"/>
      <c r="K14" s="18"/>
      <c r="L14" s="19"/>
      <c r="M14" s="20"/>
      <c r="N14" s="24"/>
    </row>
    <row r="15" s="16" customFormat="true" ht="50.15" hidden="false" customHeight="true" outlineLevel="0" collapsed="false">
      <c r="B15" s="17" t="n">
        <f aca="false">+B14+1</f>
        <v>9</v>
      </c>
      <c r="C15" s="18" t="s">
        <v>55</v>
      </c>
      <c r="D15" s="18" t="s">
        <v>56</v>
      </c>
      <c r="E15" s="19" t="s">
        <v>57</v>
      </c>
      <c r="F15" s="20"/>
      <c r="G15" s="20"/>
      <c r="H15" s="24"/>
      <c r="I15" s="22"/>
      <c r="J15" s="23"/>
      <c r="K15" s="18"/>
      <c r="L15" s="19"/>
      <c r="M15" s="20"/>
      <c r="N15" s="24"/>
    </row>
    <row r="16" s="16" customFormat="true" ht="65.15" hidden="false" customHeight="true" outlineLevel="0" collapsed="false">
      <c r="B16" s="17" t="n">
        <f aca="false">+B15+1</f>
        <v>10</v>
      </c>
      <c r="C16" s="18" t="s">
        <v>58</v>
      </c>
      <c r="D16" s="18" t="s">
        <v>59</v>
      </c>
      <c r="E16" s="19" t="s">
        <v>60</v>
      </c>
      <c r="F16" s="20"/>
      <c r="G16" s="20"/>
      <c r="H16" s="24"/>
      <c r="I16" s="25"/>
      <c r="J16" s="26"/>
      <c r="K16" s="26"/>
      <c r="L16" s="26"/>
      <c r="M16" s="20"/>
      <c r="N16" s="24"/>
    </row>
    <row r="17" s="16" customFormat="true" ht="50.15" hidden="false" customHeight="true" outlineLevel="0" collapsed="false">
      <c r="B17" s="17" t="n">
        <f aca="false">+B16+1</f>
        <v>11</v>
      </c>
      <c r="C17" s="18" t="s">
        <v>61</v>
      </c>
      <c r="D17" s="18" t="s">
        <v>62</v>
      </c>
      <c r="E17" s="19" t="s">
        <v>63</v>
      </c>
      <c r="F17" s="20"/>
      <c r="G17" s="20"/>
      <c r="H17" s="24"/>
      <c r="I17" s="22"/>
      <c r="J17" s="23"/>
      <c r="K17" s="18"/>
      <c r="L17" s="19"/>
      <c r="M17" s="20"/>
      <c r="N17" s="24"/>
    </row>
    <row r="18" s="16" customFormat="true" ht="50.15" hidden="false" customHeight="true" outlineLevel="0" collapsed="false">
      <c r="B18" s="17" t="n">
        <f aca="false">+B17+1</f>
        <v>12</v>
      </c>
      <c r="C18" s="23" t="s">
        <v>64</v>
      </c>
      <c r="D18" s="18" t="s">
        <v>65</v>
      </c>
      <c r="E18" s="19" t="s">
        <v>66</v>
      </c>
      <c r="F18" s="20"/>
      <c r="G18" s="20"/>
      <c r="H18" s="24"/>
      <c r="I18" s="25"/>
      <c r="J18" s="26"/>
      <c r="K18" s="26"/>
      <c r="L18" s="26"/>
      <c r="M18" s="20"/>
      <c r="N18" s="24"/>
    </row>
    <row r="19" s="16" customFormat="true" ht="50.15" hidden="false" customHeight="true" outlineLevel="0" collapsed="false">
      <c r="B19" s="17" t="n">
        <f aca="false">+B18+1</f>
        <v>13</v>
      </c>
      <c r="C19" s="18" t="s">
        <v>67</v>
      </c>
      <c r="D19" s="18" t="s">
        <v>68</v>
      </c>
      <c r="E19" s="19" t="s">
        <v>69</v>
      </c>
      <c r="F19" s="20"/>
      <c r="G19" s="20"/>
      <c r="H19" s="24"/>
      <c r="I19" s="25"/>
      <c r="J19" s="26"/>
      <c r="K19" s="26"/>
      <c r="L19" s="26"/>
      <c r="M19" s="20"/>
      <c r="N19" s="24"/>
    </row>
    <row r="20" s="16" customFormat="true" ht="50.15" hidden="false" customHeight="true" outlineLevel="0" collapsed="false">
      <c r="B20" s="17" t="n">
        <f aca="false">+B19+1</f>
        <v>14</v>
      </c>
      <c r="C20" s="18" t="s">
        <v>67</v>
      </c>
      <c r="D20" s="18" t="s">
        <v>68</v>
      </c>
      <c r="E20" s="19" t="s">
        <v>69</v>
      </c>
      <c r="F20" s="20"/>
      <c r="G20" s="20"/>
      <c r="H20" s="24"/>
      <c r="I20" s="25"/>
      <c r="J20" s="26"/>
      <c r="K20" s="26"/>
      <c r="L20" s="26"/>
      <c r="M20" s="20"/>
      <c r="N20" s="24"/>
      <c r="P20" s="0"/>
    </row>
    <row r="21" s="16" customFormat="true" ht="50.15" hidden="false" customHeight="true" outlineLevel="0" collapsed="false">
      <c r="B21" s="17" t="n">
        <f aca="false">+B20+1</f>
        <v>15</v>
      </c>
      <c r="C21" s="18" t="s">
        <v>67</v>
      </c>
      <c r="D21" s="18" t="s">
        <v>68</v>
      </c>
      <c r="E21" s="19" t="s">
        <v>69</v>
      </c>
      <c r="F21" s="20"/>
      <c r="G21" s="20"/>
      <c r="H21" s="24"/>
      <c r="I21" s="25"/>
      <c r="J21" s="26"/>
      <c r="K21" s="26"/>
      <c r="L21" s="26"/>
      <c r="M21" s="20"/>
      <c r="N21" s="24"/>
    </row>
    <row r="22" s="16" customFormat="true" ht="50.15" hidden="false" customHeight="true" outlineLevel="0" collapsed="false">
      <c r="B22" s="17" t="n">
        <f aca="false">+B21+1</f>
        <v>16</v>
      </c>
      <c r="C22" s="18" t="s">
        <v>67</v>
      </c>
      <c r="D22" s="18" t="s">
        <v>68</v>
      </c>
      <c r="E22" s="19" t="s">
        <v>69</v>
      </c>
      <c r="F22" s="20"/>
      <c r="G22" s="20"/>
      <c r="H22" s="24"/>
      <c r="I22" s="25"/>
      <c r="J22" s="26"/>
      <c r="K22" s="26"/>
      <c r="L22" s="26"/>
      <c r="M22" s="20"/>
      <c r="N22" s="24"/>
    </row>
    <row r="23" s="16" customFormat="true" ht="50.15" hidden="false" customHeight="true" outlineLevel="0" collapsed="false">
      <c r="B23" s="17" t="n">
        <f aca="false">+B22+1</f>
        <v>17</v>
      </c>
      <c r="C23" s="18" t="s">
        <v>67</v>
      </c>
      <c r="D23" s="18" t="s">
        <v>68</v>
      </c>
      <c r="E23" s="19" t="s">
        <v>69</v>
      </c>
      <c r="F23" s="20"/>
      <c r="G23" s="20"/>
      <c r="H23" s="24"/>
      <c r="I23" s="25"/>
      <c r="J23" s="26"/>
      <c r="K23" s="26"/>
      <c r="L23" s="26"/>
      <c r="M23" s="20"/>
      <c r="N23" s="24"/>
    </row>
    <row r="24" s="16" customFormat="true" ht="50.15" hidden="false" customHeight="true" outlineLevel="0" collapsed="false">
      <c r="B24" s="17" t="n">
        <f aca="false">+B23+1</f>
        <v>18</v>
      </c>
      <c r="C24" s="18" t="s">
        <v>67</v>
      </c>
      <c r="D24" s="18" t="s">
        <v>68</v>
      </c>
      <c r="E24" s="19" t="s">
        <v>69</v>
      </c>
      <c r="F24" s="20"/>
      <c r="G24" s="20"/>
      <c r="H24" s="24"/>
      <c r="I24" s="25"/>
      <c r="J24" s="26"/>
      <c r="K24" s="26"/>
      <c r="L24" s="26"/>
      <c r="M24" s="20"/>
      <c r="N24" s="24"/>
    </row>
    <row r="25" s="16" customFormat="true" ht="50.15" hidden="false" customHeight="true" outlineLevel="0" collapsed="false">
      <c r="B25" s="17" t="n">
        <f aca="false">+B24+1</f>
        <v>19</v>
      </c>
      <c r="C25" s="18" t="s">
        <v>67</v>
      </c>
      <c r="D25" s="18" t="s">
        <v>68</v>
      </c>
      <c r="E25" s="19" t="s">
        <v>69</v>
      </c>
      <c r="F25" s="20"/>
      <c r="G25" s="20"/>
      <c r="H25" s="24"/>
      <c r="I25" s="25"/>
      <c r="J25" s="26"/>
      <c r="K25" s="26"/>
      <c r="L25" s="26"/>
      <c r="M25" s="20"/>
      <c r="N25" s="24"/>
    </row>
    <row r="26" s="16" customFormat="true" ht="50.15" hidden="false" customHeight="true" outlineLevel="0" collapsed="false">
      <c r="B26" s="17" t="n">
        <f aca="false">+B25+1</f>
        <v>20</v>
      </c>
      <c r="C26" s="18" t="s">
        <v>67</v>
      </c>
      <c r="D26" s="18" t="s">
        <v>68</v>
      </c>
      <c r="E26" s="19" t="s">
        <v>69</v>
      </c>
      <c r="F26" s="20"/>
      <c r="G26" s="20"/>
      <c r="H26" s="24"/>
      <c r="I26" s="25"/>
      <c r="J26" s="26"/>
      <c r="K26" s="26"/>
      <c r="L26" s="26"/>
      <c r="M26" s="20"/>
      <c r="N26" s="24"/>
    </row>
    <row r="27" s="16" customFormat="true" ht="50.15" hidden="false" customHeight="true" outlineLevel="0" collapsed="false">
      <c r="B27" s="17" t="n">
        <f aca="false">+B26+1</f>
        <v>21</v>
      </c>
      <c r="C27" s="18" t="s">
        <v>67</v>
      </c>
      <c r="D27" s="18" t="s">
        <v>68</v>
      </c>
      <c r="E27" s="19" t="s">
        <v>69</v>
      </c>
      <c r="F27" s="20"/>
      <c r="G27" s="20"/>
      <c r="H27" s="24"/>
      <c r="I27" s="25"/>
      <c r="J27" s="26"/>
      <c r="K27" s="26"/>
      <c r="L27" s="26"/>
      <c r="M27" s="20"/>
      <c r="N27" s="24"/>
    </row>
    <row r="28" s="16" customFormat="true" ht="50.15" hidden="false" customHeight="true" outlineLevel="0" collapsed="false">
      <c r="B28" s="17" t="n">
        <f aca="false">+B27+1</f>
        <v>22</v>
      </c>
      <c r="C28" s="18" t="s">
        <v>67</v>
      </c>
      <c r="D28" s="18" t="s">
        <v>68</v>
      </c>
      <c r="E28" s="19" t="s">
        <v>69</v>
      </c>
      <c r="F28" s="20"/>
      <c r="G28" s="20"/>
      <c r="H28" s="24"/>
      <c r="I28" s="25"/>
      <c r="J28" s="26"/>
      <c r="K28" s="26"/>
      <c r="L28" s="26"/>
      <c r="M28" s="20"/>
      <c r="N28" s="24"/>
    </row>
    <row r="29" s="16" customFormat="true" ht="50.15" hidden="false" customHeight="true" outlineLevel="0" collapsed="false">
      <c r="B29" s="17" t="n">
        <f aca="false">+B28+1</f>
        <v>23</v>
      </c>
      <c r="C29" s="18" t="s">
        <v>67</v>
      </c>
      <c r="D29" s="18" t="s">
        <v>68</v>
      </c>
      <c r="E29" s="19" t="s">
        <v>69</v>
      </c>
      <c r="F29" s="20"/>
      <c r="G29" s="20"/>
      <c r="H29" s="24"/>
      <c r="I29" s="25"/>
      <c r="J29" s="26"/>
      <c r="K29" s="26"/>
      <c r="L29" s="26"/>
      <c r="M29" s="20"/>
      <c r="N29" s="24"/>
    </row>
    <row r="30" s="16" customFormat="true" ht="50.15" hidden="false" customHeight="true" outlineLevel="0" collapsed="false">
      <c r="B30" s="17" t="n">
        <f aca="false">+B29+1</f>
        <v>24</v>
      </c>
      <c r="C30" s="18" t="s">
        <v>67</v>
      </c>
      <c r="D30" s="18" t="s">
        <v>68</v>
      </c>
      <c r="E30" s="19" t="s">
        <v>69</v>
      </c>
      <c r="F30" s="20"/>
      <c r="G30" s="20"/>
      <c r="H30" s="24"/>
      <c r="I30" s="25"/>
      <c r="J30" s="26"/>
      <c r="K30" s="26"/>
      <c r="L30" s="26"/>
      <c r="M30" s="20"/>
      <c r="N30" s="24"/>
    </row>
    <row r="31" s="16" customFormat="true" ht="50.15" hidden="false" customHeight="true" outlineLevel="0" collapsed="false">
      <c r="B31" s="27" t="n">
        <f aca="false">+B19+1</f>
        <v>14</v>
      </c>
      <c r="C31" s="28" t="s">
        <v>70</v>
      </c>
      <c r="D31" s="28" t="s">
        <v>71</v>
      </c>
      <c r="E31" s="29" t="s">
        <v>72</v>
      </c>
      <c r="F31" s="30"/>
      <c r="G31" s="30"/>
      <c r="H31" s="31"/>
      <c r="I31" s="32"/>
      <c r="J31" s="33"/>
      <c r="K31" s="33"/>
      <c r="L31" s="33"/>
      <c r="M31" s="30"/>
      <c r="N31" s="31"/>
    </row>
    <row r="32" s="16" customFormat="true" ht="43.5" hidden="false" customHeight="true" outlineLevel="0" collapsed="false"/>
    <row r="33" s="16" customFormat="true" ht="43.5" hidden="false" customHeight="true" outlineLevel="0" collapsed="false">
      <c r="B33" s="34" t="s">
        <v>73</v>
      </c>
      <c r="C33" s="34"/>
      <c r="D33" s="35" t="s">
        <v>74</v>
      </c>
      <c r="E33" s="35" t="s">
        <v>75</v>
      </c>
      <c r="F33" s="35"/>
      <c r="G33" s="35"/>
      <c r="H33" s="35"/>
      <c r="I33" s="35"/>
      <c r="J33" s="35"/>
      <c r="K33" s="35"/>
      <c r="L33" s="35"/>
      <c r="M33" s="36" t="s">
        <v>76</v>
      </c>
      <c r="N33" s="36"/>
    </row>
    <row r="34" s="16" customFormat="true" ht="43.5" hidden="false" customHeight="true" outlineLevel="0" collapsed="false">
      <c r="A34" s="7" t="n">
        <v>1</v>
      </c>
      <c r="B34" s="37"/>
      <c r="C34" s="37"/>
      <c r="D34" s="38"/>
      <c r="E34" s="38"/>
      <c r="F34" s="38"/>
      <c r="G34" s="38"/>
      <c r="H34" s="38"/>
      <c r="I34" s="38"/>
      <c r="J34" s="38"/>
      <c r="K34" s="38"/>
      <c r="L34" s="38"/>
      <c r="M34" s="39"/>
      <c r="N34" s="39"/>
    </row>
    <row r="35" s="16" customFormat="true" ht="43.5" hidden="false" customHeight="true" outlineLevel="0" collapsed="false">
      <c r="A35" s="7" t="n">
        <f aca="false">+A34+1</f>
        <v>2</v>
      </c>
      <c r="B35" s="40"/>
      <c r="C35" s="40"/>
      <c r="D35" s="41"/>
      <c r="E35" s="41"/>
      <c r="F35" s="41"/>
      <c r="G35" s="41"/>
      <c r="H35" s="41"/>
      <c r="I35" s="41"/>
      <c r="J35" s="41"/>
      <c r="K35" s="41"/>
      <c r="L35" s="41"/>
      <c r="M35" s="42"/>
      <c r="N35" s="42"/>
    </row>
    <row r="36" customFormat="false" ht="48" hidden="false" customHeight="true" outlineLevel="0" collapsed="false">
      <c r="A36" s="7" t="n">
        <f aca="false">+A35+1</f>
        <v>3</v>
      </c>
      <c r="B36" s="40"/>
      <c r="C36" s="40"/>
      <c r="D36" s="41"/>
      <c r="E36" s="41"/>
      <c r="F36" s="41"/>
      <c r="G36" s="41"/>
      <c r="H36" s="41"/>
      <c r="I36" s="41"/>
      <c r="J36" s="41"/>
      <c r="K36" s="41"/>
      <c r="L36" s="41"/>
      <c r="M36" s="42"/>
      <c r="N36" s="42"/>
    </row>
    <row r="37" customFormat="false" ht="48" hidden="false" customHeight="true" outlineLevel="0" collapsed="false">
      <c r="A37" s="7" t="n">
        <f aca="false">+A36+1</f>
        <v>4</v>
      </c>
      <c r="B37" s="40"/>
      <c r="C37" s="40"/>
      <c r="D37" s="41"/>
      <c r="E37" s="41"/>
      <c r="F37" s="41"/>
      <c r="G37" s="41"/>
      <c r="H37" s="41"/>
      <c r="I37" s="41"/>
      <c r="J37" s="41"/>
      <c r="K37" s="41"/>
      <c r="L37" s="41"/>
      <c r="M37" s="42"/>
      <c r="N37" s="42"/>
    </row>
    <row r="38" customFormat="false" ht="48" hidden="false" customHeight="true" outlineLevel="0" collapsed="false">
      <c r="A38" s="7" t="n">
        <f aca="false">+A37+1</f>
        <v>5</v>
      </c>
      <c r="B38" s="40"/>
      <c r="C38" s="40"/>
      <c r="D38" s="41"/>
      <c r="E38" s="41"/>
      <c r="F38" s="41"/>
      <c r="G38" s="41"/>
      <c r="H38" s="41"/>
      <c r="I38" s="41"/>
      <c r="J38" s="41"/>
      <c r="K38" s="41"/>
      <c r="L38" s="41"/>
      <c r="M38" s="42"/>
      <c r="N38" s="42"/>
    </row>
    <row r="39" customFormat="false" ht="48" hidden="false" customHeight="true" outlineLevel="0" collapsed="false">
      <c r="A39" s="7" t="n">
        <f aca="false">+A38+1</f>
        <v>6</v>
      </c>
      <c r="B39" s="40"/>
      <c r="C39" s="40"/>
      <c r="D39" s="41"/>
      <c r="E39" s="41"/>
      <c r="F39" s="41"/>
      <c r="G39" s="41"/>
      <c r="H39" s="41"/>
      <c r="I39" s="41"/>
      <c r="J39" s="41"/>
      <c r="K39" s="41"/>
      <c r="L39" s="41"/>
      <c r="M39" s="42"/>
      <c r="N39" s="42"/>
    </row>
    <row r="40" customFormat="false" ht="48" hidden="false" customHeight="true" outlineLevel="0" collapsed="false">
      <c r="A40" s="7" t="n">
        <f aca="false">+A39+1</f>
        <v>7</v>
      </c>
      <c r="B40" s="40"/>
      <c r="C40" s="40"/>
      <c r="D40" s="41"/>
      <c r="E40" s="41"/>
      <c r="F40" s="41"/>
      <c r="G40" s="41"/>
      <c r="H40" s="41"/>
      <c r="I40" s="41"/>
      <c r="J40" s="41"/>
      <c r="K40" s="41"/>
      <c r="L40" s="41"/>
      <c r="M40" s="42"/>
      <c r="N40" s="42"/>
    </row>
    <row r="41" customFormat="false" ht="48" hidden="false" customHeight="true" outlineLevel="0" collapsed="false">
      <c r="A41" s="7" t="n">
        <f aca="false">+A40+1</f>
        <v>8</v>
      </c>
      <c r="B41" s="40"/>
      <c r="C41" s="40"/>
      <c r="D41" s="41"/>
      <c r="E41" s="41"/>
      <c r="F41" s="41"/>
      <c r="G41" s="41"/>
      <c r="H41" s="41"/>
      <c r="I41" s="41"/>
      <c r="J41" s="41"/>
      <c r="K41" s="41"/>
      <c r="L41" s="41"/>
      <c r="M41" s="42"/>
      <c r="N41" s="42"/>
    </row>
    <row r="42" customFormat="false" ht="48" hidden="false" customHeight="true" outlineLevel="0" collapsed="false">
      <c r="A42" s="7" t="n">
        <f aca="false">+A41+1</f>
        <v>9</v>
      </c>
      <c r="B42" s="40"/>
      <c r="C42" s="40"/>
      <c r="D42" s="41"/>
      <c r="E42" s="41"/>
      <c r="F42" s="41"/>
      <c r="G42" s="41"/>
      <c r="H42" s="41"/>
      <c r="I42" s="41"/>
      <c r="J42" s="41"/>
      <c r="K42" s="41"/>
      <c r="L42" s="41"/>
      <c r="M42" s="42"/>
      <c r="N42" s="42"/>
    </row>
    <row r="43" customFormat="false" ht="48" hidden="false" customHeight="true" outlineLevel="0" collapsed="false">
      <c r="A43" s="7" t="n">
        <f aca="false">+A42+1</f>
        <v>10</v>
      </c>
      <c r="B43" s="40"/>
      <c r="C43" s="40"/>
      <c r="D43" s="41"/>
      <c r="E43" s="41"/>
      <c r="F43" s="41"/>
      <c r="G43" s="41"/>
      <c r="H43" s="41"/>
      <c r="I43" s="41"/>
      <c r="J43" s="41"/>
      <c r="K43" s="41"/>
      <c r="L43" s="41"/>
      <c r="M43" s="42"/>
      <c r="N43" s="42"/>
    </row>
    <row r="44" customFormat="false" ht="48" hidden="false" customHeight="true" outlineLevel="0" collapsed="false">
      <c r="A44" s="7" t="n">
        <f aca="false">+A43+1</f>
        <v>11</v>
      </c>
      <c r="B44" s="40"/>
      <c r="C44" s="40"/>
      <c r="D44" s="41"/>
      <c r="E44" s="41"/>
      <c r="F44" s="41"/>
      <c r="G44" s="41"/>
      <c r="H44" s="41"/>
      <c r="I44" s="41"/>
      <c r="J44" s="41"/>
      <c r="K44" s="41"/>
      <c r="L44" s="41"/>
      <c r="M44" s="42"/>
      <c r="N44" s="42"/>
    </row>
    <row r="45" customFormat="false" ht="48" hidden="false" customHeight="true" outlineLevel="0" collapsed="false">
      <c r="A45" s="7" t="n">
        <f aca="false">+A44+1</f>
        <v>12</v>
      </c>
      <c r="B45" s="40"/>
      <c r="C45" s="40"/>
      <c r="D45" s="41"/>
      <c r="E45" s="41"/>
      <c r="F45" s="41"/>
      <c r="G45" s="41"/>
      <c r="H45" s="41"/>
      <c r="I45" s="41"/>
      <c r="J45" s="41"/>
      <c r="K45" s="41"/>
      <c r="L45" s="41"/>
      <c r="M45" s="42"/>
      <c r="N45" s="42"/>
    </row>
    <row r="46" customFormat="false" ht="48" hidden="false" customHeight="true" outlineLevel="0" collapsed="false">
      <c r="A46" s="7" t="n">
        <f aca="false">+A45+1</f>
        <v>13</v>
      </c>
      <c r="B46" s="40"/>
      <c r="C46" s="40"/>
      <c r="D46" s="41"/>
      <c r="E46" s="41"/>
      <c r="F46" s="41"/>
      <c r="G46" s="41"/>
      <c r="H46" s="41"/>
      <c r="I46" s="41"/>
      <c r="J46" s="41"/>
      <c r="K46" s="41"/>
      <c r="L46" s="41"/>
      <c r="M46" s="42"/>
      <c r="N46" s="42"/>
    </row>
    <row r="47" customFormat="false" ht="48" hidden="false" customHeight="true" outlineLevel="0" collapsed="false">
      <c r="A47" s="7" t="n">
        <f aca="false">+A46+1</f>
        <v>14</v>
      </c>
      <c r="B47" s="40"/>
      <c r="C47" s="40"/>
      <c r="D47" s="41"/>
      <c r="E47" s="41"/>
      <c r="F47" s="41"/>
      <c r="G47" s="41"/>
      <c r="H47" s="41"/>
      <c r="I47" s="41"/>
      <c r="J47" s="41"/>
      <c r="K47" s="41"/>
      <c r="L47" s="41"/>
      <c r="M47" s="42"/>
      <c r="N47" s="42"/>
    </row>
    <row r="48" customFormat="false" ht="48" hidden="false" customHeight="true" outlineLevel="0" collapsed="false">
      <c r="A48" s="7" t="n">
        <f aca="false">+A47+1</f>
        <v>15</v>
      </c>
      <c r="B48" s="40"/>
      <c r="C48" s="40"/>
      <c r="D48" s="41"/>
      <c r="E48" s="41"/>
      <c r="F48" s="41"/>
      <c r="G48" s="41"/>
      <c r="H48" s="41"/>
      <c r="I48" s="41"/>
      <c r="J48" s="41"/>
      <c r="K48" s="41"/>
      <c r="L48" s="41"/>
      <c r="M48" s="42"/>
      <c r="N48" s="42"/>
    </row>
    <row r="49" customFormat="false" ht="48" hidden="false" customHeight="true" outlineLevel="0" collapsed="false">
      <c r="A49" s="7" t="n">
        <f aca="false">+A48+1</f>
        <v>16</v>
      </c>
      <c r="B49" s="40"/>
      <c r="C49" s="40"/>
      <c r="D49" s="41"/>
      <c r="E49" s="41"/>
      <c r="F49" s="41"/>
      <c r="G49" s="41"/>
      <c r="H49" s="41"/>
      <c r="I49" s="41"/>
      <c r="J49" s="41"/>
      <c r="K49" s="41"/>
      <c r="L49" s="41"/>
      <c r="M49" s="42"/>
      <c r="N49" s="42"/>
    </row>
    <row r="50" customFormat="false" ht="48" hidden="false" customHeight="true" outlineLevel="0" collapsed="false">
      <c r="A50" s="7" t="n">
        <f aca="false">+A49+1</f>
        <v>17</v>
      </c>
      <c r="B50" s="40"/>
      <c r="C50" s="40"/>
      <c r="D50" s="41"/>
      <c r="E50" s="41"/>
      <c r="F50" s="41"/>
      <c r="G50" s="41"/>
      <c r="H50" s="41"/>
      <c r="I50" s="41"/>
      <c r="J50" s="41"/>
      <c r="K50" s="41"/>
      <c r="L50" s="41"/>
      <c r="M50" s="42"/>
      <c r="N50" s="42"/>
    </row>
    <row r="51" customFormat="false" ht="48" hidden="false" customHeight="true" outlineLevel="0" collapsed="false">
      <c r="A51" s="7" t="n">
        <f aca="false">+A50+1</f>
        <v>18</v>
      </c>
      <c r="B51" s="40"/>
      <c r="C51" s="40"/>
      <c r="D51" s="41"/>
      <c r="E51" s="41"/>
      <c r="F51" s="41"/>
      <c r="G51" s="41"/>
      <c r="H51" s="41"/>
      <c r="I51" s="41"/>
      <c r="J51" s="41"/>
      <c r="K51" s="41"/>
      <c r="L51" s="41"/>
      <c r="M51" s="42"/>
      <c r="N51" s="42"/>
    </row>
    <row r="52" customFormat="false" ht="48" hidden="false" customHeight="true" outlineLevel="0" collapsed="false">
      <c r="A52" s="7" t="n">
        <f aca="false">+A51+1</f>
        <v>19</v>
      </c>
      <c r="B52" s="40"/>
      <c r="C52" s="40"/>
      <c r="D52" s="41"/>
      <c r="E52" s="41"/>
      <c r="F52" s="41"/>
      <c r="G52" s="41"/>
      <c r="H52" s="41"/>
      <c r="I52" s="41"/>
      <c r="J52" s="41"/>
      <c r="K52" s="41"/>
      <c r="L52" s="41"/>
      <c r="M52" s="42"/>
      <c r="N52" s="42"/>
    </row>
    <row r="53" customFormat="false" ht="48" hidden="false" customHeight="true" outlineLevel="0" collapsed="false">
      <c r="A53" s="7" t="n">
        <f aca="false">+A52+1</f>
        <v>20</v>
      </c>
      <c r="B53" s="40"/>
      <c r="C53" s="40"/>
      <c r="D53" s="41"/>
      <c r="E53" s="41"/>
      <c r="F53" s="41"/>
      <c r="G53" s="41"/>
      <c r="H53" s="41"/>
      <c r="I53" s="41"/>
      <c r="J53" s="41"/>
      <c r="K53" s="41"/>
      <c r="L53" s="41"/>
      <c r="M53" s="42"/>
      <c r="N53" s="42"/>
    </row>
    <row r="54" customFormat="false" ht="48" hidden="false" customHeight="true" outlineLevel="0" collapsed="false">
      <c r="A54" s="7" t="n">
        <f aca="false">+A53+1</f>
        <v>21</v>
      </c>
      <c r="B54" s="40"/>
      <c r="C54" s="40"/>
      <c r="D54" s="41"/>
      <c r="E54" s="41"/>
      <c r="F54" s="41"/>
      <c r="G54" s="41"/>
      <c r="H54" s="41"/>
      <c r="I54" s="41"/>
      <c r="J54" s="41"/>
      <c r="K54" s="41"/>
      <c r="L54" s="41"/>
      <c r="M54" s="42"/>
      <c r="N54" s="42"/>
    </row>
    <row r="55" customFormat="false" ht="48" hidden="false" customHeight="true" outlineLevel="0" collapsed="false">
      <c r="A55" s="7" t="n">
        <f aca="false">+A54+1</f>
        <v>22</v>
      </c>
      <c r="B55" s="40"/>
      <c r="C55" s="40"/>
      <c r="D55" s="41"/>
      <c r="E55" s="41"/>
      <c r="F55" s="41"/>
      <c r="G55" s="41"/>
      <c r="H55" s="41"/>
      <c r="I55" s="41"/>
      <c r="J55" s="41"/>
      <c r="K55" s="41"/>
      <c r="L55" s="41"/>
      <c r="M55" s="42"/>
      <c r="N55" s="42"/>
    </row>
    <row r="56" customFormat="false" ht="48" hidden="false" customHeight="true" outlineLevel="0" collapsed="false">
      <c r="A56" s="7" t="n">
        <f aca="false">+A55+1</f>
        <v>23</v>
      </c>
      <c r="B56" s="40"/>
      <c r="C56" s="40"/>
      <c r="D56" s="41"/>
      <c r="E56" s="41"/>
      <c r="F56" s="41"/>
      <c r="G56" s="41"/>
      <c r="H56" s="41"/>
      <c r="I56" s="41"/>
      <c r="J56" s="41"/>
      <c r="K56" s="41"/>
      <c r="L56" s="41"/>
      <c r="M56" s="42"/>
      <c r="N56" s="42"/>
    </row>
    <row r="57" customFormat="false" ht="48" hidden="false" customHeight="true" outlineLevel="0" collapsed="false">
      <c r="A57" s="7" t="n">
        <f aca="false">+A56+1</f>
        <v>24</v>
      </c>
      <c r="B57" s="40"/>
      <c r="C57" s="40"/>
      <c r="D57" s="41"/>
      <c r="E57" s="41"/>
      <c r="F57" s="41"/>
      <c r="G57" s="41"/>
      <c r="H57" s="41"/>
      <c r="I57" s="41"/>
      <c r="J57" s="41"/>
      <c r="K57" s="41"/>
      <c r="L57" s="41"/>
      <c r="M57" s="42"/>
      <c r="N57" s="42"/>
    </row>
    <row r="58" customFormat="false" ht="48" hidden="false" customHeight="true" outlineLevel="0" collapsed="false">
      <c r="A58" s="7" t="n">
        <f aca="false">+A57+1</f>
        <v>25</v>
      </c>
      <c r="B58" s="40"/>
      <c r="C58" s="40"/>
      <c r="D58" s="41"/>
      <c r="E58" s="41"/>
      <c r="F58" s="41"/>
      <c r="G58" s="41"/>
      <c r="H58" s="41"/>
      <c r="I58" s="41"/>
      <c r="J58" s="41"/>
      <c r="K58" s="41"/>
      <c r="L58" s="41"/>
      <c r="M58" s="42"/>
      <c r="N58" s="42"/>
    </row>
    <row r="59" customFormat="false" ht="48" hidden="false" customHeight="true" outlineLevel="0" collapsed="false">
      <c r="A59" s="7" t="n">
        <f aca="false">+A58+1</f>
        <v>26</v>
      </c>
      <c r="B59" s="40"/>
      <c r="C59" s="40"/>
      <c r="D59" s="41"/>
      <c r="E59" s="41"/>
      <c r="F59" s="41"/>
      <c r="G59" s="41"/>
      <c r="H59" s="41"/>
      <c r="I59" s="41"/>
      <c r="J59" s="41"/>
      <c r="K59" s="41"/>
      <c r="L59" s="41"/>
      <c r="M59" s="42"/>
      <c r="N59" s="42"/>
    </row>
    <row r="60" customFormat="false" ht="48" hidden="false" customHeight="true" outlineLevel="0" collapsed="false">
      <c r="A60" s="7" t="n">
        <f aca="false">+A59+1</f>
        <v>27</v>
      </c>
      <c r="B60" s="40"/>
      <c r="C60" s="40"/>
      <c r="D60" s="41"/>
      <c r="E60" s="41"/>
      <c r="F60" s="41"/>
      <c r="G60" s="41"/>
      <c r="H60" s="41"/>
      <c r="I60" s="41"/>
      <c r="J60" s="41"/>
      <c r="K60" s="41"/>
      <c r="L60" s="41"/>
      <c r="M60" s="42"/>
      <c r="N60" s="42"/>
    </row>
    <row r="61" customFormat="false" ht="48" hidden="false" customHeight="true" outlineLevel="0" collapsed="false">
      <c r="A61" s="7" t="n">
        <f aca="false">+A60+1</f>
        <v>28</v>
      </c>
      <c r="B61" s="40"/>
      <c r="C61" s="40"/>
      <c r="D61" s="41"/>
      <c r="E61" s="41"/>
      <c r="F61" s="41"/>
      <c r="G61" s="41"/>
      <c r="H61" s="41"/>
      <c r="I61" s="41"/>
      <c r="J61" s="41"/>
      <c r="K61" s="41"/>
      <c r="L61" s="41"/>
      <c r="M61" s="42"/>
      <c r="N61" s="42"/>
    </row>
    <row r="62" customFormat="false" ht="48" hidden="false" customHeight="true" outlineLevel="0" collapsed="false">
      <c r="A62" s="7" t="n">
        <f aca="false">+A61+1</f>
        <v>29</v>
      </c>
      <c r="B62" s="40"/>
      <c r="C62" s="40"/>
      <c r="D62" s="41"/>
      <c r="E62" s="41"/>
      <c r="F62" s="41"/>
      <c r="G62" s="41"/>
      <c r="H62" s="41"/>
      <c r="I62" s="41"/>
      <c r="J62" s="41"/>
      <c r="K62" s="41"/>
      <c r="L62" s="41"/>
      <c r="M62" s="42"/>
      <c r="N62" s="42"/>
    </row>
    <row r="63" customFormat="false" ht="48" hidden="false" customHeight="true" outlineLevel="0" collapsed="false">
      <c r="A63" s="7" t="n">
        <f aca="false">+A62+1</f>
        <v>30</v>
      </c>
      <c r="B63" s="40"/>
      <c r="C63" s="40"/>
      <c r="D63" s="41"/>
      <c r="E63" s="41"/>
      <c r="F63" s="41"/>
      <c r="G63" s="41"/>
      <c r="H63" s="41"/>
      <c r="I63" s="41"/>
      <c r="J63" s="41"/>
      <c r="K63" s="41"/>
      <c r="L63" s="41"/>
      <c r="M63" s="42"/>
      <c r="N63" s="42"/>
    </row>
    <row r="64" customFormat="false" ht="48" hidden="false" customHeight="true" outlineLevel="0" collapsed="false">
      <c r="A64" s="7" t="n">
        <f aca="false">+A63+1</f>
        <v>31</v>
      </c>
      <c r="B64" s="40"/>
      <c r="C64" s="40"/>
      <c r="D64" s="41"/>
      <c r="E64" s="41"/>
      <c r="F64" s="41"/>
      <c r="G64" s="41"/>
      <c r="H64" s="41"/>
      <c r="I64" s="41"/>
      <c r="J64" s="41"/>
      <c r="K64" s="41"/>
      <c r="L64" s="41"/>
      <c r="M64" s="42"/>
      <c r="N64" s="42"/>
    </row>
    <row r="65" customFormat="false" ht="48" hidden="false" customHeight="true" outlineLevel="0" collapsed="false">
      <c r="A65" s="7" t="n">
        <f aca="false">+A64+1</f>
        <v>32</v>
      </c>
      <c r="B65" s="40"/>
      <c r="C65" s="40"/>
      <c r="D65" s="41"/>
      <c r="E65" s="41"/>
      <c r="F65" s="41"/>
      <c r="G65" s="41"/>
      <c r="H65" s="41"/>
      <c r="I65" s="41"/>
      <c r="J65" s="41"/>
      <c r="K65" s="41"/>
      <c r="L65" s="41"/>
      <c r="M65" s="42"/>
      <c r="N65" s="42"/>
    </row>
    <row r="66" customFormat="false" ht="48" hidden="false" customHeight="true" outlineLevel="0" collapsed="false">
      <c r="A66" s="7" t="n">
        <f aca="false">+A65+1</f>
        <v>33</v>
      </c>
      <c r="B66" s="40"/>
      <c r="C66" s="40"/>
      <c r="D66" s="41"/>
      <c r="E66" s="41"/>
      <c r="F66" s="41"/>
      <c r="G66" s="41"/>
      <c r="H66" s="41"/>
      <c r="I66" s="41"/>
      <c r="J66" s="41"/>
      <c r="K66" s="41"/>
      <c r="L66" s="41"/>
      <c r="M66" s="42"/>
      <c r="N66" s="42"/>
    </row>
    <row r="67" customFormat="false" ht="48" hidden="false" customHeight="true" outlineLevel="0" collapsed="false">
      <c r="A67" s="7" t="n">
        <f aca="false">+A66+1</f>
        <v>34</v>
      </c>
      <c r="B67" s="40"/>
      <c r="C67" s="40"/>
      <c r="D67" s="41"/>
      <c r="E67" s="41"/>
      <c r="F67" s="41"/>
      <c r="G67" s="41"/>
      <c r="H67" s="41"/>
      <c r="I67" s="41"/>
      <c r="J67" s="41"/>
      <c r="K67" s="41"/>
      <c r="L67" s="41"/>
      <c r="M67" s="42"/>
      <c r="N67" s="42"/>
    </row>
    <row r="68" customFormat="false" ht="48" hidden="false" customHeight="true" outlineLevel="0" collapsed="false">
      <c r="A68" s="7" t="n">
        <f aca="false">+A67+1</f>
        <v>35</v>
      </c>
      <c r="B68" s="40"/>
      <c r="C68" s="40"/>
      <c r="D68" s="41"/>
      <c r="E68" s="41"/>
      <c r="F68" s="41"/>
      <c r="G68" s="41"/>
      <c r="H68" s="41"/>
      <c r="I68" s="41"/>
      <c r="J68" s="41"/>
      <c r="K68" s="41"/>
      <c r="L68" s="41"/>
      <c r="M68" s="42"/>
      <c r="N68" s="42"/>
    </row>
    <row r="69" customFormat="false" ht="48" hidden="false" customHeight="true" outlineLevel="0" collapsed="false">
      <c r="A69" s="7" t="n">
        <f aca="false">+A68+1</f>
        <v>36</v>
      </c>
      <c r="B69" s="40"/>
      <c r="C69" s="40"/>
      <c r="D69" s="41"/>
      <c r="E69" s="41"/>
      <c r="F69" s="41"/>
      <c r="G69" s="41"/>
      <c r="H69" s="41"/>
      <c r="I69" s="41"/>
      <c r="J69" s="41"/>
      <c r="K69" s="41"/>
      <c r="L69" s="41"/>
      <c r="M69" s="42"/>
      <c r="N69" s="42"/>
    </row>
    <row r="70" customFormat="false" ht="48" hidden="false" customHeight="true" outlineLevel="0" collapsed="false">
      <c r="A70" s="7" t="n">
        <f aca="false">+A69+1</f>
        <v>37</v>
      </c>
      <c r="B70" s="40"/>
      <c r="C70" s="40"/>
      <c r="D70" s="41"/>
      <c r="E70" s="41"/>
      <c r="F70" s="41"/>
      <c r="G70" s="41"/>
      <c r="H70" s="41"/>
      <c r="I70" s="41"/>
      <c r="J70" s="41"/>
      <c r="K70" s="41"/>
      <c r="L70" s="41"/>
      <c r="M70" s="42"/>
      <c r="N70" s="42"/>
    </row>
    <row r="71" customFormat="false" ht="48" hidden="false" customHeight="true" outlineLevel="0" collapsed="false">
      <c r="A71" s="7" t="n">
        <f aca="false">+A70+1</f>
        <v>38</v>
      </c>
      <c r="B71" s="40"/>
      <c r="C71" s="40"/>
      <c r="D71" s="41"/>
      <c r="E71" s="41"/>
      <c r="F71" s="41"/>
      <c r="G71" s="41"/>
      <c r="H71" s="41"/>
      <c r="I71" s="41"/>
      <c r="J71" s="41"/>
      <c r="K71" s="41"/>
      <c r="L71" s="41"/>
      <c r="M71" s="42"/>
      <c r="N71" s="42"/>
    </row>
    <row r="72" customFormat="false" ht="48" hidden="false" customHeight="true" outlineLevel="0" collapsed="false">
      <c r="A72" s="7" t="n">
        <f aca="false">+A71+1</f>
        <v>39</v>
      </c>
      <c r="B72" s="40"/>
      <c r="C72" s="40"/>
      <c r="D72" s="41"/>
      <c r="E72" s="41"/>
      <c r="F72" s="41"/>
      <c r="G72" s="41"/>
      <c r="H72" s="41"/>
      <c r="I72" s="41"/>
      <c r="J72" s="41"/>
      <c r="K72" s="41"/>
      <c r="L72" s="41"/>
      <c r="M72" s="42"/>
      <c r="N72" s="42"/>
    </row>
    <row r="73" customFormat="false" ht="48" hidden="false" customHeight="true" outlineLevel="0" collapsed="false">
      <c r="A73" s="7" t="n">
        <f aca="false">+A36+1</f>
        <v>4</v>
      </c>
      <c r="B73" s="40"/>
      <c r="C73" s="40"/>
      <c r="D73" s="41"/>
      <c r="E73" s="41"/>
      <c r="F73" s="41"/>
      <c r="G73" s="41"/>
      <c r="H73" s="41"/>
      <c r="I73" s="41"/>
      <c r="J73" s="41"/>
      <c r="K73" s="41"/>
      <c r="L73" s="41"/>
      <c r="M73" s="42"/>
      <c r="N73" s="42"/>
    </row>
    <row r="74" s="7" customFormat="true" ht="33" hidden="false" customHeight="true" outlineLevel="0" collapsed="false">
      <c r="N74" s="43"/>
    </row>
    <row r="75" s="7" customFormat="true" ht="33" hidden="false" customHeight="true" outlineLevel="0" collapsed="false">
      <c r="N75" s="43"/>
    </row>
  </sheetData>
  <mergeCells count="156">
    <mergeCell ref="E2:N3"/>
    <mergeCell ref="B4:C4"/>
    <mergeCell ref="E4:F4"/>
    <mergeCell ref="G4:H4"/>
    <mergeCell ref="J4:K4"/>
    <mergeCell ref="M4:N4"/>
    <mergeCell ref="B5:L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B33:C33"/>
    <mergeCell ref="E33:L33"/>
    <mergeCell ref="M33:N33"/>
    <mergeCell ref="B34:C34"/>
    <mergeCell ref="E34:L34"/>
    <mergeCell ref="M34:N34"/>
    <mergeCell ref="B35:C35"/>
    <mergeCell ref="E35:L35"/>
    <mergeCell ref="M35:N35"/>
    <mergeCell ref="B36:C36"/>
    <mergeCell ref="E36:L36"/>
    <mergeCell ref="M36:N36"/>
    <mergeCell ref="B37:C37"/>
    <mergeCell ref="E37:L37"/>
    <mergeCell ref="M37:N37"/>
    <mergeCell ref="B38:C38"/>
    <mergeCell ref="E38:L38"/>
    <mergeCell ref="M38:N38"/>
    <mergeCell ref="B39:C39"/>
    <mergeCell ref="E39:L39"/>
    <mergeCell ref="M39:N39"/>
    <mergeCell ref="B40:C40"/>
    <mergeCell ref="E40:L40"/>
    <mergeCell ref="M40:N40"/>
    <mergeCell ref="B41:C41"/>
    <mergeCell ref="E41:L41"/>
    <mergeCell ref="M41:N41"/>
    <mergeCell ref="B42:C42"/>
    <mergeCell ref="E42:L42"/>
    <mergeCell ref="M42:N42"/>
    <mergeCell ref="B43:C43"/>
    <mergeCell ref="E43:L43"/>
    <mergeCell ref="M43:N43"/>
    <mergeCell ref="B44:C44"/>
    <mergeCell ref="E44:L44"/>
    <mergeCell ref="M44:N44"/>
    <mergeCell ref="B45:C45"/>
    <mergeCell ref="E45:L45"/>
    <mergeCell ref="M45:N45"/>
    <mergeCell ref="B46:C46"/>
    <mergeCell ref="E46:L46"/>
    <mergeCell ref="M46:N46"/>
    <mergeCell ref="B47:C47"/>
    <mergeCell ref="E47:L47"/>
    <mergeCell ref="M47:N47"/>
    <mergeCell ref="B48:C48"/>
    <mergeCell ref="E48:L48"/>
    <mergeCell ref="M48:N48"/>
    <mergeCell ref="B49:C49"/>
    <mergeCell ref="E49:L49"/>
    <mergeCell ref="M49:N49"/>
    <mergeCell ref="B50:C50"/>
    <mergeCell ref="E50:L50"/>
    <mergeCell ref="M50:N50"/>
    <mergeCell ref="B51:C51"/>
    <mergeCell ref="E51:L51"/>
    <mergeCell ref="M51:N51"/>
    <mergeCell ref="B52:C52"/>
    <mergeCell ref="E52:L52"/>
    <mergeCell ref="M52:N52"/>
    <mergeCell ref="B53:C53"/>
    <mergeCell ref="E53:L53"/>
    <mergeCell ref="M53:N53"/>
    <mergeCell ref="B54:C54"/>
    <mergeCell ref="E54:L54"/>
    <mergeCell ref="M54:N54"/>
    <mergeCell ref="B55:C55"/>
    <mergeCell ref="E55:L55"/>
    <mergeCell ref="M55:N55"/>
    <mergeCell ref="B56:C56"/>
    <mergeCell ref="E56:L56"/>
    <mergeCell ref="M56:N56"/>
    <mergeCell ref="B57:C57"/>
    <mergeCell ref="E57:L57"/>
    <mergeCell ref="M57:N57"/>
    <mergeCell ref="B58:C58"/>
    <mergeCell ref="E58:L58"/>
    <mergeCell ref="M58:N58"/>
    <mergeCell ref="B59:C59"/>
    <mergeCell ref="E59:L59"/>
    <mergeCell ref="M59:N59"/>
    <mergeCell ref="B60:C60"/>
    <mergeCell ref="E60:L60"/>
    <mergeCell ref="M60:N60"/>
    <mergeCell ref="B61:C61"/>
    <mergeCell ref="E61:L61"/>
    <mergeCell ref="M61:N61"/>
    <mergeCell ref="B62:C62"/>
    <mergeCell ref="E62:L62"/>
    <mergeCell ref="M62:N62"/>
    <mergeCell ref="B63:C63"/>
    <mergeCell ref="E63:L63"/>
    <mergeCell ref="M63:N63"/>
    <mergeCell ref="B64:C64"/>
    <mergeCell ref="E64:L64"/>
    <mergeCell ref="M64:N64"/>
    <mergeCell ref="B65:C65"/>
    <mergeCell ref="E65:L65"/>
    <mergeCell ref="M65:N65"/>
    <mergeCell ref="B66:C66"/>
    <mergeCell ref="E66:L66"/>
    <mergeCell ref="M66:N66"/>
    <mergeCell ref="B67:C67"/>
    <mergeCell ref="E67:L67"/>
    <mergeCell ref="M67:N67"/>
    <mergeCell ref="B68:C68"/>
    <mergeCell ref="E68:L68"/>
    <mergeCell ref="M68:N68"/>
    <mergeCell ref="B69:C69"/>
    <mergeCell ref="E69:L69"/>
    <mergeCell ref="M69:N69"/>
    <mergeCell ref="B70:C70"/>
    <mergeCell ref="E70:L70"/>
    <mergeCell ref="M70:N70"/>
    <mergeCell ref="B71:C71"/>
    <mergeCell ref="E71:L71"/>
    <mergeCell ref="M71:N71"/>
    <mergeCell ref="B72:C72"/>
    <mergeCell ref="E72:L72"/>
    <mergeCell ref="M72:N72"/>
    <mergeCell ref="B73:C73"/>
    <mergeCell ref="E73:L73"/>
    <mergeCell ref="M73:N73"/>
  </mergeCells>
  <conditionalFormatting sqref="K17">
    <cfRule type="duplicateValues" priority="2" aboveAverage="0" equalAverage="0" bottom="0" percent="0" rank="0" text="" dxfId="0"/>
  </conditionalFormatting>
  <conditionalFormatting sqref="K7 D31">
    <cfRule type="duplicateValues" priority="3" aboveAverage="0" equalAverage="0" bottom="0" percent="0" rank="0" text="" dxfId="1"/>
  </conditionalFormatting>
  <conditionalFormatting sqref="D18 K8:K15">
    <cfRule type="duplicateValues" priority="4" aboveAverage="0" equalAverage="0" bottom="0" percent="0" rank="0" text="" dxfId="2"/>
  </conditionalFormatting>
  <dataValidations count="1">
    <dataValidation allowBlank="true" errorStyle="stop" operator="between" showDropDown="false" showErrorMessage="true" showInputMessage="true" sqref="J7 J9:J10 C12 C14:C15 J17 C18 C31" type="list">
      <formula1>0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W32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6" ySplit="11" topLeftCell="G12" activePane="bottomRight" state="frozen"/>
      <selection pane="topLeft" activeCell="A1" activeCellId="0" sqref="A1"/>
      <selection pane="topRight" activeCell="G1" activeCellId="0" sqref="G1"/>
      <selection pane="bottomLeft" activeCell="A12" activeCellId="0" sqref="A12"/>
      <selection pane="bottomRight" activeCell="Q19" activeCellId="0" sqref="Q19"/>
    </sheetView>
  </sheetViews>
  <sheetFormatPr defaultColWidth="11.453125" defaultRowHeight="20" zeroHeight="false" outlineLevelRow="0" outlineLevelCol="0"/>
  <cols>
    <col collapsed="false" customWidth="true" hidden="false" outlineLevel="0" max="1" min="1" style="44" width="15.82"/>
    <col collapsed="false" customWidth="true" hidden="false" outlineLevel="0" max="2" min="2" style="44" width="23.82"/>
    <col collapsed="false" customWidth="true" hidden="false" outlineLevel="0" max="3" min="3" style="44" width="26.45"/>
    <col collapsed="false" customWidth="true" hidden="false" outlineLevel="0" max="4" min="4" style="45" width="50.36"/>
    <col collapsed="false" customWidth="true" hidden="false" outlineLevel="0" max="5" min="5" style="45" width="45.54"/>
    <col collapsed="false" customWidth="true" hidden="false" outlineLevel="0" max="6" min="6" style="45" width="27.45"/>
    <col collapsed="false" customWidth="true" hidden="false" outlineLevel="0" max="7" min="7" style="44" width="4.18"/>
    <col collapsed="false" customWidth="true" hidden="false" outlineLevel="0" max="8" min="8" style="44" width="8.18"/>
    <col collapsed="false" customWidth="true" hidden="false" outlineLevel="0" max="9" min="9" style="44" width="6.27"/>
    <col collapsed="false" customWidth="true" hidden="false" outlineLevel="0" max="10" min="10" style="44" width="6"/>
    <col collapsed="false" customWidth="true" hidden="false" outlineLevel="0" max="11" min="11" style="44" width="5.54"/>
    <col collapsed="false" customWidth="true" hidden="false" outlineLevel="0" max="13" min="12" style="44" width="4.18"/>
    <col collapsed="false" customWidth="true" hidden="false" outlineLevel="0" max="14" min="14" style="45" width="21.18"/>
    <col collapsed="false" customWidth="true" hidden="false" outlineLevel="0" max="15" min="15" style="45" width="12.18"/>
    <col collapsed="false" customWidth="true" hidden="false" outlineLevel="0" max="16" min="16" style="45" width="14.63"/>
    <col collapsed="false" customWidth="true" hidden="false" outlineLevel="0" max="17" min="17" style="45" width="41.45"/>
    <col collapsed="false" customWidth="true" hidden="false" outlineLevel="0" max="18" min="18" style="45" width="38.82"/>
    <col collapsed="false" customWidth="true" hidden="false" outlineLevel="0" max="19" min="19" style="44" width="15.54"/>
    <col collapsed="false" customWidth="true" hidden="false" outlineLevel="0" max="20" min="20" style="44" width="34.54"/>
    <col collapsed="false" customWidth="true" hidden="false" outlineLevel="0" max="21" min="21" style="44" width="12.27"/>
    <col collapsed="false" customWidth="true" hidden="false" outlineLevel="0" max="22" min="22" style="44" width="14"/>
    <col collapsed="false" customWidth="true" hidden="false" outlineLevel="0" max="23" min="23" style="44" width="13.54"/>
    <col collapsed="false" customWidth="false" hidden="false" outlineLevel="0" max="259" min="24" style="44" width="11.45"/>
    <col collapsed="false" customWidth="true" hidden="false" outlineLevel="0" max="260" min="260" style="44" width="3.82"/>
    <col collapsed="false" customWidth="true" hidden="false" outlineLevel="0" max="261" min="261" style="44" width="7.18"/>
    <col collapsed="false" customWidth="true" hidden="false" outlineLevel="0" max="262" min="262" style="44" width="57.54"/>
    <col collapsed="false" customWidth="true" hidden="false" outlineLevel="0" max="263" min="263" style="44" width="19.45"/>
    <col collapsed="false" customWidth="true" hidden="false" outlineLevel="0" max="269" min="264" style="44" width="3.82"/>
    <col collapsed="false" customWidth="true" hidden="false" outlineLevel="0" max="270" min="270" style="44" width="14.45"/>
    <col collapsed="false" customWidth="true" hidden="false" outlineLevel="0" max="271" min="271" style="44" width="12.18"/>
    <col collapsed="false" customWidth="true" hidden="false" outlineLevel="0" max="272" min="272" style="44" width="9.18"/>
    <col collapsed="false" customWidth="true" hidden="false" outlineLevel="0" max="273" min="273" style="44" width="35.82"/>
    <col collapsed="false" customWidth="false" hidden="false" outlineLevel="0" max="275" min="274" style="44" width="11.45"/>
    <col collapsed="false" customWidth="true" hidden="true" outlineLevel="0" max="276" min="276" style="44" width="11.53"/>
    <col collapsed="false" customWidth="true" hidden="false" outlineLevel="0" max="277" min="277" style="44" width="41.18"/>
    <col collapsed="false" customWidth="false" hidden="false" outlineLevel="0" max="515" min="278" style="44" width="11.45"/>
    <col collapsed="false" customWidth="true" hidden="false" outlineLevel="0" max="516" min="516" style="44" width="3.82"/>
    <col collapsed="false" customWidth="true" hidden="false" outlineLevel="0" max="517" min="517" style="44" width="7.18"/>
    <col collapsed="false" customWidth="true" hidden="false" outlineLevel="0" max="518" min="518" style="44" width="57.54"/>
    <col collapsed="false" customWidth="true" hidden="false" outlineLevel="0" max="519" min="519" style="44" width="19.45"/>
    <col collapsed="false" customWidth="true" hidden="false" outlineLevel="0" max="525" min="520" style="44" width="3.82"/>
    <col collapsed="false" customWidth="true" hidden="false" outlineLevel="0" max="526" min="526" style="44" width="14.45"/>
    <col collapsed="false" customWidth="true" hidden="false" outlineLevel="0" max="527" min="527" style="44" width="12.18"/>
    <col collapsed="false" customWidth="true" hidden="false" outlineLevel="0" max="528" min="528" style="44" width="9.18"/>
    <col collapsed="false" customWidth="true" hidden="false" outlineLevel="0" max="529" min="529" style="44" width="35.82"/>
    <col collapsed="false" customWidth="false" hidden="false" outlineLevel="0" max="531" min="530" style="44" width="11.45"/>
    <col collapsed="false" customWidth="true" hidden="true" outlineLevel="0" max="532" min="532" style="44" width="11.53"/>
    <col collapsed="false" customWidth="true" hidden="false" outlineLevel="0" max="533" min="533" style="44" width="41.18"/>
    <col collapsed="false" customWidth="false" hidden="false" outlineLevel="0" max="771" min="534" style="44" width="11.45"/>
    <col collapsed="false" customWidth="true" hidden="false" outlineLevel="0" max="772" min="772" style="44" width="3.82"/>
    <col collapsed="false" customWidth="true" hidden="false" outlineLevel="0" max="773" min="773" style="44" width="7.18"/>
    <col collapsed="false" customWidth="true" hidden="false" outlineLevel="0" max="774" min="774" style="44" width="57.54"/>
    <col collapsed="false" customWidth="true" hidden="false" outlineLevel="0" max="775" min="775" style="44" width="19.45"/>
    <col collapsed="false" customWidth="true" hidden="false" outlineLevel="0" max="781" min="776" style="44" width="3.82"/>
    <col collapsed="false" customWidth="true" hidden="false" outlineLevel="0" max="782" min="782" style="44" width="14.45"/>
    <col collapsed="false" customWidth="true" hidden="false" outlineLevel="0" max="783" min="783" style="44" width="12.18"/>
    <col collapsed="false" customWidth="true" hidden="false" outlineLevel="0" max="784" min="784" style="44" width="9.18"/>
    <col collapsed="false" customWidth="true" hidden="false" outlineLevel="0" max="785" min="785" style="44" width="35.82"/>
    <col collapsed="false" customWidth="false" hidden="false" outlineLevel="0" max="787" min="786" style="44" width="11.45"/>
    <col collapsed="false" customWidth="true" hidden="true" outlineLevel="0" max="788" min="788" style="44" width="11.53"/>
    <col collapsed="false" customWidth="true" hidden="false" outlineLevel="0" max="789" min="789" style="44" width="41.18"/>
    <col collapsed="false" customWidth="false" hidden="false" outlineLevel="0" max="1027" min="790" style="44" width="11.45"/>
    <col collapsed="false" customWidth="true" hidden="false" outlineLevel="0" max="1028" min="1028" style="44" width="3.82"/>
    <col collapsed="false" customWidth="true" hidden="false" outlineLevel="0" max="1029" min="1029" style="44" width="7.18"/>
    <col collapsed="false" customWidth="true" hidden="false" outlineLevel="0" max="1030" min="1030" style="44" width="57.54"/>
    <col collapsed="false" customWidth="true" hidden="false" outlineLevel="0" max="1031" min="1031" style="44" width="19.45"/>
    <col collapsed="false" customWidth="true" hidden="false" outlineLevel="0" max="1037" min="1032" style="44" width="3.82"/>
    <col collapsed="false" customWidth="true" hidden="false" outlineLevel="0" max="1038" min="1038" style="44" width="14.45"/>
    <col collapsed="false" customWidth="true" hidden="false" outlineLevel="0" max="1039" min="1039" style="44" width="12.18"/>
    <col collapsed="false" customWidth="true" hidden="false" outlineLevel="0" max="1040" min="1040" style="44" width="9.18"/>
    <col collapsed="false" customWidth="true" hidden="false" outlineLevel="0" max="1041" min="1041" style="44" width="35.82"/>
    <col collapsed="false" customWidth="false" hidden="false" outlineLevel="0" max="1043" min="1042" style="44" width="11.45"/>
    <col collapsed="false" customWidth="true" hidden="true" outlineLevel="0" max="1044" min="1044" style="44" width="11.53"/>
    <col collapsed="false" customWidth="true" hidden="false" outlineLevel="0" max="1045" min="1045" style="44" width="41.18"/>
    <col collapsed="false" customWidth="false" hidden="false" outlineLevel="0" max="1283" min="1046" style="44" width="11.45"/>
    <col collapsed="false" customWidth="true" hidden="false" outlineLevel="0" max="1284" min="1284" style="44" width="3.82"/>
    <col collapsed="false" customWidth="true" hidden="false" outlineLevel="0" max="1285" min="1285" style="44" width="7.18"/>
    <col collapsed="false" customWidth="true" hidden="false" outlineLevel="0" max="1286" min="1286" style="44" width="57.54"/>
    <col collapsed="false" customWidth="true" hidden="false" outlineLevel="0" max="1287" min="1287" style="44" width="19.45"/>
    <col collapsed="false" customWidth="true" hidden="false" outlineLevel="0" max="1293" min="1288" style="44" width="3.82"/>
    <col collapsed="false" customWidth="true" hidden="false" outlineLevel="0" max="1294" min="1294" style="44" width="14.45"/>
    <col collapsed="false" customWidth="true" hidden="false" outlineLevel="0" max="1295" min="1295" style="44" width="12.18"/>
    <col collapsed="false" customWidth="true" hidden="false" outlineLevel="0" max="1296" min="1296" style="44" width="9.18"/>
    <col collapsed="false" customWidth="true" hidden="false" outlineLevel="0" max="1297" min="1297" style="44" width="35.82"/>
    <col collapsed="false" customWidth="false" hidden="false" outlineLevel="0" max="1299" min="1298" style="44" width="11.45"/>
    <col collapsed="false" customWidth="true" hidden="true" outlineLevel="0" max="1300" min="1300" style="44" width="11.53"/>
    <col collapsed="false" customWidth="true" hidden="false" outlineLevel="0" max="1301" min="1301" style="44" width="41.18"/>
    <col collapsed="false" customWidth="false" hidden="false" outlineLevel="0" max="1539" min="1302" style="44" width="11.45"/>
    <col collapsed="false" customWidth="true" hidden="false" outlineLevel="0" max="1540" min="1540" style="44" width="3.82"/>
    <col collapsed="false" customWidth="true" hidden="false" outlineLevel="0" max="1541" min="1541" style="44" width="7.18"/>
    <col collapsed="false" customWidth="true" hidden="false" outlineLevel="0" max="1542" min="1542" style="44" width="57.54"/>
    <col collapsed="false" customWidth="true" hidden="false" outlineLevel="0" max="1543" min="1543" style="44" width="19.45"/>
    <col collapsed="false" customWidth="true" hidden="false" outlineLevel="0" max="1549" min="1544" style="44" width="3.82"/>
    <col collapsed="false" customWidth="true" hidden="false" outlineLevel="0" max="1550" min="1550" style="44" width="14.45"/>
    <col collapsed="false" customWidth="true" hidden="false" outlineLevel="0" max="1551" min="1551" style="44" width="12.18"/>
    <col collapsed="false" customWidth="true" hidden="false" outlineLevel="0" max="1552" min="1552" style="44" width="9.18"/>
    <col collapsed="false" customWidth="true" hidden="false" outlineLevel="0" max="1553" min="1553" style="44" width="35.82"/>
    <col collapsed="false" customWidth="false" hidden="false" outlineLevel="0" max="1555" min="1554" style="44" width="11.45"/>
    <col collapsed="false" customWidth="true" hidden="true" outlineLevel="0" max="1556" min="1556" style="44" width="11.53"/>
    <col collapsed="false" customWidth="true" hidden="false" outlineLevel="0" max="1557" min="1557" style="44" width="41.18"/>
    <col collapsed="false" customWidth="false" hidden="false" outlineLevel="0" max="1795" min="1558" style="44" width="11.45"/>
    <col collapsed="false" customWidth="true" hidden="false" outlineLevel="0" max="1796" min="1796" style="44" width="3.82"/>
    <col collapsed="false" customWidth="true" hidden="false" outlineLevel="0" max="1797" min="1797" style="44" width="7.18"/>
    <col collapsed="false" customWidth="true" hidden="false" outlineLevel="0" max="1798" min="1798" style="44" width="57.54"/>
    <col collapsed="false" customWidth="true" hidden="false" outlineLevel="0" max="1799" min="1799" style="44" width="19.45"/>
    <col collapsed="false" customWidth="true" hidden="false" outlineLevel="0" max="1805" min="1800" style="44" width="3.82"/>
    <col collapsed="false" customWidth="true" hidden="false" outlineLevel="0" max="1806" min="1806" style="44" width="14.45"/>
    <col collapsed="false" customWidth="true" hidden="false" outlineLevel="0" max="1807" min="1807" style="44" width="12.18"/>
    <col collapsed="false" customWidth="true" hidden="false" outlineLevel="0" max="1808" min="1808" style="44" width="9.18"/>
    <col collapsed="false" customWidth="true" hidden="false" outlineLevel="0" max="1809" min="1809" style="44" width="35.82"/>
    <col collapsed="false" customWidth="false" hidden="false" outlineLevel="0" max="1811" min="1810" style="44" width="11.45"/>
    <col collapsed="false" customWidth="true" hidden="true" outlineLevel="0" max="1812" min="1812" style="44" width="11.53"/>
    <col collapsed="false" customWidth="true" hidden="false" outlineLevel="0" max="1813" min="1813" style="44" width="41.18"/>
    <col collapsed="false" customWidth="false" hidden="false" outlineLevel="0" max="2051" min="1814" style="44" width="11.45"/>
    <col collapsed="false" customWidth="true" hidden="false" outlineLevel="0" max="2052" min="2052" style="44" width="3.82"/>
    <col collapsed="false" customWidth="true" hidden="false" outlineLevel="0" max="2053" min="2053" style="44" width="7.18"/>
    <col collapsed="false" customWidth="true" hidden="false" outlineLevel="0" max="2054" min="2054" style="44" width="57.54"/>
    <col collapsed="false" customWidth="true" hidden="false" outlineLevel="0" max="2055" min="2055" style="44" width="19.45"/>
    <col collapsed="false" customWidth="true" hidden="false" outlineLevel="0" max="2061" min="2056" style="44" width="3.82"/>
    <col collapsed="false" customWidth="true" hidden="false" outlineLevel="0" max="2062" min="2062" style="44" width="14.45"/>
    <col collapsed="false" customWidth="true" hidden="false" outlineLevel="0" max="2063" min="2063" style="44" width="12.18"/>
    <col collapsed="false" customWidth="true" hidden="false" outlineLevel="0" max="2064" min="2064" style="44" width="9.18"/>
    <col collapsed="false" customWidth="true" hidden="false" outlineLevel="0" max="2065" min="2065" style="44" width="35.82"/>
    <col collapsed="false" customWidth="false" hidden="false" outlineLevel="0" max="2067" min="2066" style="44" width="11.45"/>
    <col collapsed="false" customWidth="true" hidden="true" outlineLevel="0" max="2068" min="2068" style="44" width="11.53"/>
    <col collapsed="false" customWidth="true" hidden="false" outlineLevel="0" max="2069" min="2069" style="44" width="41.18"/>
    <col collapsed="false" customWidth="false" hidden="false" outlineLevel="0" max="2307" min="2070" style="44" width="11.45"/>
    <col collapsed="false" customWidth="true" hidden="false" outlineLevel="0" max="2308" min="2308" style="44" width="3.82"/>
    <col collapsed="false" customWidth="true" hidden="false" outlineLevel="0" max="2309" min="2309" style="44" width="7.18"/>
    <col collapsed="false" customWidth="true" hidden="false" outlineLevel="0" max="2310" min="2310" style="44" width="57.54"/>
    <col collapsed="false" customWidth="true" hidden="false" outlineLevel="0" max="2311" min="2311" style="44" width="19.45"/>
    <col collapsed="false" customWidth="true" hidden="false" outlineLevel="0" max="2317" min="2312" style="44" width="3.82"/>
    <col collapsed="false" customWidth="true" hidden="false" outlineLevel="0" max="2318" min="2318" style="44" width="14.45"/>
    <col collapsed="false" customWidth="true" hidden="false" outlineLevel="0" max="2319" min="2319" style="44" width="12.18"/>
    <col collapsed="false" customWidth="true" hidden="false" outlineLevel="0" max="2320" min="2320" style="44" width="9.18"/>
    <col collapsed="false" customWidth="true" hidden="false" outlineLevel="0" max="2321" min="2321" style="44" width="35.82"/>
    <col collapsed="false" customWidth="false" hidden="false" outlineLevel="0" max="2323" min="2322" style="44" width="11.45"/>
    <col collapsed="false" customWidth="true" hidden="true" outlineLevel="0" max="2324" min="2324" style="44" width="11.53"/>
    <col collapsed="false" customWidth="true" hidden="false" outlineLevel="0" max="2325" min="2325" style="44" width="41.18"/>
    <col collapsed="false" customWidth="false" hidden="false" outlineLevel="0" max="2563" min="2326" style="44" width="11.45"/>
    <col collapsed="false" customWidth="true" hidden="false" outlineLevel="0" max="2564" min="2564" style="44" width="3.82"/>
    <col collapsed="false" customWidth="true" hidden="false" outlineLevel="0" max="2565" min="2565" style="44" width="7.18"/>
    <col collapsed="false" customWidth="true" hidden="false" outlineLevel="0" max="2566" min="2566" style="44" width="57.54"/>
    <col collapsed="false" customWidth="true" hidden="false" outlineLevel="0" max="2567" min="2567" style="44" width="19.45"/>
    <col collapsed="false" customWidth="true" hidden="false" outlineLevel="0" max="2573" min="2568" style="44" width="3.82"/>
    <col collapsed="false" customWidth="true" hidden="false" outlineLevel="0" max="2574" min="2574" style="44" width="14.45"/>
    <col collapsed="false" customWidth="true" hidden="false" outlineLevel="0" max="2575" min="2575" style="44" width="12.18"/>
    <col collapsed="false" customWidth="true" hidden="false" outlineLevel="0" max="2576" min="2576" style="44" width="9.18"/>
    <col collapsed="false" customWidth="true" hidden="false" outlineLevel="0" max="2577" min="2577" style="44" width="35.82"/>
    <col collapsed="false" customWidth="false" hidden="false" outlineLevel="0" max="2579" min="2578" style="44" width="11.45"/>
    <col collapsed="false" customWidth="true" hidden="true" outlineLevel="0" max="2580" min="2580" style="44" width="11.53"/>
    <col collapsed="false" customWidth="true" hidden="false" outlineLevel="0" max="2581" min="2581" style="44" width="41.18"/>
    <col collapsed="false" customWidth="false" hidden="false" outlineLevel="0" max="2819" min="2582" style="44" width="11.45"/>
    <col collapsed="false" customWidth="true" hidden="false" outlineLevel="0" max="2820" min="2820" style="44" width="3.82"/>
    <col collapsed="false" customWidth="true" hidden="false" outlineLevel="0" max="2821" min="2821" style="44" width="7.18"/>
    <col collapsed="false" customWidth="true" hidden="false" outlineLevel="0" max="2822" min="2822" style="44" width="57.54"/>
    <col collapsed="false" customWidth="true" hidden="false" outlineLevel="0" max="2823" min="2823" style="44" width="19.45"/>
    <col collapsed="false" customWidth="true" hidden="false" outlineLevel="0" max="2829" min="2824" style="44" width="3.82"/>
    <col collapsed="false" customWidth="true" hidden="false" outlineLevel="0" max="2830" min="2830" style="44" width="14.45"/>
    <col collapsed="false" customWidth="true" hidden="false" outlineLevel="0" max="2831" min="2831" style="44" width="12.18"/>
    <col collapsed="false" customWidth="true" hidden="false" outlineLevel="0" max="2832" min="2832" style="44" width="9.18"/>
    <col collapsed="false" customWidth="true" hidden="false" outlineLevel="0" max="2833" min="2833" style="44" width="35.82"/>
    <col collapsed="false" customWidth="false" hidden="false" outlineLevel="0" max="2835" min="2834" style="44" width="11.45"/>
    <col collapsed="false" customWidth="true" hidden="true" outlineLevel="0" max="2836" min="2836" style="44" width="11.53"/>
    <col collapsed="false" customWidth="true" hidden="false" outlineLevel="0" max="2837" min="2837" style="44" width="41.18"/>
    <col collapsed="false" customWidth="false" hidden="false" outlineLevel="0" max="3075" min="2838" style="44" width="11.45"/>
    <col collapsed="false" customWidth="true" hidden="false" outlineLevel="0" max="3076" min="3076" style="44" width="3.82"/>
    <col collapsed="false" customWidth="true" hidden="false" outlineLevel="0" max="3077" min="3077" style="44" width="7.18"/>
    <col collapsed="false" customWidth="true" hidden="false" outlineLevel="0" max="3078" min="3078" style="44" width="57.54"/>
    <col collapsed="false" customWidth="true" hidden="false" outlineLevel="0" max="3079" min="3079" style="44" width="19.45"/>
    <col collapsed="false" customWidth="true" hidden="false" outlineLevel="0" max="3085" min="3080" style="44" width="3.82"/>
    <col collapsed="false" customWidth="true" hidden="false" outlineLevel="0" max="3086" min="3086" style="44" width="14.45"/>
    <col collapsed="false" customWidth="true" hidden="false" outlineLevel="0" max="3087" min="3087" style="44" width="12.18"/>
    <col collapsed="false" customWidth="true" hidden="false" outlineLevel="0" max="3088" min="3088" style="44" width="9.18"/>
    <col collapsed="false" customWidth="true" hidden="false" outlineLevel="0" max="3089" min="3089" style="44" width="35.82"/>
    <col collapsed="false" customWidth="false" hidden="false" outlineLevel="0" max="3091" min="3090" style="44" width="11.45"/>
    <col collapsed="false" customWidth="true" hidden="true" outlineLevel="0" max="3092" min="3092" style="44" width="11.53"/>
    <col collapsed="false" customWidth="true" hidden="false" outlineLevel="0" max="3093" min="3093" style="44" width="41.18"/>
    <col collapsed="false" customWidth="false" hidden="false" outlineLevel="0" max="3331" min="3094" style="44" width="11.45"/>
    <col collapsed="false" customWidth="true" hidden="false" outlineLevel="0" max="3332" min="3332" style="44" width="3.82"/>
    <col collapsed="false" customWidth="true" hidden="false" outlineLevel="0" max="3333" min="3333" style="44" width="7.18"/>
    <col collapsed="false" customWidth="true" hidden="false" outlineLevel="0" max="3334" min="3334" style="44" width="57.54"/>
    <col collapsed="false" customWidth="true" hidden="false" outlineLevel="0" max="3335" min="3335" style="44" width="19.45"/>
    <col collapsed="false" customWidth="true" hidden="false" outlineLevel="0" max="3341" min="3336" style="44" width="3.82"/>
    <col collapsed="false" customWidth="true" hidden="false" outlineLevel="0" max="3342" min="3342" style="44" width="14.45"/>
    <col collapsed="false" customWidth="true" hidden="false" outlineLevel="0" max="3343" min="3343" style="44" width="12.18"/>
    <col collapsed="false" customWidth="true" hidden="false" outlineLevel="0" max="3344" min="3344" style="44" width="9.18"/>
    <col collapsed="false" customWidth="true" hidden="false" outlineLevel="0" max="3345" min="3345" style="44" width="35.82"/>
    <col collapsed="false" customWidth="false" hidden="false" outlineLevel="0" max="3347" min="3346" style="44" width="11.45"/>
    <col collapsed="false" customWidth="true" hidden="true" outlineLevel="0" max="3348" min="3348" style="44" width="11.53"/>
    <col collapsed="false" customWidth="true" hidden="false" outlineLevel="0" max="3349" min="3349" style="44" width="41.18"/>
    <col collapsed="false" customWidth="false" hidden="false" outlineLevel="0" max="3587" min="3350" style="44" width="11.45"/>
    <col collapsed="false" customWidth="true" hidden="false" outlineLevel="0" max="3588" min="3588" style="44" width="3.82"/>
    <col collapsed="false" customWidth="true" hidden="false" outlineLevel="0" max="3589" min="3589" style="44" width="7.18"/>
    <col collapsed="false" customWidth="true" hidden="false" outlineLevel="0" max="3590" min="3590" style="44" width="57.54"/>
    <col collapsed="false" customWidth="true" hidden="false" outlineLevel="0" max="3591" min="3591" style="44" width="19.45"/>
    <col collapsed="false" customWidth="true" hidden="false" outlineLevel="0" max="3597" min="3592" style="44" width="3.82"/>
    <col collapsed="false" customWidth="true" hidden="false" outlineLevel="0" max="3598" min="3598" style="44" width="14.45"/>
    <col collapsed="false" customWidth="true" hidden="false" outlineLevel="0" max="3599" min="3599" style="44" width="12.18"/>
    <col collapsed="false" customWidth="true" hidden="false" outlineLevel="0" max="3600" min="3600" style="44" width="9.18"/>
    <col collapsed="false" customWidth="true" hidden="false" outlineLevel="0" max="3601" min="3601" style="44" width="35.82"/>
    <col collapsed="false" customWidth="false" hidden="false" outlineLevel="0" max="3603" min="3602" style="44" width="11.45"/>
    <col collapsed="false" customWidth="true" hidden="true" outlineLevel="0" max="3604" min="3604" style="44" width="11.53"/>
    <col collapsed="false" customWidth="true" hidden="false" outlineLevel="0" max="3605" min="3605" style="44" width="41.18"/>
    <col collapsed="false" customWidth="false" hidden="false" outlineLevel="0" max="3843" min="3606" style="44" width="11.45"/>
    <col collapsed="false" customWidth="true" hidden="false" outlineLevel="0" max="3844" min="3844" style="44" width="3.82"/>
    <col collapsed="false" customWidth="true" hidden="false" outlineLevel="0" max="3845" min="3845" style="44" width="7.18"/>
    <col collapsed="false" customWidth="true" hidden="false" outlineLevel="0" max="3846" min="3846" style="44" width="57.54"/>
    <col collapsed="false" customWidth="true" hidden="false" outlineLevel="0" max="3847" min="3847" style="44" width="19.45"/>
    <col collapsed="false" customWidth="true" hidden="false" outlineLevel="0" max="3853" min="3848" style="44" width="3.82"/>
    <col collapsed="false" customWidth="true" hidden="false" outlineLevel="0" max="3854" min="3854" style="44" width="14.45"/>
    <col collapsed="false" customWidth="true" hidden="false" outlineLevel="0" max="3855" min="3855" style="44" width="12.18"/>
    <col collapsed="false" customWidth="true" hidden="false" outlineLevel="0" max="3856" min="3856" style="44" width="9.18"/>
    <col collapsed="false" customWidth="true" hidden="false" outlineLevel="0" max="3857" min="3857" style="44" width="35.82"/>
    <col collapsed="false" customWidth="false" hidden="false" outlineLevel="0" max="3859" min="3858" style="44" width="11.45"/>
    <col collapsed="false" customWidth="true" hidden="true" outlineLevel="0" max="3860" min="3860" style="44" width="11.53"/>
    <col collapsed="false" customWidth="true" hidden="false" outlineLevel="0" max="3861" min="3861" style="44" width="41.18"/>
    <col collapsed="false" customWidth="false" hidden="false" outlineLevel="0" max="4099" min="3862" style="44" width="11.45"/>
    <col collapsed="false" customWidth="true" hidden="false" outlineLevel="0" max="4100" min="4100" style="44" width="3.82"/>
    <col collapsed="false" customWidth="true" hidden="false" outlineLevel="0" max="4101" min="4101" style="44" width="7.18"/>
    <col collapsed="false" customWidth="true" hidden="false" outlineLevel="0" max="4102" min="4102" style="44" width="57.54"/>
    <col collapsed="false" customWidth="true" hidden="false" outlineLevel="0" max="4103" min="4103" style="44" width="19.45"/>
    <col collapsed="false" customWidth="true" hidden="false" outlineLevel="0" max="4109" min="4104" style="44" width="3.82"/>
    <col collapsed="false" customWidth="true" hidden="false" outlineLevel="0" max="4110" min="4110" style="44" width="14.45"/>
    <col collapsed="false" customWidth="true" hidden="false" outlineLevel="0" max="4111" min="4111" style="44" width="12.18"/>
    <col collapsed="false" customWidth="true" hidden="false" outlineLevel="0" max="4112" min="4112" style="44" width="9.18"/>
    <col collapsed="false" customWidth="true" hidden="false" outlineLevel="0" max="4113" min="4113" style="44" width="35.82"/>
    <col collapsed="false" customWidth="false" hidden="false" outlineLevel="0" max="4115" min="4114" style="44" width="11.45"/>
    <col collapsed="false" customWidth="true" hidden="true" outlineLevel="0" max="4116" min="4116" style="44" width="11.53"/>
    <col collapsed="false" customWidth="true" hidden="false" outlineLevel="0" max="4117" min="4117" style="44" width="41.18"/>
    <col collapsed="false" customWidth="false" hidden="false" outlineLevel="0" max="4355" min="4118" style="44" width="11.45"/>
    <col collapsed="false" customWidth="true" hidden="false" outlineLevel="0" max="4356" min="4356" style="44" width="3.82"/>
    <col collapsed="false" customWidth="true" hidden="false" outlineLevel="0" max="4357" min="4357" style="44" width="7.18"/>
    <col collapsed="false" customWidth="true" hidden="false" outlineLevel="0" max="4358" min="4358" style="44" width="57.54"/>
    <col collapsed="false" customWidth="true" hidden="false" outlineLevel="0" max="4359" min="4359" style="44" width="19.45"/>
    <col collapsed="false" customWidth="true" hidden="false" outlineLevel="0" max="4365" min="4360" style="44" width="3.82"/>
    <col collapsed="false" customWidth="true" hidden="false" outlineLevel="0" max="4366" min="4366" style="44" width="14.45"/>
    <col collapsed="false" customWidth="true" hidden="false" outlineLevel="0" max="4367" min="4367" style="44" width="12.18"/>
    <col collapsed="false" customWidth="true" hidden="false" outlineLevel="0" max="4368" min="4368" style="44" width="9.18"/>
    <col collapsed="false" customWidth="true" hidden="false" outlineLevel="0" max="4369" min="4369" style="44" width="35.82"/>
    <col collapsed="false" customWidth="false" hidden="false" outlineLevel="0" max="4371" min="4370" style="44" width="11.45"/>
    <col collapsed="false" customWidth="true" hidden="true" outlineLevel="0" max="4372" min="4372" style="44" width="11.53"/>
    <col collapsed="false" customWidth="true" hidden="false" outlineLevel="0" max="4373" min="4373" style="44" width="41.18"/>
    <col collapsed="false" customWidth="false" hidden="false" outlineLevel="0" max="4611" min="4374" style="44" width="11.45"/>
    <col collapsed="false" customWidth="true" hidden="false" outlineLevel="0" max="4612" min="4612" style="44" width="3.82"/>
    <col collapsed="false" customWidth="true" hidden="false" outlineLevel="0" max="4613" min="4613" style="44" width="7.18"/>
    <col collapsed="false" customWidth="true" hidden="false" outlineLevel="0" max="4614" min="4614" style="44" width="57.54"/>
    <col collapsed="false" customWidth="true" hidden="false" outlineLevel="0" max="4615" min="4615" style="44" width="19.45"/>
    <col collapsed="false" customWidth="true" hidden="false" outlineLevel="0" max="4621" min="4616" style="44" width="3.82"/>
    <col collapsed="false" customWidth="true" hidden="false" outlineLevel="0" max="4622" min="4622" style="44" width="14.45"/>
    <col collapsed="false" customWidth="true" hidden="false" outlineLevel="0" max="4623" min="4623" style="44" width="12.18"/>
    <col collapsed="false" customWidth="true" hidden="false" outlineLevel="0" max="4624" min="4624" style="44" width="9.18"/>
    <col collapsed="false" customWidth="true" hidden="false" outlineLevel="0" max="4625" min="4625" style="44" width="35.82"/>
    <col collapsed="false" customWidth="false" hidden="false" outlineLevel="0" max="4627" min="4626" style="44" width="11.45"/>
    <col collapsed="false" customWidth="true" hidden="true" outlineLevel="0" max="4628" min="4628" style="44" width="11.53"/>
    <col collapsed="false" customWidth="true" hidden="false" outlineLevel="0" max="4629" min="4629" style="44" width="41.18"/>
    <col collapsed="false" customWidth="false" hidden="false" outlineLevel="0" max="4867" min="4630" style="44" width="11.45"/>
    <col collapsed="false" customWidth="true" hidden="false" outlineLevel="0" max="4868" min="4868" style="44" width="3.82"/>
    <col collapsed="false" customWidth="true" hidden="false" outlineLevel="0" max="4869" min="4869" style="44" width="7.18"/>
    <col collapsed="false" customWidth="true" hidden="false" outlineLevel="0" max="4870" min="4870" style="44" width="57.54"/>
    <col collapsed="false" customWidth="true" hidden="false" outlineLevel="0" max="4871" min="4871" style="44" width="19.45"/>
    <col collapsed="false" customWidth="true" hidden="false" outlineLevel="0" max="4877" min="4872" style="44" width="3.82"/>
    <col collapsed="false" customWidth="true" hidden="false" outlineLevel="0" max="4878" min="4878" style="44" width="14.45"/>
    <col collapsed="false" customWidth="true" hidden="false" outlineLevel="0" max="4879" min="4879" style="44" width="12.18"/>
    <col collapsed="false" customWidth="true" hidden="false" outlineLevel="0" max="4880" min="4880" style="44" width="9.18"/>
    <col collapsed="false" customWidth="true" hidden="false" outlineLevel="0" max="4881" min="4881" style="44" width="35.82"/>
    <col collapsed="false" customWidth="false" hidden="false" outlineLevel="0" max="4883" min="4882" style="44" width="11.45"/>
    <col collapsed="false" customWidth="true" hidden="true" outlineLevel="0" max="4884" min="4884" style="44" width="11.53"/>
    <col collapsed="false" customWidth="true" hidden="false" outlineLevel="0" max="4885" min="4885" style="44" width="41.18"/>
    <col collapsed="false" customWidth="false" hidden="false" outlineLevel="0" max="5123" min="4886" style="44" width="11.45"/>
    <col collapsed="false" customWidth="true" hidden="false" outlineLevel="0" max="5124" min="5124" style="44" width="3.82"/>
    <col collapsed="false" customWidth="true" hidden="false" outlineLevel="0" max="5125" min="5125" style="44" width="7.18"/>
    <col collapsed="false" customWidth="true" hidden="false" outlineLevel="0" max="5126" min="5126" style="44" width="57.54"/>
    <col collapsed="false" customWidth="true" hidden="false" outlineLevel="0" max="5127" min="5127" style="44" width="19.45"/>
    <col collapsed="false" customWidth="true" hidden="false" outlineLevel="0" max="5133" min="5128" style="44" width="3.82"/>
    <col collapsed="false" customWidth="true" hidden="false" outlineLevel="0" max="5134" min="5134" style="44" width="14.45"/>
    <col collapsed="false" customWidth="true" hidden="false" outlineLevel="0" max="5135" min="5135" style="44" width="12.18"/>
    <col collapsed="false" customWidth="true" hidden="false" outlineLevel="0" max="5136" min="5136" style="44" width="9.18"/>
    <col collapsed="false" customWidth="true" hidden="false" outlineLevel="0" max="5137" min="5137" style="44" width="35.82"/>
    <col collapsed="false" customWidth="false" hidden="false" outlineLevel="0" max="5139" min="5138" style="44" width="11.45"/>
    <col collapsed="false" customWidth="true" hidden="true" outlineLevel="0" max="5140" min="5140" style="44" width="11.53"/>
    <col collapsed="false" customWidth="true" hidden="false" outlineLevel="0" max="5141" min="5141" style="44" width="41.18"/>
    <col collapsed="false" customWidth="false" hidden="false" outlineLevel="0" max="5379" min="5142" style="44" width="11.45"/>
    <col collapsed="false" customWidth="true" hidden="false" outlineLevel="0" max="5380" min="5380" style="44" width="3.82"/>
    <col collapsed="false" customWidth="true" hidden="false" outlineLevel="0" max="5381" min="5381" style="44" width="7.18"/>
    <col collapsed="false" customWidth="true" hidden="false" outlineLevel="0" max="5382" min="5382" style="44" width="57.54"/>
    <col collapsed="false" customWidth="true" hidden="false" outlineLevel="0" max="5383" min="5383" style="44" width="19.45"/>
    <col collapsed="false" customWidth="true" hidden="false" outlineLevel="0" max="5389" min="5384" style="44" width="3.82"/>
    <col collapsed="false" customWidth="true" hidden="false" outlineLevel="0" max="5390" min="5390" style="44" width="14.45"/>
    <col collapsed="false" customWidth="true" hidden="false" outlineLevel="0" max="5391" min="5391" style="44" width="12.18"/>
    <col collapsed="false" customWidth="true" hidden="false" outlineLevel="0" max="5392" min="5392" style="44" width="9.18"/>
    <col collapsed="false" customWidth="true" hidden="false" outlineLevel="0" max="5393" min="5393" style="44" width="35.82"/>
    <col collapsed="false" customWidth="false" hidden="false" outlineLevel="0" max="5395" min="5394" style="44" width="11.45"/>
    <col collapsed="false" customWidth="true" hidden="true" outlineLevel="0" max="5396" min="5396" style="44" width="11.53"/>
    <col collapsed="false" customWidth="true" hidden="false" outlineLevel="0" max="5397" min="5397" style="44" width="41.18"/>
    <col collapsed="false" customWidth="false" hidden="false" outlineLevel="0" max="5635" min="5398" style="44" width="11.45"/>
    <col collapsed="false" customWidth="true" hidden="false" outlineLevel="0" max="5636" min="5636" style="44" width="3.82"/>
    <col collapsed="false" customWidth="true" hidden="false" outlineLevel="0" max="5637" min="5637" style="44" width="7.18"/>
    <col collapsed="false" customWidth="true" hidden="false" outlineLevel="0" max="5638" min="5638" style="44" width="57.54"/>
    <col collapsed="false" customWidth="true" hidden="false" outlineLevel="0" max="5639" min="5639" style="44" width="19.45"/>
    <col collapsed="false" customWidth="true" hidden="false" outlineLevel="0" max="5645" min="5640" style="44" width="3.82"/>
    <col collapsed="false" customWidth="true" hidden="false" outlineLevel="0" max="5646" min="5646" style="44" width="14.45"/>
    <col collapsed="false" customWidth="true" hidden="false" outlineLevel="0" max="5647" min="5647" style="44" width="12.18"/>
    <col collapsed="false" customWidth="true" hidden="false" outlineLevel="0" max="5648" min="5648" style="44" width="9.18"/>
    <col collapsed="false" customWidth="true" hidden="false" outlineLevel="0" max="5649" min="5649" style="44" width="35.82"/>
    <col collapsed="false" customWidth="false" hidden="false" outlineLevel="0" max="5651" min="5650" style="44" width="11.45"/>
    <col collapsed="false" customWidth="true" hidden="true" outlineLevel="0" max="5652" min="5652" style="44" width="11.53"/>
    <col collapsed="false" customWidth="true" hidden="false" outlineLevel="0" max="5653" min="5653" style="44" width="41.18"/>
    <col collapsed="false" customWidth="false" hidden="false" outlineLevel="0" max="5891" min="5654" style="44" width="11.45"/>
    <col collapsed="false" customWidth="true" hidden="false" outlineLevel="0" max="5892" min="5892" style="44" width="3.82"/>
    <col collapsed="false" customWidth="true" hidden="false" outlineLevel="0" max="5893" min="5893" style="44" width="7.18"/>
    <col collapsed="false" customWidth="true" hidden="false" outlineLevel="0" max="5894" min="5894" style="44" width="57.54"/>
    <col collapsed="false" customWidth="true" hidden="false" outlineLevel="0" max="5895" min="5895" style="44" width="19.45"/>
    <col collapsed="false" customWidth="true" hidden="false" outlineLevel="0" max="5901" min="5896" style="44" width="3.82"/>
    <col collapsed="false" customWidth="true" hidden="false" outlineLevel="0" max="5902" min="5902" style="44" width="14.45"/>
    <col collapsed="false" customWidth="true" hidden="false" outlineLevel="0" max="5903" min="5903" style="44" width="12.18"/>
    <col collapsed="false" customWidth="true" hidden="false" outlineLevel="0" max="5904" min="5904" style="44" width="9.18"/>
    <col collapsed="false" customWidth="true" hidden="false" outlineLevel="0" max="5905" min="5905" style="44" width="35.82"/>
    <col collapsed="false" customWidth="false" hidden="false" outlineLevel="0" max="5907" min="5906" style="44" width="11.45"/>
    <col collapsed="false" customWidth="true" hidden="true" outlineLevel="0" max="5908" min="5908" style="44" width="11.53"/>
    <col collapsed="false" customWidth="true" hidden="false" outlineLevel="0" max="5909" min="5909" style="44" width="41.18"/>
    <col collapsed="false" customWidth="false" hidden="false" outlineLevel="0" max="6147" min="5910" style="44" width="11.45"/>
    <col collapsed="false" customWidth="true" hidden="false" outlineLevel="0" max="6148" min="6148" style="44" width="3.82"/>
    <col collapsed="false" customWidth="true" hidden="false" outlineLevel="0" max="6149" min="6149" style="44" width="7.18"/>
    <col collapsed="false" customWidth="true" hidden="false" outlineLevel="0" max="6150" min="6150" style="44" width="57.54"/>
    <col collapsed="false" customWidth="true" hidden="false" outlineLevel="0" max="6151" min="6151" style="44" width="19.45"/>
    <col collapsed="false" customWidth="true" hidden="false" outlineLevel="0" max="6157" min="6152" style="44" width="3.82"/>
    <col collapsed="false" customWidth="true" hidden="false" outlineLevel="0" max="6158" min="6158" style="44" width="14.45"/>
    <col collapsed="false" customWidth="true" hidden="false" outlineLevel="0" max="6159" min="6159" style="44" width="12.18"/>
    <col collapsed="false" customWidth="true" hidden="false" outlineLevel="0" max="6160" min="6160" style="44" width="9.18"/>
    <col collapsed="false" customWidth="true" hidden="false" outlineLevel="0" max="6161" min="6161" style="44" width="35.82"/>
    <col collapsed="false" customWidth="false" hidden="false" outlineLevel="0" max="6163" min="6162" style="44" width="11.45"/>
    <col collapsed="false" customWidth="true" hidden="true" outlineLevel="0" max="6164" min="6164" style="44" width="11.53"/>
    <col collapsed="false" customWidth="true" hidden="false" outlineLevel="0" max="6165" min="6165" style="44" width="41.18"/>
    <col collapsed="false" customWidth="false" hidden="false" outlineLevel="0" max="6403" min="6166" style="44" width="11.45"/>
    <col collapsed="false" customWidth="true" hidden="false" outlineLevel="0" max="6404" min="6404" style="44" width="3.82"/>
    <col collapsed="false" customWidth="true" hidden="false" outlineLevel="0" max="6405" min="6405" style="44" width="7.18"/>
    <col collapsed="false" customWidth="true" hidden="false" outlineLevel="0" max="6406" min="6406" style="44" width="57.54"/>
    <col collapsed="false" customWidth="true" hidden="false" outlineLevel="0" max="6407" min="6407" style="44" width="19.45"/>
    <col collapsed="false" customWidth="true" hidden="false" outlineLevel="0" max="6413" min="6408" style="44" width="3.82"/>
    <col collapsed="false" customWidth="true" hidden="false" outlineLevel="0" max="6414" min="6414" style="44" width="14.45"/>
    <col collapsed="false" customWidth="true" hidden="false" outlineLevel="0" max="6415" min="6415" style="44" width="12.18"/>
    <col collapsed="false" customWidth="true" hidden="false" outlineLevel="0" max="6416" min="6416" style="44" width="9.18"/>
    <col collapsed="false" customWidth="true" hidden="false" outlineLevel="0" max="6417" min="6417" style="44" width="35.82"/>
    <col collapsed="false" customWidth="false" hidden="false" outlineLevel="0" max="6419" min="6418" style="44" width="11.45"/>
    <col collapsed="false" customWidth="true" hidden="true" outlineLevel="0" max="6420" min="6420" style="44" width="11.53"/>
    <col collapsed="false" customWidth="true" hidden="false" outlineLevel="0" max="6421" min="6421" style="44" width="41.18"/>
    <col collapsed="false" customWidth="false" hidden="false" outlineLevel="0" max="6659" min="6422" style="44" width="11.45"/>
    <col collapsed="false" customWidth="true" hidden="false" outlineLevel="0" max="6660" min="6660" style="44" width="3.82"/>
    <col collapsed="false" customWidth="true" hidden="false" outlineLevel="0" max="6661" min="6661" style="44" width="7.18"/>
    <col collapsed="false" customWidth="true" hidden="false" outlineLevel="0" max="6662" min="6662" style="44" width="57.54"/>
    <col collapsed="false" customWidth="true" hidden="false" outlineLevel="0" max="6663" min="6663" style="44" width="19.45"/>
    <col collapsed="false" customWidth="true" hidden="false" outlineLevel="0" max="6669" min="6664" style="44" width="3.82"/>
    <col collapsed="false" customWidth="true" hidden="false" outlineLevel="0" max="6670" min="6670" style="44" width="14.45"/>
    <col collapsed="false" customWidth="true" hidden="false" outlineLevel="0" max="6671" min="6671" style="44" width="12.18"/>
    <col collapsed="false" customWidth="true" hidden="false" outlineLevel="0" max="6672" min="6672" style="44" width="9.18"/>
    <col collapsed="false" customWidth="true" hidden="false" outlineLevel="0" max="6673" min="6673" style="44" width="35.82"/>
    <col collapsed="false" customWidth="false" hidden="false" outlineLevel="0" max="6675" min="6674" style="44" width="11.45"/>
    <col collapsed="false" customWidth="true" hidden="true" outlineLevel="0" max="6676" min="6676" style="44" width="11.53"/>
    <col collapsed="false" customWidth="true" hidden="false" outlineLevel="0" max="6677" min="6677" style="44" width="41.18"/>
    <col collapsed="false" customWidth="false" hidden="false" outlineLevel="0" max="6915" min="6678" style="44" width="11.45"/>
    <col collapsed="false" customWidth="true" hidden="false" outlineLevel="0" max="6916" min="6916" style="44" width="3.82"/>
    <col collapsed="false" customWidth="true" hidden="false" outlineLevel="0" max="6917" min="6917" style="44" width="7.18"/>
    <col collapsed="false" customWidth="true" hidden="false" outlineLevel="0" max="6918" min="6918" style="44" width="57.54"/>
    <col collapsed="false" customWidth="true" hidden="false" outlineLevel="0" max="6919" min="6919" style="44" width="19.45"/>
    <col collapsed="false" customWidth="true" hidden="false" outlineLevel="0" max="6925" min="6920" style="44" width="3.82"/>
    <col collapsed="false" customWidth="true" hidden="false" outlineLevel="0" max="6926" min="6926" style="44" width="14.45"/>
    <col collapsed="false" customWidth="true" hidden="false" outlineLevel="0" max="6927" min="6927" style="44" width="12.18"/>
    <col collapsed="false" customWidth="true" hidden="false" outlineLevel="0" max="6928" min="6928" style="44" width="9.18"/>
    <col collapsed="false" customWidth="true" hidden="false" outlineLevel="0" max="6929" min="6929" style="44" width="35.82"/>
    <col collapsed="false" customWidth="false" hidden="false" outlineLevel="0" max="6931" min="6930" style="44" width="11.45"/>
    <col collapsed="false" customWidth="true" hidden="true" outlineLevel="0" max="6932" min="6932" style="44" width="11.53"/>
    <col collapsed="false" customWidth="true" hidden="false" outlineLevel="0" max="6933" min="6933" style="44" width="41.18"/>
    <col collapsed="false" customWidth="false" hidden="false" outlineLevel="0" max="7171" min="6934" style="44" width="11.45"/>
    <col collapsed="false" customWidth="true" hidden="false" outlineLevel="0" max="7172" min="7172" style="44" width="3.82"/>
    <col collapsed="false" customWidth="true" hidden="false" outlineLevel="0" max="7173" min="7173" style="44" width="7.18"/>
    <col collapsed="false" customWidth="true" hidden="false" outlineLevel="0" max="7174" min="7174" style="44" width="57.54"/>
    <col collapsed="false" customWidth="true" hidden="false" outlineLevel="0" max="7175" min="7175" style="44" width="19.45"/>
    <col collapsed="false" customWidth="true" hidden="false" outlineLevel="0" max="7181" min="7176" style="44" width="3.82"/>
    <col collapsed="false" customWidth="true" hidden="false" outlineLevel="0" max="7182" min="7182" style="44" width="14.45"/>
    <col collapsed="false" customWidth="true" hidden="false" outlineLevel="0" max="7183" min="7183" style="44" width="12.18"/>
    <col collapsed="false" customWidth="true" hidden="false" outlineLevel="0" max="7184" min="7184" style="44" width="9.18"/>
    <col collapsed="false" customWidth="true" hidden="false" outlineLevel="0" max="7185" min="7185" style="44" width="35.82"/>
    <col collapsed="false" customWidth="false" hidden="false" outlineLevel="0" max="7187" min="7186" style="44" width="11.45"/>
    <col collapsed="false" customWidth="true" hidden="true" outlineLevel="0" max="7188" min="7188" style="44" width="11.53"/>
    <col collapsed="false" customWidth="true" hidden="false" outlineLevel="0" max="7189" min="7189" style="44" width="41.18"/>
    <col collapsed="false" customWidth="false" hidden="false" outlineLevel="0" max="7427" min="7190" style="44" width="11.45"/>
    <col collapsed="false" customWidth="true" hidden="false" outlineLevel="0" max="7428" min="7428" style="44" width="3.82"/>
    <col collapsed="false" customWidth="true" hidden="false" outlineLevel="0" max="7429" min="7429" style="44" width="7.18"/>
    <col collapsed="false" customWidth="true" hidden="false" outlineLevel="0" max="7430" min="7430" style="44" width="57.54"/>
    <col collapsed="false" customWidth="true" hidden="false" outlineLevel="0" max="7431" min="7431" style="44" width="19.45"/>
    <col collapsed="false" customWidth="true" hidden="false" outlineLevel="0" max="7437" min="7432" style="44" width="3.82"/>
    <col collapsed="false" customWidth="true" hidden="false" outlineLevel="0" max="7438" min="7438" style="44" width="14.45"/>
    <col collapsed="false" customWidth="true" hidden="false" outlineLevel="0" max="7439" min="7439" style="44" width="12.18"/>
    <col collapsed="false" customWidth="true" hidden="false" outlineLevel="0" max="7440" min="7440" style="44" width="9.18"/>
    <col collapsed="false" customWidth="true" hidden="false" outlineLevel="0" max="7441" min="7441" style="44" width="35.82"/>
    <col collapsed="false" customWidth="false" hidden="false" outlineLevel="0" max="7443" min="7442" style="44" width="11.45"/>
    <col collapsed="false" customWidth="true" hidden="true" outlineLevel="0" max="7444" min="7444" style="44" width="11.53"/>
    <col collapsed="false" customWidth="true" hidden="false" outlineLevel="0" max="7445" min="7445" style="44" width="41.18"/>
    <col collapsed="false" customWidth="false" hidden="false" outlineLevel="0" max="7683" min="7446" style="44" width="11.45"/>
    <col collapsed="false" customWidth="true" hidden="false" outlineLevel="0" max="7684" min="7684" style="44" width="3.82"/>
    <col collapsed="false" customWidth="true" hidden="false" outlineLevel="0" max="7685" min="7685" style="44" width="7.18"/>
    <col collapsed="false" customWidth="true" hidden="false" outlineLevel="0" max="7686" min="7686" style="44" width="57.54"/>
    <col collapsed="false" customWidth="true" hidden="false" outlineLevel="0" max="7687" min="7687" style="44" width="19.45"/>
    <col collapsed="false" customWidth="true" hidden="false" outlineLevel="0" max="7693" min="7688" style="44" width="3.82"/>
    <col collapsed="false" customWidth="true" hidden="false" outlineLevel="0" max="7694" min="7694" style="44" width="14.45"/>
    <col collapsed="false" customWidth="true" hidden="false" outlineLevel="0" max="7695" min="7695" style="44" width="12.18"/>
    <col collapsed="false" customWidth="true" hidden="false" outlineLevel="0" max="7696" min="7696" style="44" width="9.18"/>
    <col collapsed="false" customWidth="true" hidden="false" outlineLevel="0" max="7697" min="7697" style="44" width="35.82"/>
    <col collapsed="false" customWidth="false" hidden="false" outlineLevel="0" max="7699" min="7698" style="44" width="11.45"/>
    <col collapsed="false" customWidth="true" hidden="true" outlineLevel="0" max="7700" min="7700" style="44" width="11.53"/>
    <col collapsed="false" customWidth="true" hidden="false" outlineLevel="0" max="7701" min="7701" style="44" width="41.18"/>
    <col collapsed="false" customWidth="false" hidden="false" outlineLevel="0" max="7939" min="7702" style="44" width="11.45"/>
    <col collapsed="false" customWidth="true" hidden="false" outlineLevel="0" max="7940" min="7940" style="44" width="3.82"/>
    <col collapsed="false" customWidth="true" hidden="false" outlineLevel="0" max="7941" min="7941" style="44" width="7.18"/>
    <col collapsed="false" customWidth="true" hidden="false" outlineLevel="0" max="7942" min="7942" style="44" width="57.54"/>
    <col collapsed="false" customWidth="true" hidden="false" outlineLevel="0" max="7943" min="7943" style="44" width="19.45"/>
    <col collapsed="false" customWidth="true" hidden="false" outlineLevel="0" max="7949" min="7944" style="44" width="3.82"/>
    <col collapsed="false" customWidth="true" hidden="false" outlineLevel="0" max="7950" min="7950" style="44" width="14.45"/>
    <col collapsed="false" customWidth="true" hidden="false" outlineLevel="0" max="7951" min="7951" style="44" width="12.18"/>
    <col collapsed="false" customWidth="true" hidden="false" outlineLevel="0" max="7952" min="7952" style="44" width="9.18"/>
    <col collapsed="false" customWidth="true" hidden="false" outlineLevel="0" max="7953" min="7953" style="44" width="35.82"/>
    <col collapsed="false" customWidth="false" hidden="false" outlineLevel="0" max="7955" min="7954" style="44" width="11.45"/>
    <col collapsed="false" customWidth="true" hidden="true" outlineLevel="0" max="7956" min="7956" style="44" width="11.53"/>
    <col collapsed="false" customWidth="true" hidden="false" outlineLevel="0" max="7957" min="7957" style="44" width="41.18"/>
    <col collapsed="false" customWidth="false" hidden="false" outlineLevel="0" max="8195" min="7958" style="44" width="11.45"/>
    <col collapsed="false" customWidth="true" hidden="false" outlineLevel="0" max="8196" min="8196" style="44" width="3.82"/>
    <col collapsed="false" customWidth="true" hidden="false" outlineLevel="0" max="8197" min="8197" style="44" width="7.18"/>
    <col collapsed="false" customWidth="true" hidden="false" outlineLevel="0" max="8198" min="8198" style="44" width="57.54"/>
    <col collapsed="false" customWidth="true" hidden="false" outlineLevel="0" max="8199" min="8199" style="44" width="19.45"/>
    <col collapsed="false" customWidth="true" hidden="false" outlineLevel="0" max="8205" min="8200" style="44" width="3.82"/>
    <col collapsed="false" customWidth="true" hidden="false" outlineLevel="0" max="8206" min="8206" style="44" width="14.45"/>
    <col collapsed="false" customWidth="true" hidden="false" outlineLevel="0" max="8207" min="8207" style="44" width="12.18"/>
    <col collapsed="false" customWidth="true" hidden="false" outlineLevel="0" max="8208" min="8208" style="44" width="9.18"/>
    <col collapsed="false" customWidth="true" hidden="false" outlineLevel="0" max="8209" min="8209" style="44" width="35.82"/>
    <col collapsed="false" customWidth="false" hidden="false" outlineLevel="0" max="8211" min="8210" style="44" width="11.45"/>
    <col collapsed="false" customWidth="true" hidden="true" outlineLevel="0" max="8212" min="8212" style="44" width="11.53"/>
    <col collapsed="false" customWidth="true" hidden="false" outlineLevel="0" max="8213" min="8213" style="44" width="41.18"/>
    <col collapsed="false" customWidth="false" hidden="false" outlineLevel="0" max="8451" min="8214" style="44" width="11.45"/>
    <col collapsed="false" customWidth="true" hidden="false" outlineLevel="0" max="8452" min="8452" style="44" width="3.82"/>
    <col collapsed="false" customWidth="true" hidden="false" outlineLevel="0" max="8453" min="8453" style="44" width="7.18"/>
    <col collapsed="false" customWidth="true" hidden="false" outlineLevel="0" max="8454" min="8454" style="44" width="57.54"/>
    <col collapsed="false" customWidth="true" hidden="false" outlineLevel="0" max="8455" min="8455" style="44" width="19.45"/>
    <col collapsed="false" customWidth="true" hidden="false" outlineLevel="0" max="8461" min="8456" style="44" width="3.82"/>
    <col collapsed="false" customWidth="true" hidden="false" outlineLevel="0" max="8462" min="8462" style="44" width="14.45"/>
    <col collapsed="false" customWidth="true" hidden="false" outlineLevel="0" max="8463" min="8463" style="44" width="12.18"/>
    <col collapsed="false" customWidth="true" hidden="false" outlineLevel="0" max="8464" min="8464" style="44" width="9.18"/>
    <col collapsed="false" customWidth="true" hidden="false" outlineLevel="0" max="8465" min="8465" style="44" width="35.82"/>
    <col collapsed="false" customWidth="false" hidden="false" outlineLevel="0" max="8467" min="8466" style="44" width="11.45"/>
    <col collapsed="false" customWidth="true" hidden="true" outlineLevel="0" max="8468" min="8468" style="44" width="11.53"/>
    <col collapsed="false" customWidth="true" hidden="false" outlineLevel="0" max="8469" min="8469" style="44" width="41.18"/>
    <col collapsed="false" customWidth="false" hidden="false" outlineLevel="0" max="8707" min="8470" style="44" width="11.45"/>
    <col collapsed="false" customWidth="true" hidden="false" outlineLevel="0" max="8708" min="8708" style="44" width="3.82"/>
    <col collapsed="false" customWidth="true" hidden="false" outlineLevel="0" max="8709" min="8709" style="44" width="7.18"/>
    <col collapsed="false" customWidth="true" hidden="false" outlineLevel="0" max="8710" min="8710" style="44" width="57.54"/>
    <col collapsed="false" customWidth="true" hidden="false" outlineLevel="0" max="8711" min="8711" style="44" width="19.45"/>
    <col collapsed="false" customWidth="true" hidden="false" outlineLevel="0" max="8717" min="8712" style="44" width="3.82"/>
    <col collapsed="false" customWidth="true" hidden="false" outlineLevel="0" max="8718" min="8718" style="44" width="14.45"/>
    <col collapsed="false" customWidth="true" hidden="false" outlineLevel="0" max="8719" min="8719" style="44" width="12.18"/>
    <col collapsed="false" customWidth="true" hidden="false" outlineLevel="0" max="8720" min="8720" style="44" width="9.18"/>
    <col collapsed="false" customWidth="true" hidden="false" outlineLevel="0" max="8721" min="8721" style="44" width="35.82"/>
    <col collapsed="false" customWidth="false" hidden="false" outlineLevel="0" max="8723" min="8722" style="44" width="11.45"/>
    <col collapsed="false" customWidth="true" hidden="true" outlineLevel="0" max="8724" min="8724" style="44" width="11.53"/>
    <col collapsed="false" customWidth="true" hidden="false" outlineLevel="0" max="8725" min="8725" style="44" width="41.18"/>
    <col collapsed="false" customWidth="false" hidden="false" outlineLevel="0" max="8963" min="8726" style="44" width="11.45"/>
    <col collapsed="false" customWidth="true" hidden="false" outlineLevel="0" max="8964" min="8964" style="44" width="3.82"/>
    <col collapsed="false" customWidth="true" hidden="false" outlineLevel="0" max="8965" min="8965" style="44" width="7.18"/>
    <col collapsed="false" customWidth="true" hidden="false" outlineLevel="0" max="8966" min="8966" style="44" width="57.54"/>
    <col collapsed="false" customWidth="true" hidden="false" outlineLevel="0" max="8967" min="8967" style="44" width="19.45"/>
    <col collapsed="false" customWidth="true" hidden="false" outlineLevel="0" max="8973" min="8968" style="44" width="3.82"/>
    <col collapsed="false" customWidth="true" hidden="false" outlineLevel="0" max="8974" min="8974" style="44" width="14.45"/>
    <col collapsed="false" customWidth="true" hidden="false" outlineLevel="0" max="8975" min="8975" style="44" width="12.18"/>
    <col collapsed="false" customWidth="true" hidden="false" outlineLevel="0" max="8976" min="8976" style="44" width="9.18"/>
    <col collapsed="false" customWidth="true" hidden="false" outlineLevel="0" max="8977" min="8977" style="44" width="35.82"/>
    <col collapsed="false" customWidth="false" hidden="false" outlineLevel="0" max="8979" min="8978" style="44" width="11.45"/>
    <col collapsed="false" customWidth="true" hidden="true" outlineLevel="0" max="8980" min="8980" style="44" width="11.53"/>
    <col collapsed="false" customWidth="true" hidden="false" outlineLevel="0" max="8981" min="8981" style="44" width="41.18"/>
    <col collapsed="false" customWidth="false" hidden="false" outlineLevel="0" max="9219" min="8982" style="44" width="11.45"/>
    <col collapsed="false" customWidth="true" hidden="false" outlineLevel="0" max="9220" min="9220" style="44" width="3.82"/>
    <col collapsed="false" customWidth="true" hidden="false" outlineLevel="0" max="9221" min="9221" style="44" width="7.18"/>
    <col collapsed="false" customWidth="true" hidden="false" outlineLevel="0" max="9222" min="9222" style="44" width="57.54"/>
    <col collapsed="false" customWidth="true" hidden="false" outlineLevel="0" max="9223" min="9223" style="44" width="19.45"/>
    <col collapsed="false" customWidth="true" hidden="false" outlineLevel="0" max="9229" min="9224" style="44" width="3.82"/>
    <col collapsed="false" customWidth="true" hidden="false" outlineLevel="0" max="9230" min="9230" style="44" width="14.45"/>
    <col collapsed="false" customWidth="true" hidden="false" outlineLevel="0" max="9231" min="9231" style="44" width="12.18"/>
    <col collapsed="false" customWidth="true" hidden="false" outlineLevel="0" max="9232" min="9232" style="44" width="9.18"/>
    <col collapsed="false" customWidth="true" hidden="false" outlineLevel="0" max="9233" min="9233" style="44" width="35.82"/>
    <col collapsed="false" customWidth="false" hidden="false" outlineLevel="0" max="9235" min="9234" style="44" width="11.45"/>
    <col collapsed="false" customWidth="true" hidden="true" outlineLevel="0" max="9236" min="9236" style="44" width="11.53"/>
    <col collapsed="false" customWidth="true" hidden="false" outlineLevel="0" max="9237" min="9237" style="44" width="41.18"/>
    <col collapsed="false" customWidth="false" hidden="false" outlineLevel="0" max="9475" min="9238" style="44" width="11.45"/>
    <col collapsed="false" customWidth="true" hidden="false" outlineLevel="0" max="9476" min="9476" style="44" width="3.82"/>
    <col collapsed="false" customWidth="true" hidden="false" outlineLevel="0" max="9477" min="9477" style="44" width="7.18"/>
    <col collapsed="false" customWidth="true" hidden="false" outlineLevel="0" max="9478" min="9478" style="44" width="57.54"/>
    <col collapsed="false" customWidth="true" hidden="false" outlineLevel="0" max="9479" min="9479" style="44" width="19.45"/>
    <col collapsed="false" customWidth="true" hidden="false" outlineLevel="0" max="9485" min="9480" style="44" width="3.82"/>
    <col collapsed="false" customWidth="true" hidden="false" outlineLevel="0" max="9486" min="9486" style="44" width="14.45"/>
    <col collapsed="false" customWidth="true" hidden="false" outlineLevel="0" max="9487" min="9487" style="44" width="12.18"/>
    <col collapsed="false" customWidth="true" hidden="false" outlineLevel="0" max="9488" min="9488" style="44" width="9.18"/>
    <col collapsed="false" customWidth="true" hidden="false" outlineLevel="0" max="9489" min="9489" style="44" width="35.82"/>
    <col collapsed="false" customWidth="false" hidden="false" outlineLevel="0" max="9491" min="9490" style="44" width="11.45"/>
    <col collapsed="false" customWidth="true" hidden="true" outlineLevel="0" max="9492" min="9492" style="44" width="11.53"/>
    <col collapsed="false" customWidth="true" hidden="false" outlineLevel="0" max="9493" min="9493" style="44" width="41.18"/>
    <col collapsed="false" customWidth="false" hidden="false" outlineLevel="0" max="9731" min="9494" style="44" width="11.45"/>
    <col collapsed="false" customWidth="true" hidden="false" outlineLevel="0" max="9732" min="9732" style="44" width="3.82"/>
    <col collapsed="false" customWidth="true" hidden="false" outlineLevel="0" max="9733" min="9733" style="44" width="7.18"/>
    <col collapsed="false" customWidth="true" hidden="false" outlineLevel="0" max="9734" min="9734" style="44" width="57.54"/>
    <col collapsed="false" customWidth="true" hidden="false" outlineLevel="0" max="9735" min="9735" style="44" width="19.45"/>
    <col collapsed="false" customWidth="true" hidden="false" outlineLevel="0" max="9741" min="9736" style="44" width="3.82"/>
    <col collapsed="false" customWidth="true" hidden="false" outlineLevel="0" max="9742" min="9742" style="44" width="14.45"/>
    <col collapsed="false" customWidth="true" hidden="false" outlineLevel="0" max="9743" min="9743" style="44" width="12.18"/>
    <col collapsed="false" customWidth="true" hidden="false" outlineLevel="0" max="9744" min="9744" style="44" width="9.18"/>
    <col collapsed="false" customWidth="true" hidden="false" outlineLevel="0" max="9745" min="9745" style="44" width="35.82"/>
    <col collapsed="false" customWidth="false" hidden="false" outlineLevel="0" max="9747" min="9746" style="44" width="11.45"/>
    <col collapsed="false" customWidth="true" hidden="true" outlineLevel="0" max="9748" min="9748" style="44" width="11.53"/>
    <col collapsed="false" customWidth="true" hidden="false" outlineLevel="0" max="9749" min="9749" style="44" width="41.18"/>
    <col collapsed="false" customWidth="false" hidden="false" outlineLevel="0" max="9987" min="9750" style="44" width="11.45"/>
    <col collapsed="false" customWidth="true" hidden="false" outlineLevel="0" max="9988" min="9988" style="44" width="3.82"/>
    <col collapsed="false" customWidth="true" hidden="false" outlineLevel="0" max="9989" min="9989" style="44" width="7.18"/>
    <col collapsed="false" customWidth="true" hidden="false" outlineLevel="0" max="9990" min="9990" style="44" width="57.54"/>
    <col collapsed="false" customWidth="true" hidden="false" outlineLevel="0" max="9991" min="9991" style="44" width="19.45"/>
    <col collapsed="false" customWidth="true" hidden="false" outlineLevel="0" max="9997" min="9992" style="44" width="3.82"/>
    <col collapsed="false" customWidth="true" hidden="false" outlineLevel="0" max="9998" min="9998" style="44" width="14.45"/>
    <col collapsed="false" customWidth="true" hidden="false" outlineLevel="0" max="9999" min="9999" style="44" width="12.18"/>
    <col collapsed="false" customWidth="true" hidden="false" outlineLevel="0" max="10000" min="10000" style="44" width="9.18"/>
    <col collapsed="false" customWidth="true" hidden="false" outlineLevel="0" max="10001" min="10001" style="44" width="35.82"/>
    <col collapsed="false" customWidth="false" hidden="false" outlineLevel="0" max="10003" min="10002" style="44" width="11.45"/>
    <col collapsed="false" customWidth="true" hidden="true" outlineLevel="0" max="10004" min="10004" style="44" width="11.53"/>
    <col collapsed="false" customWidth="true" hidden="false" outlineLevel="0" max="10005" min="10005" style="44" width="41.18"/>
    <col collapsed="false" customWidth="false" hidden="false" outlineLevel="0" max="10243" min="10006" style="44" width="11.45"/>
    <col collapsed="false" customWidth="true" hidden="false" outlineLevel="0" max="10244" min="10244" style="44" width="3.82"/>
    <col collapsed="false" customWidth="true" hidden="false" outlineLevel="0" max="10245" min="10245" style="44" width="7.18"/>
    <col collapsed="false" customWidth="true" hidden="false" outlineLevel="0" max="10246" min="10246" style="44" width="57.54"/>
    <col collapsed="false" customWidth="true" hidden="false" outlineLevel="0" max="10247" min="10247" style="44" width="19.45"/>
    <col collapsed="false" customWidth="true" hidden="false" outlineLevel="0" max="10253" min="10248" style="44" width="3.82"/>
    <col collapsed="false" customWidth="true" hidden="false" outlineLevel="0" max="10254" min="10254" style="44" width="14.45"/>
    <col collapsed="false" customWidth="true" hidden="false" outlineLevel="0" max="10255" min="10255" style="44" width="12.18"/>
    <col collapsed="false" customWidth="true" hidden="false" outlineLevel="0" max="10256" min="10256" style="44" width="9.18"/>
    <col collapsed="false" customWidth="true" hidden="false" outlineLevel="0" max="10257" min="10257" style="44" width="35.82"/>
    <col collapsed="false" customWidth="false" hidden="false" outlineLevel="0" max="10259" min="10258" style="44" width="11.45"/>
    <col collapsed="false" customWidth="true" hidden="true" outlineLevel="0" max="10260" min="10260" style="44" width="11.53"/>
    <col collapsed="false" customWidth="true" hidden="false" outlineLevel="0" max="10261" min="10261" style="44" width="41.18"/>
    <col collapsed="false" customWidth="false" hidden="false" outlineLevel="0" max="10499" min="10262" style="44" width="11.45"/>
    <col collapsed="false" customWidth="true" hidden="false" outlineLevel="0" max="10500" min="10500" style="44" width="3.82"/>
    <col collapsed="false" customWidth="true" hidden="false" outlineLevel="0" max="10501" min="10501" style="44" width="7.18"/>
    <col collapsed="false" customWidth="true" hidden="false" outlineLevel="0" max="10502" min="10502" style="44" width="57.54"/>
    <col collapsed="false" customWidth="true" hidden="false" outlineLevel="0" max="10503" min="10503" style="44" width="19.45"/>
    <col collapsed="false" customWidth="true" hidden="false" outlineLevel="0" max="10509" min="10504" style="44" width="3.82"/>
    <col collapsed="false" customWidth="true" hidden="false" outlineLevel="0" max="10510" min="10510" style="44" width="14.45"/>
    <col collapsed="false" customWidth="true" hidden="false" outlineLevel="0" max="10511" min="10511" style="44" width="12.18"/>
    <col collapsed="false" customWidth="true" hidden="false" outlineLevel="0" max="10512" min="10512" style="44" width="9.18"/>
    <col collapsed="false" customWidth="true" hidden="false" outlineLevel="0" max="10513" min="10513" style="44" width="35.82"/>
    <col collapsed="false" customWidth="false" hidden="false" outlineLevel="0" max="10515" min="10514" style="44" width="11.45"/>
    <col collapsed="false" customWidth="true" hidden="true" outlineLevel="0" max="10516" min="10516" style="44" width="11.53"/>
    <col collapsed="false" customWidth="true" hidden="false" outlineLevel="0" max="10517" min="10517" style="44" width="41.18"/>
    <col collapsed="false" customWidth="false" hidden="false" outlineLevel="0" max="10755" min="10518" style="44" width="11.45"/>
    <col collapsed="false" customWidth="true" hidden="false" outlineLevel="0" max="10756" min="10756" style="44" width="3.82"/>
    <col collapsed="false" customWidth="true" hidden="false" outlineLevel="0" max="10757" min="10757" style="44" width="7.18"/>
    <col collapsed="false" customWidth="true" hidden="false" outlineLevel="0" max="10758" min="10758" style="44" width="57.54"/>
    <col collapsed="false" customWidth="true" hidden="false" outlineLevel="0" max="10759" min="10759" style="44" width="19.45"/>
    <col collapsed="false" customWidth="true" hidden="false" outlineLevel="0" max="10765" min="10760" style="44" width="3.82"/>
    <col collapsed="false" customWidth="true" hidden="false" outlineLevel="0" max="10766" min="10766" style="44" width="14.45"/>
    <col collapsed="false" customWidth="true" hidden="false" outlineLevel="0" max="10767" min="10767" style="44" width="12.18"/>
    <col collapsed="false" customWidth="true" hidden="false" outlineLevel="0" max="10768" min="10768" style="44" width="9.18"/>
    <col collapsed="false" customWidth="true" hidden="false" outlineLevel="0" max="10769" min="10769" style="44" width="35.82"/>
    <col collapsed="false" customWidth="false" hidden="false" outlineLevel="0" max="10771" min="10770" style="44" width="11.45"/>
    <col collapsed="false" customWidth="true" hidden="true" outlineLevel="0" max="10772" min="10772" style="44" width="11.53"/>
    <col collapsed="false" customWidth="true" hidden="false" outlineLevel="0" max="10773" min="10773" style="44" width="41.18"/>
    <col collapsed="false" customWidth="false" hidden="false" outlineLevel="0" max="11011" min="10774" style="44" width="11.45"/>
    <col collapsed="false" customWidth="true" hidden="false" outlineLevel="0" max="11012" min="11012" style="44" width="3.82"/>
    <col collapsed="false" customWidth="true" hidden="false" outlineLevel="0" max="11013" min="11013" style="44" width="7.18"/>
    <col collapsed="false" customWidth="true" hidden="false" outlineLevel="0" max="11014" min="11014" style="44" width="57.54"/>
    <col collapsed="false" customWidth="true" hidden="false" outlineLevel="0" max="11015" min="11015" style="44" width="19.45"/>
    <col collapsed="false" customWidth="true" hidden="false" outlineLevel="0" max="11021" min="11016" style="44" width="3.82"/>
    <col collapsed="false" customWidth="true" hidden="false" outlineLevel="0" max="11022" min="11022" style="44" width="14.45"/>
    <col collapsed="false" customWidth="true" hidden="false" outlineLevel="0" max="11023" min="11023" style="44" width="12.18"/>
    <col collapsed="false" customWidth="true" hidden="false" outlineLevel="0" max="11024" min="11024" style="44" width="9.18"/>
    <col collapsed="false" customWidth="true" hidden="false" outlineLevel="0" max="11025" min="11025" style="44" width="35.82"/>
    <col collapsed="false" customWidth="false" hidden="false" outlineLevel="0" max="11027" min="11026" style="44" width="11.45"/>
    <col collapsed="false" customWidth="true" hidden="true" outlineLevel="0" max="11028" min="11028" style="44" width="11.53"/>
    <col collapsed="false" customWidth="true" hidden="false" outlineLevel="0" max="11029" min="11029" style="44" width="41.18"/>
    <col collapsed="false" customWidth="false" hidden="false" outlineLevel="0" max="11267" min="11030" style="44" width="11.45"/>
    <col collapsed="false" customWidth="true" hidden="false" outlineLevel="0" max="11268" min="11268" style="44" width="3.82"/>
    <col collapsed="false" customWidth="true" hidden="false" outlineLevel="0" max="11269" min="11269" style="44" width="7.18"/>
    <col collapsed="false" customWidth="true" hidden="false" outlineLevel="0" max="11270" min="11270" style="44" width="57.54"/>
    <col collapsed="false" customWidth="true" hidden="false" outlineLevel="0" max="11271" min="11271" style="44" width="19.45"/>
    <col collapsed="false" customWidth="true" hidden="false" outlineLevel="0" max="11277" min="11272" style="44" width="3.82"/>
    <col collapsed="false" customWidth="true" hidden="false" outlineLevel="0" max="11278" min="11278" style="44" width="14.45"/>
    <col collapsed="false" customWidth="true" hidden="false" outlineLevel="0" max="11279" min="11279" style="44" width="12.18"/>
    <col collapsed="false" customWidth="true" hidden="false" outlineLevel="0" max="11280" min="11280" style="44" width="9.18"/>
    <col collapsed="false" customWidth="true" hidden="false" outlineLevel="0" max="11281" min="11281" style="44" width="35.82"/>
    <col collapsed="false" customWidth="false" hidden="false" outlineLevel="0" max="11283" min="11282" style="44" width="11.45"/>
    <col collapsed="false" customWidth="true" hidden="true" outlineLevel="0" max="11284" min="11284" style="44" width="11.53"/>
    <col collapsed="false" customWidth="true" hidden="false" outlineLevel="0" max="11285" min="11285" style="44" width="41.18"/>
    <col collapsed="false" customWidth="false" hidden="false" outlineLevel="0" max="11523" min="11286" style="44" width="11.45"/>
    <col collapsed="false" customWidth="true" hidden="false" outlineLevel="0" max="11524" min="11524" style="44" width="3.82"/>
    <col collapsed="false" customWidth="true" hidden="false" outlineLevel="0" max="11525" min="11525" style="44" width="7.18"/>
    <col collapsed="false" customWidth="true" hidden="false" outlineLevel="0" max="11526" min="11526" style="44" width="57.54"/>
    <col collapsed="false" customWidth="true" hidden="false" outlineLevel="0" max="11527" min="11527" style="44" width="19.45"/>
    <col collapsed="false" customWidth="true" hidden="false" outlineLevel="0" max="11533" min="11528" style="44" width="3.82"/>
    <col collapsed="false" customWidth="true" hidden="false" outlineLevel="0" max="11534" min="11534" style="44" width="14.45"/>
    <col collapsed="false" customWidth="true" hidden="false" outlineLevel="0" max="11535" min="11535" style="44" width="12.18"/>
    <col collapsed="false" customWidth="true" hidden="false" outlineLevel="0" max="11536" min="11536" style="44" width="9.18"/>
    <col collapsed="false" customWidth="true" hidden="false" outlineLevel="0" max="11537" min="11537" style="44" width="35.82"/>
    <col collapsed="false" customWidth="false" hidden="false" outlineLevel="0" max="11539" min="11538" style="44" width="11.45"/>
    <col collapsed="false" customWidth="true" hidden="true" outlineLevel="0" max="11540" min="11540" style="44" width="11.53"/>
    <col collapsed="false" customWidth="true" hidden="false" outlineLevel="0" max="11541" min="11541" style="44" width="41.18"/>
    <col collapsed="false" customWidth="false" hidden="false" outlineLevel="0" max="11779" min="11542" style="44" width="11.45"/>
    <col collapsed="false" customWidth="true" hidden="false" outlineLevel="0" max="11780" min="11780" style="44" width="3.82"/>
    <col collapsed="false" customWidth="true" hidden="false" outlineLevel="0" max="11781" min="11781" style="44" width="7.18"/>
    <col collapsed="false" customWidth="true" hidden="false" outlineLevel="0" max="11782" min="11782" style="44" width="57.54"/>
    <col collapsed="false" customWidth="true" hidden="false" outlineLevel="0" max="11783" min="11783" style="44" width="19.45"/>
    <col collapsed="false" customWidth="true" hidden="false" outlineLevel="0" max="11789" min="11784" style="44" width="3.82"/>
    <col collapsed="false" customWidth="true" hidden="false" outlineLevel="0" max="11790" min="11790" style="44" width="14.45"/>
    <col collapsed="false" customWidth="true" hidden="false" outlineLevel="0" max="11791" min="11791" style="44" width="12.18"/>
    <col collapsed="false" customWidth="true" hidden="false" outlineLevel="0" max="11792" min="11792" style="44" width="9.18"/>
    <col collapsed="false" customWidth="true" hidden="false" outlineLevel="0" max="11793" min="11793" style="44" width="35.82"/>
    <col collapsed="false" customWidth="false" hidden="false" outlineLevel="0" max="11795" min="11794" style="44" width="11.45"/>
    <col collapsed="false" customWidth="true" hidden="true" outlineLevel="0" max="11796" min="11796" style="44" width="11.53"/>
    <col collapsed="false" customWidth="true" hidden="false" outlineLevel="0" max="11797" min="11797" style="44" width="41.18"/>
    <col collapsed="false" customWidth="false" hidden="false" outlineLevel="0" max="12035" min="11798" style="44" width="11.45"/>
    <col collapsed="false" customWidth="true" hidden="false" outlineLevel="0" max="12036" min="12036" style="44" width="3.82"/>
    <col collapsed="false" customWidth="true" hidden="false" outlineLevel="0" max="12037" min="12037" style="44" width="7.18"/>
    <col collapsed="false" customWidth="true" hidden="false" outlineLevel="0" max="12038" min="12038" style="44" width="57.54"/>
    <col collapsed="false" customWidth="true" hidden="false" outlineLevel="0" max="12039" min="12039" style="44" width="19.45"/>
    <col collapsed="false" customWidth="true" hidden="false" outlineLevel="0" max="12045" min="12040" style="44" width="3.82"/>
    <col collapsed="false" customWidth="true" hidden="false" outlineLevel="0" max="12046" min="12046" style="44" width="14.45"/>
    <col collapsed="false" customWidth="true" hidden="false" outlineLevel="0" max="12047" min="12047" style="44" width="12.18"/>
    <col collapsed="false" customWidth="true" hidden="false" outlineLevel="0" max="12048" min="12048" style="44" width="9.18"/>
    <col collapsed="false" customWidth="true" hidden="false" outlineLevel="0" max="12049" min="12049" style="44" width="35.82"/>
    <col collapsed="false" customWidth="false" hidden="false" outlineLevel="0" max="12051" min="12050" style="44" width="11.45"/>
    <col collapsed="false" customWidth="true" hidden="true" outlineLevel="0" max="12052" min="12052" style="44" width="11.53"/>
    <col collapsed="false" customWidth="true" hidden="false" outlineLevel="0" max="12053" min="12053" style="44" width="41.18"/>
    <col collapsed="false" customWidth="false" hidden="false" outlineLevel="0" max="12291" min="12054" style="44" width="11.45"/>
    <col collapsed="false" customWidth="true" hidden="false" outlineLevel="0" max="12292" min="12292" style="44" width="3.82"/>
    <col collapsed="false" customWidth="true" hidden="false" outlineLevel="0" max="12293" min="12293" style="44" width="7.18"/>
    <col collapsed="false" customWidth="true" hidden="false" outlineLevel="0" max="12294" min="12294" style="44" width="57.54"/>
    <col collapsed="false" customWidth="true" hidden="false" outlineLevel="0" max="12295" min="12295" style="44" width="19.45"/>
    <col collapsed="false" customWidth="true" hidden="false" outlineLevel="0" max="12301" min="12296" style="44" width="3.82"/>
    <col collapsed="false" customWidth="true" hidden="false" outlineLevel="0" max="12302" min="12302" style="44" width="14.45"/>
    <col collapsed="false" customWidth="true" hidden="false" outlineLevel="0" max="12303" min="12303" style="44" width="12.18"/>
    <col collapsed="false" customWidth="true" hidden="false" outlineLevel="0" max="12304" min="12304" style="44" width="9.18"/>
    <col collapsed="false" customWidth="true" hidden="false" outlineLevel="0" max="12305" min="12305" style="44" width="35.82"/>
    <col collapsed="false" customWidth="false" hidden="false" outlineLevel="0" max="12307" min="12306" style="44" width="11.45"/>
    <col collapsed="false" customWidth="true" hidden="true" outlineLevel="0" max="12308" min="12308" style="44" width="11.53"/>
    <col collapsed="false" customWidth="true" hidden="false" outlineLevel="0" max="12309" min="12309" style="44" width="41.18"/>
    <col collapsed="false" customWidth="false" hidden="false" outlineLevel="0" max="12547" min="12310" style="44" width="11.45"/>
    <col collapsed="false" customWidth="true" hidden="false" outlineLevel="0" max="12548" min="12548" style="44" width="3.82"/>
    <col collapsed="false" customWidth="true" hidden="false" outlineLevel="0" max="12549" min="12549" style="44" width="7.18"/>
    <col collapsed="false" customWidth="true" hidden="false" outlineLevel="0" max="12550" min="12550" style="44" width="57.54"/>
    <col collapsed="false" customWidth="true" hidden="false" outlineLevel="0" max="12551" min="12551" style="44" width="19.45"/>
    <col collapsed="false" customWidth="true" hidden="false" outlineLevel="0" max="12557" min="12552" style="44" width="3.82"/>
    <col collapsed="false" customWidth="true" hidden="false" outlineLevel="0" max="12558" min="12558" style="44" width="14.45"/>
    <col collapsed="false" customWidth="true" hidden="false" outlineLevel="0" max="12559" min="12559" style="44" width="12.18"/>
    <col collapsed="false" customWidth="true" hidden="false" outlineLevel="0" max="12560" min="12560" style="44" width="9.18"/>
    <col collapsed="false" customWidth="true" hidden="false" outlineLevel="0" max="12561" min="12561" style="44" width="35.82"/>
    <col collapsed="false" customWidth="false" hidden="false" outlineLevel="0" max="12563" min="12562" style="44" width="11.45"/>
    <col collapsed="false" customWidth="true" hidden="true" outlineLevel="0" max="12564" min="12564" style="44" width="11.53"/>
    <col collapsed="false" customWidth="true" hidden="false" outlineLevel="0" max="12565" min="12565" style="44" width="41.18"/>
    <col collapsed="false" customWidth="false" hidden="false" outlineLevel="0" max="12803" min="12566" style="44" width="11.45"/>
    <col collapsed="false" customWidth="true" hidden="false" outlineLevel="0" max="12804" min="12804" style="44" width="3.82"/>
    <col collapsed="false" customWidth="true" hidden="false" outlineLevel="0" max="12805" min="12805" style="44" width="7.18"/>
    <col collapsed="false" customWidth="true" hidden="false" outlineLevel="0" max="12806" min="12806" style="44" width="57.54"/>
    <col collapsed="false" customWidth="true" hidden="false" outlineLevel="0" max="12807" min="12807" style="44" width="19.45"/>
    <col collapsed="false" customWidth="true" hidden="false" outlineLevel="0" max="12813" min="12808" style="44" width="3.82"/>
    <col collapsed="false" customWidth="true" hidden="false" outlineLevel="0" max="12814" min="12814" style="44" width="14.45"/>
    <col collapsed="false" customWidth="true" hidden="false" outlineLevel="0" max="12815" min="12815" style="44" width="12.18"/>
    <col collapsed="false" customWidth="true" hidden="false" outlineLevel="0" max="12816" min="12816" style="44" width="9.18"/>
    <col collapsed="false" customWidth="true" hidden="false" outlineLevel="0" max="12817" min="12817" style="44" width="35.82"/>
    <col collapsed="false" customWidth="false" hidden="false" outlineLevel="0" max="12819" min="12818" style="44" width="11.45"/>
    <col collapsed="false" customWidth="true" hidden="true" outlineLevel="0" max="12820" min="12820" style="44" width="11.53"/>
    <col collapsed="false" customWidth="true" hidden="false" outlineLevel="0" max="12821" min="12821" style="44" width="41.18"/>
    <col collapsed="false" customWidth="false" hidden="false" outlineLevel="0" max="13059" min="12822" style="44" width="11.45"/>
    <col collapsed="false" customWidth="true" hidden="false" outlineLevel="0" max="13060" min="13060" style="44" width="3.82"/>
    <col collapsed="false" customWidth="true" hidden="false" outlineLevel="0" max="13061" min="13061" style="44" width="7.18"/>
    <col collapsed="false" customWidth="true" hidden="false" outlineLevel="0" max="13062" min="13062" style="44" width="57.54"/>
    <col collapsed="false" customWidth="true" hidden="false" outlineLevel="0" max="13063" min="13063" style="44" width="19.45"/>
    <col collapsed="false" customWidth="true" hidden="false" outlineLevel="0" max="13069" min="13064" style="44" width="3.82"/>
    <col collapsed="false" customWidth="true" hidden="false" outlineLevel="0" max="13070" min="13070" style="44" width="14.45"/>
    <col collapsed="false" customWidth="true" hidden="false" outlineLevel="0" max="13071" min="13071" style="44" width="12.18"/>
    <col collapsed="false" customWidth="true" hidden="false" outlineLevel="0" max="13072" min="13072" style="44" width="9.18"/>
    <col collapsed="false" customWidth="true" hidden="false" outlineLevel="0" max="13073" min="13073" style="44" width="35.82"/>
    <col collapsed="false" customWidth="false" hidden="false" outlineLevel="0" max="13075" min="13074" style="44" width="11.45"/>
    <col collapsed="false" customWidth="true" hidden="true" outlineLevel="0" max="13076" min="13076" style="44" width="11.53"/>
    <col collapsed="false" customWidth="true" hidden="false" outlineLevel="0" max="13077" min="13077" style="44" width="41.18"/>
    <col collapsed="false" customWidth="false" hidden="false" outlineLevel="0" max="13315" min="13078" style="44" width="11.45"/>
    <col collapsed="false" customWidth="true" hidden="false" outlineLevel="0" max="13316" min="13316" style="44" width="3.82"/>
    <col collapsed="false" customWidth="true" hidden="false" outlineLevel="0" max="13317" min="13317" style="44" width="7.18"/>
    <col collapsed="false" customWidth="true" hidden="false" outlineLevel="0" max="13318" min="13318" style="44" width="57.54"/>
    <col collapsed="false" customWidth="true" hidden="false" outlineLevel="0" max="13319" min="13319" style="44" width="19.45"/>
    <col collapsed="false" customWidth="true" hidden="false" outlineLevel="0" max="13325" min="13320" style="44" width="3.82"/>
    <col collapsed="false" customWidth="true" hidden="false" outlineLevel="0" max="13326" min="13326" style="44" width="14.45"/>
    <col collapsed="false" customWidth="true" hidden="false" outlineLevel="0" max="13327" min="13327" style="44" width="12.18"/>
    <col collapsed="false" customWidth="true" hidden="false" outlineLevel="0" max="13328" min="13328" style="44" width="9.18"/>
    <col collapsed="false" customWidth="true" hidden="false" outlineLevel="0" max="13329" min="13329" style="44" width="35.82"/>
    <col collapsed="false" customWidth="false" hidden="false" outlineLevel="0" max="13331" min="13330" style="44" width="11.45"/>
    <col collapsed="false" customWidth="true" hidden="true" outlineLevel="0" max="13332" min="13332" style="44" width="11.53"/>
    <col collapsed="false" customWidth="true" hidden="false" outlineLevel="0" max="13333" min="13333" style="44" width="41.18"/>
    <col collapsed="false" customWidth="false" hidden="false" outlineLevel="0" max="13571" min="13334" style="44" width="11.45"/>
    <col collapsed="false" customWidth="true" hidden="false" outlineLevel="0" max="13572" min="13572" style="44" width="3.82"/>
    <col collapsed="false" customWidth="true" hidden="false" outlineLevel="0" max="13573" min="13573" style="44" width="7.18"/>
    <col collapsed="false" customWidth="true" hidden="false" outlineLevel="0" max="13574" min="13574" style="44" width="57.54"/>
    <col collapsed="false" customWidth="true" hidden="false" outlineLevel="0" max="13575" min="13575" style="44" width="19.45"/>
    <col collapsed="false" customWidth="true" hidden="false" outlineLevel="0" max="13581" min="13576" style="44" width="3.82"/>
    <col collapsed="false" customWidth="true" hidden="false" outlineLevel="0" max="13582" min="13582" style="44" width="14.45"/>
    <col collapsed="false" customWidth="true" hidden="false" outlineLevel="0" max="13583" min="13583" style="44" width="12.18"/>
    <col collapsed="false" customWidth="true" hidden="false" outlineLevel="0" max="13584" min="13584" style="44" width="9.18"/>
    <col collapsed="false" customWidth="true" hidden="false" outlineLevel="0" max="13585" min="13585" style="44" width="35.82"/>
    <col collapsed="false" customWidth="false" hidden="false" outlineLevel="0" max="13587" min="13586" style="44" width="11.45"/>
    <col collapsed="false" customWidth="true" hidden="true" outlineLevel="0" max="13588" min="13588" style="44" width="11.53"/>
    <col collapsed="false" customWidth="true" hidden="false" outlineLevel="0" max="13589" min="13589" style="44" width="41.18"/>
    <col collapsed="false" customWidth="false" hidden="false" outlineLevel="0" max="13827" min="13590" style="44" width="11.45"/>
    <col collapsed="false" customWidth="true" hidden="false" outlineLevel="0" max="13828" min="13828" style="44" width="3.82"/>
    <col collapsed="false" customWidth="true" hidden="false" outlineLevel="0" max="13829" min="13829" style="44" width="7.18"/>
    <col collapsed="false" customWidth="true" hidden="false" outlineLevel="0" max="13830" min="13830" style="44" width="57.54"/>
    <col collapsed="false" customWidth="true" hidden="false" outlineLevel="0" max="13831" min="13831" style="44" width="19.45"/>
    <col collapsed="false" customWidth="true" hidden="false" outlineLevel="0" max="13837" min="13832" style="44" width="3.82"/>
    <col collapsed="false" customWidth="true" hidden="false" outlineLevel="0" max="13838" min="13838" style="44" width="14.45"/>
    <col collapsed="false" customWidth="true" hidden="false" outlineLevel="0" max="13839" min="13839" style="44" width="12.18"/>
    <col collapsed="false" customWidth="true" hidden="false" outlineLevel="0" max="13840" min="13840" style="44" width="9.18"/>
    <col collapsed="false" customWidth="true" hidden="false" outlineLevel="0" max="13841" min="13841" style="44" width="35.82"/>
    <col collapsed="false" customWidth="false" hidden="false" outlineLevel="0" max="13843" min="13842" style="44" width="11.45"/>
    <col collapsed="false" customWidth="true" hidden="true" outlineLevel="0" max="13844" min="13844" style="44" width="11.53"/>
    <col collapsed="false" customWidth="true" hidden="false" outlineLevel="0" max="13845" min="13845" style="44" width="41.18"/>
    <col collapsed="false" customWidth="false" hidden="false" outlineLevel="0" max="14083" min="13846" style="44" width="11.45"/>
    <col collapsed="false" customWidth="true" hidden="false" outlineLevel="0" max="14084" min="14084" style="44" width="3.82"/>
    <col collapsed="false" customWidth="true" hidden="false" outlineLevel="0" max="14085" min="14085" style="44" width="7.18"/>
    <col collapsed="false" customWidth="true" hidden="false" outlineLevel="0" max="14086" min="14086" style="44" width="57.54"/>
    <col collapsed="false" customWidth="true" hidden="false" outlineLevel="0" max="14087" min="14087" style="44" width="19.45"/>
    <col collapsed="false" customWidth="true" hidden="false" outlineLevel="0" max="14093" min="14088" style="44" width="3.82"/>
    <col collapsed="false" customWidth="true" hidden="false" outlineLevel="0" max="14094" min="14094" style="44" width="14.45"/>
    <col collapsed="false" customWidth="true" hidden="false" outlineLevel="0" max="14095" min="14095" style="44" width="12.18"/>
    <col collapsed="false" customWidth="true" hidden="false" outlineLevel="0" max="14096" min="14096" style="44" width="9.18"/>
    <col collapsed="false" customWidth="true" hidden="false" outlineLevel="0" max="14097" min="14097" style="44" width="35.82"/>
    <col collapsed="false" customWidth="false" hidden="false" outlineLevel="0" max="14099" min="14098" style="44" width="11.45"/>
    <col collapsed="false" customWidth="true" hidden="true" outlineLevel="0" max="14100" min="14100" style="44" width="11.53"/>
    <col collapsed="false" customWidth="true" hidden="false" outlineLevel="0" max="14101" min="14101" style="44" width="41.18"/>
    <col collapsed="false" customWidth="false" hidden="false" outlineLevel="0" max="14339" min="14102" style="44" width="11.45"/>
    <col collapsed="false" customWidth="true" hidden="false" outlineLevel="0" max="14340" min="14340" style="44" width="3.82"/>
    <col collapsed="false" customWidth="true" hidden="false" outlineLevel="0" max="14341" min="14341" style="44" width="7.18"/>
    <col collapsed="false" customWidth="true" hidden="false" outlineLevel="0" max="14342" min="14342" style="44" width="57.54"/>
    <col collapsed="false" customWidth="true" hidden="false" outlineLevel="0" max="14343" min="14343" style="44" width="19.45"/>
    <col collapsed="false" customWidth="true" hidden="false" outlineLevel="0" max="14349" min="14344" style="44" width="3.82"/>
    <col collapsed="false" customWidth="true" hidden="false" outlineLevel="0" max="14350" min="14350" style="44" width="14.45"/>
    <col collapsed="false" customWidth="true" hidden="false" outlineLevel="0" max="14351" min="14351" style="44" width="12.18"/>
    <col collapsed="false" customWidth="true" hidden="false" outlineLevel="0" max="14352" min="14352" style="44" width="9.18"/>
    <col collapsed="false" customWidth="true" hidden="false" outlineLevel="0" max="14353" min="14353" style="44" width="35.82"/>
    <col collapsed="false" customWidth="false" hidden="false" outlineLevel="0" max="14355" min="14354" style="44" width="11.45"/>
    <col collapsed="false" customWidth="true" hidden="true" outlineLevel="0" max="14356" min="14356" style="44" width="11.53"/>
    <col collapsed="false" customWidth="true" hidden="false" outlineLevel="0" max="14357" min="14357" style="44" width="41.18"/>
    <col collapsed="false" customWidth="false" hidden="false" outlineLevel="0" max="14595" min="14358" style="44" width="11.45"/>
    <col collapsed="false" customWidth="true" hidden="false" outlineLevel="0" max="14596" min="14596" style="44" width="3.82"/>
    <col collapsed="false" customWidth="true" hidden="false" outlineLevel="0" max="14597" min="14597" style="44" width="7.18"/>
    <col collapsed="false" customWidth="true" hidden="false" outlineLevel="0" max="14598" min="14598" style="44" width="57.54"/>
    <col collapsed="false" customWidth="true" hidden="false" outlineLevel="0" max="14599" min="14599" style="44" width="19.45"/>
    <col collapsed="false" customWidth="true" hidden="false" outlineLevel="0" max="14605" min="14600" style="44" width="3.82"/>
    <col collapsed="false" customWidth="true" hidden="false" outlineLevel="0" max="14606" min="14606" style="44" width="14.45"/>
    <col collapsed="false" customWidth="true" hidden="false" outlineLevel="0" max="14607" min="14607" style="44" width="12.18"/>
    <col collapsed="false" customWidth="true" hidden="false" outlineLevel="0" max="14608" min="14608" style="44" width="9.18"/>
    <col collapsed="false" customWidth="true" hidden="false" outlineLevel="0" max="14609" min="14609" style="44" width="35.82"/>
    <col collapsed="false" customWidth="false" hidden="false" outlineLevel="0" max="14611" min="14610" style="44" width="11.45"/>
    <col collapsed="false" customWidth="true" hidden="true" outlineLevel="0" max="14612" min="14612" style="44" width="11.53"/>
    <col collapsed="false" customWidth="true" hidden="false" outlineLevel="0" max="14613" min="14613" style="44" width="41.18"/>
    <col collapsed="false" customWidth="false" hidden="false" outlineLevel="0" max="14851" min="14614" style="44" width="11.45"/>
    <col collapsed="false" customWidth="true" hidden="false" outlineLevel="0" max="14852" min="14852" style="44" width="3.82"/>
    <col collapsed="false" customWidth="true" hidden="false" outlineLevel="0" max="14853" min="14853" style="44" width="7.18"/>
    <col collapsed="false" customWidth="true" hidden="false" outlineLevel="0" max="14854" min="14854" style="44" width="57.54"/>
    <col collapsed="false" customWidth="true" hidden="false" outlineLevel="0" max="14855" min="14855" style="44" width="19.45"/>
    <col collapsed="false" customWidth="true" hidden="false" outlineLevel="0" max="14861" min="14856" style="44" width="3.82"/>
    <col collapsed="false" customWidth="true" hidden="false" outlineLevel="0" max="14862" min="14862" style="44" width="14.45"/>
    <col collapsed="false" customWidth="true" hidden="false" outlineLevel="0" max="14863" min="14863" style="44" width="12.18"/>
    <col collapsed="false" customWidth="true" hidden="false" outlineLevel="0" max="14864" min="14864" style="44" width="9.18"/>
    <col collapsed="false" customWidth="true" hidden="false" outlineLevel="0" max="14865" min="14865" style="44" width="35.82"/>
    <col collapsed="false" customWidth="false" hidden="false" outlineLevel="0" max="14867" min="14866" style="44" width="11.45"/>
    <col collapsed="false" customWidth="true" hidden="true" outlineLevel="0" max="14868" min="14868" style="44" width="11.53"/>
    <col collapsed="false" customWidth="true" hidden="false" outlineLevel="0" max="14869" min="14869" style="44" width="41.18"/>
    <col collapsed="false" customWidth="false" hidden="false" outlineLevel="0" max="15107" min="14870" style="44" width="11.45"/>
    <col collapsed="false" customWidth="true" hidden="false" outlineLevel="0" max="15108" min="15108" style="44" width="3.82"/>
    <col collapsed="false" customWidth="true" hidden="false" outlineLevel="0" max="15109" min="15109" style="44" width="7.18"/>
    <col collapsed="false" customWidth="true" hidden="false" outlineLevel="0" max="15110" min="15110" style="44" width="57.54"/>
    <col collapsed="false" customWidth="true" hidden="false" outlineLevel="0" max="15111" min="15111" style="44" width="19.45"/>
    <col collapsed="false" customWidth="true" hidden="false" outlineLevel="0" max="15117" min="15112" style="44" width="3.82"/>
    <col collapsed="false" customWidth="true" hidden="false" outlineLevel="0" max="15118" min="15118" style="44" width="14.45"/>
    <col collapsed="false" customWidth="true" hidden="false" outlineLevel="0" max="15119" min="15119" style="44" width="12.18"/>
    <col collapsed="false" customWidth="true" hidden="false" outlineLevel="0" max="15120" min="15120" style="44" width="9.18"/>
    <col collapsed="false" customWidth="true" hidden="false" outlineLevel="0" max="15121" min="15121" style="44" width="35.82"/>
    <col collapsed="false" customWidth="false" hidden="false" outlineLevel="0" max="15123" min="15122" style="44" width="11.45"/>
    <col collapsed="false" customWidth="true" hidden="true" outlineLevel="0" max="15124" min="15124" style="44" width="11.53"/>
    <col collapsed="false" customWidth="true" hidden="false" outlineLevel="0" max="15125" min="15125" style="44" width="41.18"/>
    <col collapsed="false" customWidth="false" hidden="false" outlineLevel="0" max="15363" min="15126" style="44" width="11.45"/>
    <col collapsed="false" customWidth="true" hidden="false" outlineLevel="0" max="15364" min="15364" style="44" width="3.82"/>
    <col collapsed="false" customWidth="true" hidden="false" outlineLevel="0" max="15365" min="15365" style="44" width="7.18"/>
    <col collapsed="false" customWidth="true" hidden="false" outlineLevel="0" max="15366" min="15366" style="44" width="57.54"/>
    <col collapsed="false" customWidth="true" hidden="false" outlineLevel="0" max="15367" min="15367" style="44" width="19.45"/>
    <col collapsed="false" customWidth="true" hidden="false" outlineLevel="0" max="15373" min="15368" style="44" width="3.82"/>
    <col collapsed="false" customWidth="true" hidden="false" outlineLevel="0" max="15374" min="15374" style="44" width="14.45"/>
    <col collapsed="false" customWidth="true" hidden="false" outlineLevel="0" max="15375" min="15375" style="44" width="12.18"/>
    <col collapsed="false" customWidth="true" hidden="false" outlineLevel="0" max="15376" min="15376" style="44" width="9.18"/>
    <col collapsed="false" customWidth="true" hidden="false" outlineLevel="0" max="15377" min="15377" style="44" width="35.82"/>
    <col collapsed="false" customWidth="false" hidden="false" outlineLevel="0" max="15379" min="15378" style="44" width="11.45"/>
    <col collapsed="false" customWidth="true" hidden="true" outlineLevel="0" max="15380" min="15380" style="44" width="11.53"/>
    <col collapsed="false" customWidth="true" hidden="false" outlineLevel="0" max="15381" min="15381" style="44" width="41.18"/>
    <col collapsed="false" customWidth="false" hidden="false" outlineLevel="0" max="15619" min="15382" style="44" width="11.45"/>
    <col collapsed="false" customWidth="true" hidden="false" outlineLevel="0" max="15620" min="15620" style="44" width="3.82"/>
    <col collapsed="false" customWidth="true" hidden="false" outlineLevel="0" max="15621" min="15621" style="44" width="7.18"/>
    <col collapsed="false" customWidth="true" hidden="false" outlineLevel="0" max="15622" min="15622" style="44" width="57.54"/>
    <col collapsed="false" customWidth="true" hidden="false" outlineLevel="0" max="15623" min="15623" style="44" width="19.45"/>
    <col collapsed="false" customWidth="true" hidden="false" outlineLevel="0" max="15629" min="15624" style="44" width="3.82"/>
    <col collapsed="false" customWidth="true" hidden="false" outlineLevel="0" max="15630" min="15630" style="44" width="14.45"/>
    <col collapsed="false" customWidth="true" hidden="false" outlineLevel="0" max="15631" min="15631" style="44" width="12.18"/>
    <col collapsed="false" customWidth="true" hidden="false" outlineLevel="0" max="15632" min="15632" style="44" width="9.18"/>
    <col collapsed="false" customWidth="true" hidden="false" outlineLevel="0" max="15633" min="15633" style="44" width="35.82"/>
    <col collapsed="false" customWidth="false" hidden="false" outlineLevel="0" max="15635" min="15634" style="44" width="11.45"/>
    <col collapsed="false" customWidth="true" hidden="true" outlineLevel="0" max="15636" min="15636" style="44" width="11.53"/>
    <col collapsed="false" customWidth="true" hidden="false" outlineLevel="0" max="15637" min="15637" style="44" width="41.18"/>
    <col collapsed="false" customWidth="false" hidden="false" outlineLevel="0" max="15875" min="15638" style="44" width="11.45"/>
    <col collapsed="false" customWidth="true" hidden="false" outlineLevel="0" max="15876" min="15876" style="44" width="3.82"/>
    <col collapsed="false" customWidth="true" hidden="false" outlineLevel="0" max="15877" min="15877" style="44" width="7.18"/>
    <col collapsed="false" customWidth="true" hidden="false" outlineLevel="0" max="15878" min="15878" style="44" width="57.54"/>
    <col collapsed="false" customWidth="true" hidden="false" outlineLevel="0" max="15879" min="15879" style="44" width="19.45"/>
    <col collapsed="false" customWidth="true" hidden="false" outlineLevel="0" max="15885" min="15880" style="44" width="3.82"/>
    <col collapsed="false" customWidth="true" hidden="false" outlineLevel="0" max="15886" min="15886" style="44" width="14.45"/>
    <col collapsed="false" customWidth="true" hidden="false" outlineLevel="0" max="15887" min="15887" style="44" width="12.18"/>
    <col collapsed="false" customWidth="true" hidden="false" outlineLevel="0" max="15888" min="15888" style="44" width="9.18"/>
    <col collapsed="false" customWidth="true" hidden="false" outlineLevel="0" max="15889" min="15889" style="44" width="35.82"/>
    <col collapsed="false" customWidth="false" hidden="false" outlineLevel="0" max="15891" min="15890" style="44" width="11.45"/>
    <col collapsed="false" customWidth="true" hidden="true" outlineLevel="0" max="15892" min="15892" style="44" width="11.53"/>
    <col collapsed="false" customWidth="true" hidden="false" outlineLevel="0" max="15893" min="15893" style="44" width="41.18"/>
    <col collapsed="false" customWidth="false" hidden="false" outlineLevel="0" max="16131" min="15894" style="44" width="11.45"/>
    <col collapsed="false" customWidth="true" hidden="false" outlineLevel="0" max="16132" min="16132" style="44" width="3.82"/>
    <col collapsed="false" customWidth="true" hidden="false" outlineLevel="0" max="16133" min="16133" style="44" width="7.18"/>
    <col collapsed="false" customWidth="true" hidden="false" outlineLevel="0" max="16134" min="16134" style="44" width="57.54"/>
    <col collapsed="false" customWidth="true" hidden="false" outlineLevel="0" max="16135" min="16135" style="44" width="19.45"/>
    <col collapsed="false" customWidth="true" hidden="false" outlineLevel="0" max="16141" min="16136" style="44" width="3.82"/>
    <col collapsed="false" customWidth="true" hidden="false" outlineLevel="0" max="16142" min="16142" style="44" width="14.45"/>
    <col collapsed="false" customWidth="true" hidden="false" outlineLevel="0" max="16143" min="16143" style="44" width="12.18"/>
    <col collapsed="false" customWidth="true" hidden="false" outlineLevel="0" max="16144" min="16144" style="44" width="9.18"/>
    <col collapsed="false" customWidth="true" hidden="false" outlineLevel="0" max="16145" min="16145" style="44" width="35.82"/>
    <col collapsed="false" customWidth="false" hidden="false" outlineLevel="0" max="16147" min="16146" style="44" width="11.45"/>
    <col collapsed="false" customWidth="true" hidden="true" outlineLevel="0" max="16148" min="16148" style="44" width="11.53"/>
    <col collapsed="false" customWidth="true" hidden="false" outlineLevel="0" max="16149" min="16149" style="44" width="41.18"/>
    <col collapsed="false" customWidth="false" hidden="false" outlineLevel="0" max="16384" min="16150" style="44" width="11.45"/>
  </cols>
  <sheetData>
    <row r="1" customFormat="false" ht="2.15" hidden="false" customHeight="true" outlineLevel="0" collapsed="false">
      <c r="T1" s="44" t="s">
        <v>77</v>
      </c>
      <c r="U1" s="44" t="s">
        <v>78</v>
      </c>
      <c r="V1" s="44" t="s">
        <v>79</v>
      </c>
    </row>
    <row r="2" customFormat="false" ht="20.15" hidden="false" customHeight="true" outlineLevel="0" collapsed="false">
      <c r="A2" s="46"/>
      <c r="B2" s="47"/>
      <c r="C2" s="47"/>
      <c r="D2" s="48"/>
      <c r="E2" s="48"/>
      <c r="F2" s="48"/>
      <c r="G2" s="47"/>
      <c r="H2" s="47"/>
      <c r="I2" s="47"/>
      <c r="J2" s="47"/>
      <c r="K2" s="47"/>
      <c r="L2" s="49"/>
      <c r="N2" s="50" t="s">
        <v>80</v>
      </c>
      <c r="O2" s="50"/>
      <c r="P2" s="51" t="s">
        <v>81</v>
      </c>
      <c r="Q2" s="51"/>
      <c r="R2" s="51"/>
      <c r="T2" s="52" t="s">
        <v>82</v>
      </c>
      <c r="U2" s="52" t="n">
        <f aca="false">COUNTIF($Q$12:$Q$311,T2)</f>
        <v>0</v>
      </c>
      <c r="V2" s="53" t="e">
        <f aca="false">+G320</f>
        <v>#DIV/0!</v>
      </c>
      <c r="W2" s="53" t="e">
        <f aca="false">+M320</f>
        <v>#DIV/0!</v>
      </c>
    </row>
    <row r="3" customFormat="false" ht="20.15" hidden="false" customHeight="true" outlineLevel="0" collapsed="false">
      <c r="A3" s="54"/>
      <c r="B3" s="55" t="s">
        <v>83</v>
      </c>
      <c r="C3" s="55"/>
      <c r="D3" s="55"/>
      <c r="E3" s="55"/>
      <c r="F3" s="55"/>
      <c r="G3" s="55"/>
      <c r="H3" s="56" t="n">
        <v>65</v>
      </c>
      <c r="I3" s="56"/>
      <c r="J3" s="56"/>
      <c r="K3" s="57"/>
      <c r="L3" s="58"/>
      <c r="N3" s="59" t="s">
        <v>84</v>
      </c>
      <c r="O3" s="59"/>
      <c r="P3" s="60" t="n">
        <v>45622</v>
      </c>
      <c r="Q3" s="60"/>
      <c r="R3" s="60"/>
      <c r="T3" s="52" t="s">
        <v>85</v>
      </c>
      <c r="U3" s="52" t="n">
        <f aca="false">COUNTIF($Q$12:$Q$315,T3)</f>
        <v>0</v>
      </c>
      <c r="V3" s="53" t="e">
        <f aca="false">+G321</f>
        <v>#DIV/0!</v>
      </c>
      <c r="W3" s="53" t="e">
        <f aca="false">+M321</f>
        <v>#DIV/0!</v>
      </c>
    </row>
    <row r="4" customFormat="false" ht="20.15" hidden="false" customHeight="true" outlineLevel="0" collapsed="false">
      <c r="A4" s="54"/>
      <c r="B4" s="55"/>
      <c r="C4" s="55"/>
      <c r="D4" s="55"/>
      <c r="E4" s="55"/>
      <c r="F4" s="55"/>
      <c r="G4" s="55"/>
      <c r="H4" s="56"/>
      <c r="I4" s="56"/>
      <c r="J4" s="56"/>
      <c r="K4" s="57"/>
      <c r="L4" s="58"/>
      <c r="N4" s="59" t="s">
        <v>86</v>
      </c>
      <c r="O4" s="59"/>
      <c r="P4" s="61" t="s">
        <v>87</v>
      </c>
      <c r="Q4" s="61"/>
      <c r="R4" s="61"/>
      <c r="T4" s="52" t="s">
        <v>88</v>
      </c>
      <c r="U4" s="52" t="n">
        <f aca="false">COUNTIF($Q$12:$Q$315,T4)</f>
        <v>0</v>
      </c>
      <c r="V4" s="53" t="e">
        <f aca="false">+G322</f>
        <v>#DIV/0!</v>
      </c>
      <c r="W4" s="53" t="e">
        <f aca="false">+M322</f>
        <v>#DIV/0!</v>
      </c>
    </row>
    <row r="5" customFormat="false" ht="20" hidden="false" customHeight="false" outlineLevel="0" collapsed="false">
      <c r="A5" s="62"/>
      <c r="B5" s="63"/>
      <c r="C5" s="63"/>
      <c r="D5" s="64"/>
      <c r="E5" s="64"/>
      <c r="F5" s="64"/>
      <c r="G5" s="63"/>
      <c r="H5" s="63"/>
      <c r="I5" s="63"/>
      <c r="J5" s="63"/>
      <c r="K5" s="63"/>
      <c r="L5" s="65"/>
      <c r="N5" s="66" t="s">
        <v>89</v>
      </c>
      <c r="O5" s="66"/>
      <c r="P5" s="67"/>
      <c r="Q5" s="67"/>
      <c r="R5" s="67"/>
      <c r="T5" s="52" t="s">
        <v>90</v>
      </c>
      <c r="U5" s="52" t="n">
        <f aca="false">COUNTIF($Q$12:$Q$315,T5)</f>
        <v>0</v>
      </c>
      <c r="V5" s="53" t="e">
        <f aca="false">+G323</f>
        <v>#DIV/0!</v>
      </c>
      <c r="W5" s="53" t="e">
        <f aca="false">+M323</f>
        <v>#DIV/0!</v>
      </c>
    </row>
    <row r="6" customFormat="false" ht="20" hidden="false" customHeight="false" outlineLevel="0" collapsed="false">
      <c r="T6" s="52" t="s">
        <v>91</v>
      </c>
      <c r="U6" s="52" t="n">
        <f aca="false">COUNTIF($Q$12:$Q$315,T6)</f>
        <v>0</v>
      </c>
      <c r="V6" s="53" t="e">
        <f aca="false">+G324</f>
        <v>#DIV/0!</v>
      </c>
      <c r="W6" s="53" t="e">
        <f aca="false">+M324</f>
        <v>#DIV/0!</v>
      </c>
    </row>
    <row r="7" customFormat="false" ht="20" hidden="false" customHeight="false" outlineLevel="0" collapsed="false">
      <c r="A7" s="45"/>
      <c r="B7" s="45"/>
      <c r="C7" s="45"/>
      <c r="G7" s="45"/>
      <c r="H7" s="45"/>
      <c r="I7" s="45"/>
      <c r="J7" s="45"/>
      <c r="K7" s="45"/>
      <c r="L7" s="45"/>
      <c r="M7" s="45"/>
      <c r="T7" s="52" t="s">
        <v>92</v>
      </c>
      <c r="U7" s="52" t="n">
        <f aca="false">COUNTIF($Q$12:$Q$315,T7)</f>
        <v>0</v>
      </c>
      <c r="V7" s="53" t="e">
        <f aca="false">+G325</f>
        <v>#DIV/0!</v>
      </c>
      <c r="W7" s="53" t="e">
        <f aca="false">+M325</f>
        <v>#DIV/0!</v>
      </c>
    </row>
    <row r="8" customFormat="false" ht="20" hidden="false" customHeight="false" outlineLevel="0" collapsed="false">
      <c r="B8" s="68" t="n">
        <f aca="false">+G8</f>
        <v>46083</v>
      </c>
      <c r="C8" s="69"/>
      <c r="D8" s="70"/>
      <c r="E8" s="70" t="s">
        <v>93</v>
      </c>
      <c r="F8" s="70"/>
      <c r="G8" s="71" t="n">
        <v>46083</v>
      </c>
      <c r="H8" s="71"/>
      <c r="I8" s="71"/>
      <c r="J8" s="72" t="s">
        <v>94</v>
      </c>
      <c r="K8" s="72"/>
      <c r="L8" s="72"/>
      <c r="M8" s="72"/>
      <c r="N8" s="71" t="n">
        <f aca="false">+G8+6</f>
        <v>46089</v>
      </c>
      <c r="O8" s="71"/>
      <c r="P8" s="71"/>
      <c r="Q8" s="73"/>
      <c r="R8" s="73"/>
      <c r="T8" s="52" t="s">
        <v>95</v>
      </c>
      <c r="U8" s="52" t="n">
        <f aca="false">COUNTIF($Q$12:$Q$315,T8)</f>
        <v>0</v>
      </c>
      <c r="V8" s="53" t="e">
        <f aca="false">+G326</f>
        <v>#DIV/0!</v>
      </c>
      <c r="W8" s="53" t="e">
        <f aca="false">+M326</f>
        <v>#DIV/0!</v>
      </c>
    </row>
    <row r="9" customFormat="false" ht="20" hidden="false" customHeight="false" outlineLevel="0" collapsed="false">
      <c r="B9" s="68"/>
      <c r="C9" s="69"/>
      <c r="D9" s="45" t="s">
        <v>96</v>
      </c>
      <c r="G9" s="74" t="s">
        <v>97</v>
      </c>
      <c r="H9" s="74"/>
      <c r="I9" s="74"/>
      <c r="J9" s="74"/>
      <c r="K9" s="74"/>
      <c r="L9" s="74"/>
      <c r="M9" s="74"/>
      <c r="T9" s="52" t="s">
        <v>98</v>
      </c>
      <c r="U9" s="52" t="n">
        <f aca="false">COUNTIF($Q$12:$Q$315,T9)</f>
        <v>0</v>
      </c>
      <c r="V9" s="53" t="e">
        <f aca="false">+G327</f>
        <v>#DIV/0!</v>
      </c>
      <c r="W9" s="53" t="e">
        <f aca="false">+M327</f>
        <v>#DIV/0!</v>
      </c>
    </row>
    <row r="10" s="83" customFormat="true" ht="20.5" hidden="false" customHeight="true" outlineLevel="0" collapsed="false">
      <c r="A10" s="75" t="s">
        <v>99</v>
      </c>
      <c r="B10" s="76" t="s">
        <v>100</v>
      </c>
      <c r="C10" s="77" t="s">
        <v>101</v>
      </c>
      <c r="D10" s="77" t="s">
        <v>102</v>
      </c>
      <c r="E10" s="77" t="s">
        <v>76</v>
      </c>
      <c r="F10" s="78" t="s">
        <v>103</v>
      </c>
      <c r="G10" s="79" t="s">
        <v>104</v>
      </c>
      <c r="H10" s="79" t="s">
        <v>105</v>
      </c>
      <c r="I10" s="79" t="s">
        <v>106</v>
      </c>
      <c r="J10" s="79" t="s">
        <v>107</v>
      </c>
      <c r="K10" s="79" t="s">
        <v>108</v>
      </c>
      <c r="L10" s="79" t="s">
        <v>109</v>
      </c>
      <c r="M10" s="80" t="s">
        <v>110</v>
      </c>
      <c r="N10" s="81" t="s">
        <v>111</v>
      </c>
      <c r="O10" s="81"/>
      <c r="P10" s="77" t="s">
        <v>112</v>
      </c>
      <c r="Q10" s="77" t="s">
        <v>113</v>
      </c>
      <c r="R10" s="82" t="s">
        <v>114</v>
      </c>
      <c r="T10" s="52" t="s">
        <v>115</v>
      </c>
      <c r="U10" s="52" t="n">
        <f aca="false">COUNTIF($Q$12:$Q$315,T10)</f>
        <v>0</v>
      </c>
      <c r="V10" s="53" t="e">
        <f aca="false">+G328</f>
        <v>#DIV/0!</v>
      </c>
      <c r="W10" s="53" t="e">
        <f aca="false">+M328</f>
        <v>#DIV/0!</v>
      </c>
    </row>
    <row r="11" s="83" customFormat="true" ht="20" hidden="false" customHeight="false" outlineLevel="0" collapsed="false">
      <c r="A11" s="75"/>
      <c r="B11" s="84"/>
      <c r="C11" s="77"/>
      <c r="D11" s="77"/>
      <c r="E11" s="77"/>
      <c r="F11" s="78"/>
      <c r="G11" s="85" t="n">
        <v>2</v>
      </c>
      <c r="H11" s="85" t="n">
        <f aca="false">+G11+1</f>
        <v>3</v>
      </c>
      <c r="I11" s="85" t="n">
        <f aca="false">+H11+1</f>
        <v>4</v>
      </c>
      <c r="J11" s="85" t="n">
        <f aca="false">+I11+1</f>
        <v>5</v>
      </c>
      <c r="K11" s="85" t="n">
        <f aca="false">+J11+1</f>
        <v>6</v>
      </c>
      <c r="L11" s="85" t="n">
        <f aca="false">+K11+1</f>
        <v>7</v>
      </c>
      <c r="M11" s="86" t="n">
        <f aca="false">+L11+1</f>
        <v>8</v>
      </c>
      <c r="N11" s="87" t="s">
        <v>116</v>
      </c>
      <c r="O11" s="87" t="s">
        <v>117</v>
      </c>
      <c r="P11" s="77"/>
      <c r="Q11" s="77"/>
      <c r="R11" s="82"/>
    </row>
    <row r="12" customFormat="false" ht="23.1" hidden="false" customHeight="true" outlineLevel="0" collapsed="false">
      <c r="A12" s="88" t="n">
        <v>1</v>
      </c>
      <c r="B12" s="89" t="s">
        <v>118</v>
      </c>
      <c r="C12" s="90" t="n">
        <v>3</v>
      </c>
      <c r="D12" s="91" t="s">
        <v>119</v>
      </c>
      <c r="E12" s="91" t="s">
        <v>120</v>
      </c>
      <c r="F12" s="91" t="s">
        <v>50</v>
      </c>
      <c r="G12" s="92"/>
      <c r="H12" s="93"/>
      <c r="I12" s="93"/>
      <c r="J12" s="93"/>
      <c r="K12" s="93"/>
      <c r="L12" s="93"/>
      <c r="M12" s="94"/>
      <c r="N12" s="95" t="n">
        <v>1</v>
      </c>
      <c r="O12" s="95"/>
      <c r="P12" s="96"/>
      <c r="Q12" s="97"/>
      <c r="R12" s="98"/>
    </row>
    <row r="13" customFormat="false" ht="23.1" hidden="false" customHeight="false" outlineLevel="0" collapsed="false">
      <c r="A13" s="88" t="n">
        <f aca="false">+A12+1</f>
        <v>2</v>
      </c>
      <c r="B13" s="89"/>
      <c r="C13" s="90" t="n">
        <v>4</v>
      </c>
      <c r="D13" s="91" t="s">
        <v>119</v>
      </c>
      <c r="E13" s="91" t="s">
        <v>120</v>
      </c>
      <c r="F13" s="91" t="s">
        <v>50</v>
      </c>
      <c r="G13" s="93"/>
      <c r="H13" s="92"/>
      <c r="I13" s="93"/>
      <c r="J13" s="93"/>
      <c r="K13" s="93"/>
      <c r="L13" s="93"/>
      <c r="M13" s="94"/>
      <c r="N13" s="95" t="n">
        <v>1</v>
      </c>
      <c r="O13" s="95"/>
      <c r="P13" s="96"/>
      <c r="Q13" s="97"/>
      <c r="R13" s="98"/>
    </row>
    <row r="14" customFormat="false" ht="23.1" hidden="false" customHeight="false" outlineLevel="0" collapsed="false">
      <c r="A14" s="88" t="n">
        <f aca="false">+A13+1</f>
        <v>3</v>
      </c>
      <c r="B14" s="89"/>
      <c r="C14" s="90" t="n">
        <v>1</v>
      </c>
      <c r="D14" s="91" t="s">
        <v>119</v>
      </c>
      <c r="E14" s="91" t="s">
        <v>120</v>
      </c>
      <c r="F14" s="91" t="s">
        <v>50</v>
      </c>
      <c r="G14" s="93"/>
      <c r="H14" s="93"/>
      <c r="I14" s="92"/>
      <c r="J14" s="93"/>
      <c r="K14" s="93"/>
      <c r="L14" s="93"/>
      <c r="M14" s="94"/>
      <c r="N14" s="95" t="n">
        <v>1</v>
      </c>
      <c r="O14" s="95"/>
      <c r="P14" s="96"/>
      <c r="Q14" s="97"/>
      <c r="R14" s="98"/>
    </row>
    <row r="15" customFormat="false" ht="23.1" hidden="false" customHeight="false" outlineLevel="0" collapsed="false">
      <c r="A15" s="88" t="n">
        <f aca="false">+A14+1</f>
        <v>4</v>
      </c>
      <c r="B15" s="89"/>
      <c r="C15" s="90" t="n">
        <v>2</v>
      </c>
      <c r="D15" s="91" t="s">
        <v>119</v>
      </c>
      <c r="E15" s="91" t="s">
        <v>120</v>
      </c>
      <c r="F15" s="91" t="s">
        <v>50</v>
      </c>
      <c r="G15" s="93"/>
      <c r="H15" s="93"/>
      <c r="I15" s="93"/>
      <c r="J15" s="92"/>
      <c r="K15" s="93"/>
      <c r="L15" s="93"/>
      <c r="M15" s="94"/>
      <c r="N15" s="95" t="n">
        <v>1</v>
      </c>
      <c r="O15" s="95"/>
      <c r="P15" s="96"/>
      <c r="Q15" s="97"/>
      <c r="R15" s="98"/>
    </row>
    <row r="16" customFormat="false" ht="23.1" hidden="false" customHeight="false" outlineLevel="0" collapsed="false">
      <c r="A16" s="88" t="n">
        <f aca="false">+A15+1</f>
        <v>5</v>
      </c>
      <c r="B16" s="89"/>
      <c r="C16" s="90" t="n">
        <v>5</v>
      </c>
      <c r="D16" s="91" t="s">
        <v>119</v>
      </c>
      <c r="E16" s="91" t="s">
        <v>120</v>
      </c>
      <c r="F16" s="91" t="s">
        <v>50</v>
      </c>
      <c r="G16" s="93"/>
      <c r="H16" s="93"/>
      <c r="I16" s="93"/>
      <c r="J16" s="93"/>
      <c r="K16" s="92"/>
      <c r="L16" s="93"/>
      <c r="M16" s="94"/>
      <c r="N16" s="95" t="n">
        <v>1</v>
      </c>
      <c r="O16" s="95"/>
      <c r="P16" s="96"/>
      <c r="Q16" s="97"/>
      <c r="R16" s="98"/>
    </row>
    <row r="17" customFormat="false" ht="23.1" hidden="false" customHeight="false" outlineLevel="0" collapsed="false">
      <c r="A17" s="88" t="n">
        <f aca="false">+A16+1</f>
        <v>6</v>
      </c>
      <c r="B17" s="89"/>
      <c r="C17" s="90" t="n">
        <v>3</v>
      </c>
      <c r="D17" s="91" t="s">
        <v>121</v>
      </c>
      <c r="E17" s="91" t="s">
        <v>120</v>
      </c>
      <c r="F17" s="91" t="s">
        <v>50</v>
      </c>
      <c r="G17" s="92"/>
      <c r="H17" s="93"/>
      <c r="I17" s="93"/>
      <c r="J17" s="93"/>
      <c r="K17" s="93"/>
      <c r="L17" s="93"/>
      <c r="M17" s="94"/>
      <c r="N17" s="95" t="n">
        <v>1</v>
      </c>
      <c r="O17" s="95"/>
      <c r="P17" s="96"/>
      <c r="Q17" s="97"/>
      <c r="R17" s="98"/>
    </row>
    <row r="18" customFormat="false" ht="23.1" hidden="false" customHeight="false" outlineLevel="0" collapsed="false">
      <c r="A18" s="88" t="n">
        <f aca="false">+A17+1</f>
        <v>7</v>
      </c>
      <c r="B18" s="89"/>
      <c r="C18" s="90" t="n">
        <v>4</v>
      </c>
      <c r="D18" s="91" t="s">
        <v>121</v>
      </c>
      <c r="E18" s="91" t="s">
        <v>120</v>
      </c>
      <c r="F18" s="91" t="s">
        <v>50</v>
      </c>
      <c r="G18" s="93"/>
      <c r="H18" s="92"/>
      <c r="I18" s="93"/>
      <c r="J18" s="93"/>
      <c r="K18" s="93"/>
      <c r="L18" s="93"/>
      <c r="M18" s="94"/>
      <c r="N18" s="95" t="n">
        <v>1</v>
      </c>
      <c r="O18" s="95"/>
      <c r="P18" s="96"/>
      <c r="Q18" s="97"/>
      <c r="R18" s="98"/>
    </row>
    <row r="19" customFormat="false" ht="23.1" hidden="false" customHeight="false" outlineLevel="0" collapsed="false">
      <c r="A19" s="88" t="n">
        <f aca="false">+A18+1</f>
        <v>8</v>
      </c>
      <c r="B19" s="89"/>
      <c r="C19" s="90" t="n">
        <v>5</v>
      </c>
      <c r="D19" s="91" t="s">
        <v>121</v>
      </c>
      <c r="E19" s="91" t="s">
        <v>120</v>
      </c>
      <c r="F19" s="91" t="s">
        <v>50</v>
      </c>
      <c r="G19" s="93"/>
      <c r="H19" s="93"/>
      <c r="I19" s="92"/>
      <c r="J19" s="93"/>
      <c r="K19" s="93"/>
      <c r="L19" s="93"/>
      <c r="M19" s="94"/>
      <c r="N19" s="95" t="n">
        <v>1</v>
      </c>
      <c r="O19" s="95"/>
      <c r="P19" s="96"/>
      <c r="Q19" s="97"/>
      <c r="R19" s="98"/>
    </row>
    <row r="20" customFormat="false" ht="23.1" hidden="false" customHeight="false" outlineLevel="0" collapsed="false">
      <c r="A20" s="88" t="n">
        <f aca="false">+A19+1</f>
        <v>9</v>
      </c>
      <c r="B20" s="89"/>
      <c r="C20" s="90" t="n">
        <v>6</v>
      </c>
      <c r="D20" s="91" t="s">
        <v>121</v>
      </c>
      <c r="E20" s="91" t="s">
        <v>120</v>
      </c>
      <c r="F20" s="91" t="s">
        <v>50</v>
      </c>
      <c r="G20" s="93"/>
      <c r="H20" s="93"/>
      <c r="I20" s="93"/>
      <c r="J20" s="92"/>
      <c r="K20" s="93"/>
      <c r="L20" s="93"/>
      <c r="M20" s="94"/>
      <c r="N20" s="95" t="n">
        <v>0.6</v>
      </c>
      <c r="O20" s="95"/>
      <c r="P20" s="96"/>
      <c r="Q20" s="97"/>
      <c r="R20" s="98"/>
    </row>
    <row r="21" customFormat="false" ht="23.1" hidden="false" customHeight="false" outlineLevel="0" collapsed="false">
      <c r="A21" s="88" t="n">
        <f aca="false">+A20+1</f>
        <v>10</v>
      </c>
      <c r="B21" s="89"/>
      <c r="C21" s="90" t="n">
        <v>6</v>
      </c>
      <c r="D21" s="91" t="s">
        <v>121</v>
      </c>
      <c r="E21" s="91" t="s">
        <v>120</v>
      </c>
      <c r="F21" s="91" t="s">
        <v>50</v>
      </c>
      <c r="G21" s="93"/>
      <c r="H21" s="93"/>
      <c r="I21" s="93"/>
      <c r="J21" s="93"/>
      <c r="K21" s="92"/>
      <c r="L21" s="93"/>
      <c r="M21" s="94"/>
      <c r="N21" s="95" t="n">
        <v>1</v>
      </c>
      <c r="O21" s="95"/>
      <c r="P21" s="96"/>
      <c r="Q21" s="97"/>
      <c r="R21" s="98"/>
    </row>
    <row r="22" customFormat="false" ht="23.1" hidden="false" customHeight="false" outlineLevel="0" collapsed="false">
      <c r="A22" s="88" t="n">
        <f aca="false">+A21+1</f>
        <v>11</v>
      </c>
      <c r="B22" s="89"/>
      <c r="C22" s="90" t="n">
        <v>7</v>
      </c>
      <c r="D22" s="91" t="s">
        <v>121</v>
      </c>
      <c r="E22" s="91" t="s">
        <v>120</v>
      </c>
      <c r="F22" s="91" t="s">
        <v>50</v>
      </c>
      <c r="G22" s="93"/>
      <c r="H22" s="93"/>
      <c r="I22" s="93"/>
      <c r="J22" s="93"/>
      <c r="K22" s="92"/>
      <c r="L22" s="93"/>
      <c r="M22" s="94"/>
      <c r="N22" s="95" t="n">
        <v>1</v>
      </c>
      <c r="O22" s="95"/>
      <c r="P22" s="96"/>
      <c r="Q22" s="97"/>
      <c r="R22" s="98"/>
    </row>
    <row r="23" customFormat="false" ht="23.1" hidden="false" customHeight="false" outlineLevel="0" collapsed="false">
      <c r="A23" s="88" t="n">
        <f aca="false">+A22+1</f>
        <v>12</v>
      </c>
      <c r="B23" s="89"/>
      <c r="C23" s="90" t="n">
        <v>1</v>
      </c>
      <c r="D23" s="91" t="s">
        <v>122</v>
      </c>
      <c r="E23" s="91" t="s">
        <v>120</v>
      </c>
      <c r="F23" s="91" t="s">
        <v>50</v>
      </c>
      <c r="G23" s="92"/>
      <c r="H23" s="93"/>
      <c r="I23" s="93"/>
      <c r="J23" s="93"/>
      <c r="K23" s="93"/>
      <c r="L23" s="93"/>
      <c r="M23" s="94"/>
      <c r="N23" s="95" t="n">
        <v>1</v>
      </c>
      <c r="O23" s="95"/>
      <c r="P23" s="96"/>
      <c r="Q23" s="97"/>
      <c r="R23" s="98"/>
    </row>
    <row r="24" customFormat="false" ht="23.1" hidden="false" customHeight="false" outlineLevel="0" collapsed="false">
      <c r="A24" s="88" t="n">
        <f aca="false">+A23+1</f>
        <v>13</v>
      </c>
      <c r="B24" s="89"/>
      <c r="C24" s="90" t="n">
        <v>2</v>
      </c>
      <c r="D24" s="91" t="s">
        <v>122</v>
      </c>
      <c r="E24" s="91" t="s">
        <v>120</v>
      </c>
      <c r="F24" s="91" t="s">
        <v>50</v>
      </c>
      <c r="G24" s="92"/>
      <c r="H24" s="93"/>
      <c r="I24" s="93"/>
      <c r="J24" s="93"/>
      <c r="K24" s="93"/>
      <c r="L24" s="93"/>
      <c r="M24" s="94"/>
      <c r="N24" s="95" t="n">
        <v>1</v>
      </c>
      <c r="O24" s="95"/>
      <c r="P24" s="96"/>
      <c r="Q24" s="97"/>
      <c r="R24" s="98"/>
    </row>
    <row r="25" customFormat="false" ht="23.1" hidden="false" customHeight="false" outlineLevel="0" collapsed="false">
      <c r="A25" s="88" t="n">
        <f aca="false">+A24+1</f>
        <v>14</v>
      </c>
      <c r="B25" s="89"/>
      <c r="C25" s="90" t="n">
        <v>3</v>
      </c>
      <c r="D25" s="91" t="s">
        <v>122</v>
      </c>
      <c r="E25" s="91" t="s">
        <v>120</v>
      </c>
      <c r="F25" s="91" t="s">
        <v>50</v>
      </c>
      <c r="G25" s="93"/>
      <c r="H25" s="92"/>
      <c r="I25" s="93"/>
      <c r="J25" s="93"/>
      <c r="K25" s="93"/>
      <c r="L25" s="93"/>
      <c r="M25" s="94"/>
      <c r="N25" s="95" t="n">
        <v>1</v>
      </c>
      <c r="O25" s="95"/>
      <c r="P25" s="96"/>
      <c r="Q25" s="97"/>
      <c r="R25" s="98"/>
    </row>
    <row r="26" customFormat="false" ht="23.1" hidden="false" customHeight="false" outlineLevel="0" collapsed="false">
      <c r="A26" s="88" t="n">
        <f aca="false">+A25+1</f>
        <v>15</v>
      </c>
      <c r="B26" s="89"/>
      <c r="C26" s="90" t="n">
        <v>4</v>
      </c>
      <c r="D26" s="91" t="s">
        <v>122</v>
      </c>
      <c r="E26" s="91" t="s">
        <v>120</v>
      </c>
      <c r="F26" s="91" t="s">
        <v>50</v>
      </c>
      <c r="G26" s="93"/>
      <c r="H26" s="93"/>
      <c r="I26" s="92"/>
      <c r="J26" s="93"/>
      <c r="K26" s="93"/>
      <c r="L26" s="93"/>
      <c r="M26" s="94"/>
      <c r="N26" s="95" t="n">
        <v>1</v>
      </c>
      <c r="O26" s="95"/>
      <c r="P26" s="96"/>
      <c r="Q26" s="97"/>
      <c r="R26" s="98"/>
    </row>
    <row r="27" customFormat="false" ht="23.1" hidden="false" customHeight="false" outlineLevel="0" collapsed="false">
      <c r="A27" s="88" t="n">
        <f aca="false">+A26+1</f>
        <v>16</v>
      </c>
      <c r="B27" s="89"/>
      <c r="C27" s="90" t="n">
        <v>5</v>
      </c>
      <c r="D27" s="91" t="s">
        <v>122</v>
      </c>
      <c r="E27" s="91" t="s">
        <v>120</v>
      </c>
      <c r="F27" s="91" t="s">
        <v>50</v>
      </c>
      <c r="G27" s="93"/>
      <c r="H27" s="93"/>
      <c r="I27" s="93"/>
      <c r="J27" s="92"/>
      <c r="K27" s="93"/>
      <c r="L27" s="93"/>
      <c r="M27" s="94"/>
      <c r="N27" s="95" t="n">
        <v>1</v>
      </c>
      <c r="O27" s="95"/>
      <c r="P27" s="96"/>
      <c r="Q27" s="97"/>
      <c r="R27" s="98"/>
    </row>
    <row r="28" customFormat="false" ht="23.1" hidden="false" customHeight="false" outlineLevel="0" collapsed="false">
      <c r="A28" s="88" t="n">
        <f aca="false">+A27+1</f>
        <v>17</v>
      </c>
      <c r="B28" s="89"/>
      <c r="C28" s="90" t="n">
        <v>6</v>
      </c>
      <c r="D28" s="91" t="s">
        <v>122</v>
      </c>
      <c r="E28" s="91" t="s">
        <v>120</v>
      </c>
      <c r="F28" s="91" t="s">
        <v>50</v>
      </c>
      <c r="G28" s="93"/>
      <c r="H28" s="93"/>
      <c r="I28" s="93"/>
      <c r="J28" s="93"/>
      <c r="K28" s="92"/>
      <c r="L28" s="93"/>
      <c r="M28" s="94"/>
      <c r="N28" s="95" t="n">
        <v>1</v>
      </c>
      <c r="O28" s="95"/>
      <c r="P28" s="96"/>
      <c r="Q28" s="97"/>
      <c r="R28" s="98"/>
    </row>
    <row r="29" customFormat="false" ht="23.1" hidden="false" customHeight="false" outlineLevel="0" collapsed="false">
      <c r="A29" s="88" t="n">
        <f aca="false">+A28+1</f>
        <v>18</v>
      </c>
      <c r="B29" s="89"/>
      <c r="C29" s="90" t="n">
        <v>7</v>
      </c>
      <c r="D29" s="91" t="s">
        <v>122</v>
      </c>
      <c r="E29" s="91" t="s">
        <v>120</v>
      </c>
      <c r="F29" s="91" t="s">
        <v>50</v>
      </c>
      <c r="G29" s="93"/>
      <c r="H29" s="93"/>
      <c r="I29" s="93"/>
      <c r="J29" s="93"/>
      <c r="K29" s="92"/>
      <c r="L29" s="93"/>
      <c r="M29" s="94"/>
      <c r="N29" s="95" t="n">
        <v>1</v>
      </c>
      <c r="O29" s="95"/>
      <c r="P29" s="96"/>
      <c r="Q29" s="97"/>
      <c r="R29" s="98"/>
    </row>
    <row r="30" customFormat="false" ht="23.1" hidden="false" customHeight="false" outlineLevel="0" collapsed="false">
      <c r="A30" s="88" t="n">
        <f aca="false">+A29+1</f>
        <v>19</v>
      </c>
      <c r="B30" s="89"/>
      <c r="C30" s="90" t="n">
        <v>1</v>
      </c>
      <c r="D30" s="91" t="s">
        <v>123</v>
      </c>
      <c r="E30" s="91" t="s">
        <v>120</v>
      </c>
      <c r="F30" s="91" t="s">
        <v>50</v>
      </c>
      <c r="G30" s="92"/>
      <c r="H30" s="93"/>
      <c r="I30" s="93"/>
      <c r="J30" s="93"/>
      <c r="K30" s="93"/>
      <c r="L30" s="93"/>
      <c r="M30" s="94"/>
      <c r="N30" s="95" t="n">
        <v>1</v>
      </c>
      <c r="O30" s="95"/>
      <c r="P30" s="96"/>
      <c r="Q30" s="97"/>
      <c r="R30" s="98"/>
    </row>
    <row r="31" customFormat="false" ht="23.1" hidden="false" customHeight="false" outlineLevel="0" collapsed="false">
      <c r="A31" s="88" t="n">
        <f aca="false">+A30+1</f>
        <v>20</v>
      </c>
      <c r="B31" s="89"/>
      <c r="C31" s="90" t="s">
        <v>124</v>
      </c>
      <c r="D31" s="91" t="s">
        <v>123</v>
      </c>
      <c r="E31" s="91" t="s">
        <v>120</v>
      </c>
      <c r="F31" s="91" t="s">
        <v>50</v>
      </c>
      <c r="G31" s="92"/>
      <c r="H31" s="93"/>
      <c r="I31" s="93"/>
      <c r="J31" s="93"/>
      <c r="K31" s="93"/>
      <c r="L31" s="93"/>
      <c r="M31" s="94"/>
      <c r="N31" s="95" t="n">
        <v>1</v>
      </c>
      <c r="O31" s="95"/>
      <c r="P31" s="96"/>
      <c r="Q31" s="97"/>
      <c r="R31" s="98"/>
    </row>
    <row r="32" customFormat="false" ht="23.1" hidden="false" customHeight="false" outlineLevel="0" collapsed="false">
      <c r="A32" s="88" t="n">
        <f aca="false">+A31+1</f>
        <v>21</v>
      </c>
      <c r="B32" s="89"/>
      <c r="C32" s="90" t="n">
        <v>3</v>
      </c>
      <c r="D32" s="91" t="s">
        <v>123</v>
      </c>
      <c r="E32" s="91" t="s">
        <v>120</v>
      </c>
      <c r="F32" s="91" t="s">
        <v>50</v>
      </c>
      <c r="G32" s="92"/>
      <c r="H32" s="93"/>
      <c r="I32" s="93"/>
      <c r="J32" s="93"/>
      <c r="K32" s="93"/>
      <c r="L32" s="93"/>
      <c r="M32" s="94"/>
      <c r="N32" s="95" t="n">
        <v>1</v>
      </c>
      <c r="O32" s="95"/>
      <c r="P32" s="96"/>
      <c r="Q32" s="97"/>
      <c r="R32" s="98"/>
    </row>
    <row r="33" customFormat="false" ht="23.1" hidden="false" customHeight="false" outlineLevel="0" collapsed="false">
      <c r="A33" s="88" t="n">
        <f aca="false">+A32+1</f>
        <v>22</v>
      </c>
      <c r="B33" s="89"/>
      <c r="C33" s="90" t="n">
        <v>4</v>
      </c>
      <c r="D33" s="91" t="s">
        <v>123</v>
      </c>
      <c r="E33" s="91" t="s">
        <v>120</v>
      </c>
      <c r="F33" s="91" t="s">
        <v>50</v>
      </c>
      <c r="G33" s="92"/>
      <c r="H33" s="93"/>
      <c r="I33" s="93"/>
      <c r="J33" s="93"/>
      <c r="K33" s="93"/>
      <c r="L33" s="93"/>
      <c r="M33" s="94"/>
      <c r="N33" s="95" t="n">
        <v>1</v>
      </c>
      <c r="O33" s="95"/>
      <c r="P33" s="96"/>
      <c r="Q33" s="97"/>
      <c r="R33" s="98"/>
    </row>
    <row r="34" customFormat="false" ht="23.1" hidden="false" customHeight="false" outlineLevel="0" collapsed="false">
      <c r="A34" s="88" t="n">
        <f aca="false">+A33+1</f>
        <v>23</v>
      </c>
      <c r="B34" s="89"/>
      <c r="C34" s="99" t="n">
        <v>6</v>
      </c>
      <c r="D34" s="91" t="s">
        <v>123</v>
      </c>
      <c r="E34" s="91" t="s">
        <v>120</v>
      </c>
      <c r="F34" s="91" t="s">
        <v>50</v>
      </c>
      <c r="G34" s="92"/>
      <c r="H34" s="93"/>
      <c r="I34" s="93"/>
      <c r="J34" s="93"/>
      <c r="K34" s="93"/>
      <c r="L34" s="93"/>
      <c r="M34" s="94"/>
      <c r="N34" s="95" t="n">
        <v>1</v>
      </c>
      <c r="O34" s="95"/>
      <c r="P34" s="96"/>
      <c r="Q34" s="97"/>
      <c r="R34" s="98"/>
    </row>
    <row r="35" customFormat="false" ht="23.1" hidden="false" customHeight="false" outlineLevel="0" collapsed="false">
      <c r="A35" s="88" t="n">
        <f aca="false">+A34+1</f>
        <v>24</v>
      </c>
      <c r="B35" s="89"/>
      <c r="C35" s="99" t="n">
        <v>5</v>
      </c>
      <c r="D35" s="91" t="s">
        <v>123</v>
      </c>
      <c r="E35" s="91" t="s">
        <v>120</v>
      </c>
      <c r="F35" s="91" t="s">
        <v>50</v>
      </c>
      <c r="G35" s="93"/>
      <c r="H35" s="92"/>
      <c r="I35" s="93"/>
      <c r="J35" s="93"/>
      <c r="K35" s="93"/>
      <c r="L35" s="93"/>
      <c r="M35" s="94"/>
      <c r="N35" s="95" t="n">
        <v>1</v>
      </c>
      <c r="O35" s="95"/>
      <c r="P35" s="96"/>
      <c r="Q35" s="97"/>
      <c r="R35" s="98"/>
    </row>
    <row r="36" customFormat="false" ht="23.1" hidden="false" customHeight="false" outlineLevel="0" collapsed="false">
      <c r="A36" s="88" t="n">
        <f aca="false">+A35+1</f>
        <v>25</v>
      </c>
      <c r="B36" s="89"/>
      <c r="C36" s="90" t="n">
        <v>7</v>
      </c>
      <c r="D36" s="91" t="s">
        <v>123</v>
      </c>
      <c r="E36" s="91" t="s">
        <v>120</v>
      </c>
      <c r="F36" s="91" t="s">
        <v>50</v>
      </c>
      <c r="G36" s="93"/>
      <c r="H36" s="92"/>
      <c r="I36" s="93"/>
      <c r="J36" s="93"/>
      <c r="K36" s="93"/>
      <c r="L36" s="93"/>
      <c r="M36" s="94"/>
      <c r="N36" s="95" t="n">
        <v>1</v>
      </c>
      <c r="O36" s="95"/>
      <c r="P36" s="96"/>
      <c r="Q36" s="97"/>
      <c r="R36" s="98"/>
    </row>
    <row r="37" customFormat="false" ht="23.1" hidden="false" customHeight="false" outlineLevel="0" collapsed="false">
      <c r="A37" s="88" t="n">
        <f aca="false">+A36+1</f>
        <v>26</v>
      </c>
      <c r="B37" s="89"/>
      <c r="C37" s="90" t="n">
        <v>7</v>
      </c>
      <c r="D37" s="91" t="s">
        <v>125</v>
      </c>
      <c r="E37" s="91" t="s">
        <v>120</v>
      </c>
      <c r="F37" s="91" t="s">
        <v>50</v>
      </c>
      <c r="G37" s="92"/>
      <c r="H37" s="93"/>
      <c r="I37" s="93"/>
      <c r="J37" s="93"/>
      <c r="K37" s="93"/>
      <c r="L37" s="93"/>
      <c r="M37" s="94"/>
      <c r="N37" s="95" t="n">
        <v>0.33</v>
      </c>
      <c r="O37" s="95"/>
      <c r="P37" s="96"/>
      <c r="Q37" s="97"/>
      <c r="R37" s="98"/>
    </row>
    <row r="38" customFormat="false" ht="23.1" hidden="false" customHeight="false" outlineLevel="0" collapsed="false">
      <c r="A38" s="88" t="n">
        <f aca="false">+A37+1</f>
        <v>27</v>
      </c>
      <c r="B38" s="89"/>
      <c r="C38" s="90" t="n">
        <v>7</v>
      </c>
      <c r="D38" s="91" t="s">
        <v>125</v>
      </c>
      <c r="E38" s="91" t="s">
        <v>120</v>
      </c>
      <c r="F38" s="91" t="s">
        <v>50</v>
      </c>
      <c r="G38" s="93"/>
      <c r="H38" s="92"/>
      <c r="I38" s="93"/>
      <c r="J38" s="93"/>
      <c r="K38" s="93"/>
      <c r="L38" s="93"/>
      <c r="M38" s="94"/>
      <c r="N38" s="95" t="n">
        <v>0.66</v>
      </c>
      <c r="O38" s="95"/>
      <c r="P38" s="96"/>
      <c r="Q38" s="97"/>
      <c r="R38" s="98"/>
    </row>
    <row r="39" customFormat="false" ht="23.1" hidden="false" customHeight="false" outlineLevel="0" collapsed="false">
      <c r="A39" s="88" t="n">
        <f aca="false">+A38+1</f>
        <v>28</v>
      </c>
      <c r="B39" s="89"/>
      <c r="C39" s="90" t="n">
        <v>7</v>
      </c>
      <c r="D39" s="91" t="s">
        <v>125</v>
      </c>
      <c r="E39" s="91" t="s">
        <v>120</v>
      </c>
      <c r="F39" s="91" t="s">
        <v>50</v>
      </c>
      <c r="G39" s="93"/>
      <c r="H39" s="93"/>
      <c r="I39" s="92"/>
      <c r="J39" s="93"/>
      <c r="K39" s="93"/>
      <c r="L39" s="93"/>
      <c r="M39" s="94"/>
      <c r="N39" s="95" t="n">
        <v>0.77</v>
      </c>
      <c r="O39" s="95"/>
      <c r="P39" s="96"/>
      <c r="Q39" s="97"/>
      <c r="R39" s="98"/>
    </row>
    <row r="40" customFormat="false" ht="23.1" hidden="false" customHeight="false" outlineLevel="0" collapsed="false">
      <c r="A40" s="88" t="n">
        <f aca="false">+A39+1</f>
        <v>29</v>
      </c>
      <c r="B40" s="89"/>
      <c r="C40" s="90" t="n">
        <v>5</v>
      </c>
      <c r="D40" s="100" t="s">
        <v>126</v>
      </c>
      <c r="E40" s="100" t="s">
        <v>127</v>
      </c>
      <c r="F40" s="100" t="s">
        <v>50</v>
      </c>
      <c r="G40" s="92"/>
      <c r="H40" s="93"/>
      <c r="I40" s="93"/>
      <c r="J40" s="93"/>
      <c r="K40" s="93"/>
      <c r="L40" s="93"/>
      <c r="M40" s="94"/>
      <c r="N40" s="95" t="n">
        <v>0.33</v>
      </c>
      <c r="O40" s="95"/>
      <c r="P40" s="96"/>
      <c r="Q40" s="97"/>
      <c r="R40" s="98"/>
    </row>
    <row r="41" customFormat="false" ht="23.1" hidden="false" customHeight="false" outlineLevel="0" collapsed="false">
      <c r="A41" s="88" t="n">
        <f aca="false">+A40+1</f>
        <v>30</v>
      </c>
      <c r="B41" s="89"/>
      <c r="C41" s="90" t="n">
        <v>5</v>
      </c>
      <c r="D41" s="100" t="s">
        <v>126</v>
      </c>
      <c r="E41" s="100" t="s">
        <v>127</v>
      </c>
      <c r="F41" s="100" t="s">
        <v>50</v>
      </c>
      <c r="G41" s="93"/>
      <c r="H41" s="92"/>
      <c r="I41" s="93"/>
      <c r="J41" s="93"/>
      <c r="K41" s="93"/>
      <c r="L41" s="93"/>
      <c r="M41" s="94"/>
      <c r="N41" s="95" t="n">
        <v>0.66</v>
      </c>
      <c r="O41" s="95"/>
      <c r="P41" s="96"/>
      <c r="Q41" s="97"/>
      <c r="R41" s="98"/>
    </row>
    <row r="42" customFormat="false" ht="23.1" hidden="false" customHeight="false" outlineLevel="0" collapsed="false">
      <c r="A42" s="88" t="n">
        <f aca="false">+A41+1</f>
        <v>31</v>
      </c>
      <c r="B42" s="89"/>
      <c r="C42" s="90" t="n">
        <v>5</v>
      </c>
      <c r="D42" s="100" t="s">
        <v>126</v>
      </c>
      <c r="E42" s="100" t="s">
        <v>127</v>
      </c>
      <c r="F42" s="100" t="s">
        <v>50</v>
      </c>
      <c r="G42" s="93"/>
      <c r="H42" s="93"/>
      <c r="I42" s="92"/>
      <c r="J42" s="93"/>
      <c r="K42" s="93"/>
      <c r="L42" s="93"/>
      <c r="M42" s="94"/>
      <c r="N42" s="95" t="n">
        <v>1</v>
      </c>
      <c r="O42" s="95"/>
      <c r="P42" s="96"/>
      <c r="Q42" s="97"/>
      <c r="R42" s="98"/>
    </row>
    <row r="43" customFormat="false" ht="23.1" hidden="false" customHeight="false" outlineLevel="0" collapsed="false">
      <c r="A43" s="88" t="n">
        <f aca="false">+A42+1</f>
        <v>32</v>
      </c>
      <c r="B43" s="89"/>
      <c r="C43" s="90" t="n">
        <v>6</v>
      </c>
      <c r="D43" s="100" t="s">
        <v>126</v>
      </c>
      <c r="E43" s="100" t="s">
        <v>127</v>
      </c>
      <c r="F43" s="100" t="s">
        <v>50</v>
      </c>
      <c r="G43" s="93"/>
      <c r="H43" s="93"/>
      <c r="I43" s="93"/>
      <c r="J43" s="92"/>
      <c r="K43" s="93"/>
      <c r="L43" s="93"/>
      <c r="M43" s="94"/>
      <c r="N43" s="95" t="n">
        <v>0.6</v>
      </c>
      <c r="O43" s="95"/>
      <c r="P43" s="96"/>
      <c r="Q43" s="97"/>
      <c r="R43" s="98"/>
    </row>
    <row r="44" customFormat="false" ht="23.1" hidden="false" customHeight="false" outlineLevel="0" collapsed="false">
      <c r="A44" s="88" t="n">
        <f aca="false">+A43+1</f>
        <v>33</v>
      </c>
      <c r="B44" s="89"/>
      <c r="C44" s="90" t="n">
        <v>6</v>
      </c>
      <c r="D44" s="100" t="s">
        <v>126</v>
      </c>
      <c r="E44" s="100" t="s">
        <v>127</v>
      </c>
      <c r="F44" s="100" t="s">
        <v>50</v>
      </c>
      <c r="G44" s="93"/>
      <c r="H44" s="93"/>
      <c r="I44" s="93"/>
      <c r="J44" s="93"/>
      <c r="K44" s="92"/>
      <c r="L44" s="93"/>
      <c r="M44" s="94"/>
      <c r="N44" s="95" t="n">
        <v>1</v>
      </c>
      <c r="O44" s="95"/>
      <c r="P44" s="96"/>
      <c r="Q44" s="97"/>
      <c r="R44" s="98"/>
    </row>
    <row r="45" customFormat="false" ht="23.1" hidden="false" customHeight="false" outlineLevel="0" collapsed="false">
      <c r="A45" s="88" t="n">
        <f aca="false">+A44+1</f>
        <v>34</v>
      </c>
      <c r="B45" s="89"/>
      <c r="C45" s="90" t="n">
        <v>6</v>
      </c>
      <c r="D45" s="101" t="s">
        <v>128</v>
      </c>
      <c r="E45" s="101" t="s">
        <v>129</v>
      </c>
      <c r="F45" s="101" t="s">
        <v>50</v>
      </c>
      <c r="G45" s="92"/>
      <c r="H45" s="93"/>
      <c r="I45" s="93"/>
      <c r="J45" s="93"/>
      <c r="K45" s="93"/>
      <c r="L45" s="93"/>
      <c r="M45" s="94"/>
      <c r="N45" s="95" t="n">
        <v>0.25</v>
      </c>
      <c r="O45" s="95"/>
      <c r="P45" s="96"/>
      <c r="Q45" s="97"/>
      <c r="R45" s="98"/>
    </row>
    <row r="46" customFormat="false" ht="23.1" hidden="false" customHeight="false" outlineLevel="0" collapsed="false">
      <c r="A46" s="88" t="n">
        <f aca="false">+A45+1</f>
        <v>35</v>
      </c>
      <c r="B46" s="89"/>
      <c r="C46" s="90" t="n">
        <v>6</v>
      </c>
      <c r="D46" s="101" t="s">
        <v>128</v>
      </c>
      <c r="E46" s="101" t="s">
        <v>129</v>
      </c>
      <c r="F46" s="101" t="s">
        <v>50</v>
      </c>
      <c r="G46" s="93"/>
      <c r="H46" s="92"/>
      <c r="I46" s="93"/>
      <c r="J46" s="93"/>
      <c r="K46" s="93"/>
      <c r="L46" s="93"/>
      <c r="M46" s="94"/>
      <c r="N46" s="95" t="n">
        <v>0.5</v>
      </c>
      <c r="O46" s="95"/>
      <c r="P46" s="96"/>
      <c r="Q46" s="97"/>
      <c r="R46" s="98"/>
    </row>
    <row r="47" customFormat="false" ht="23.1" hidden="false" customHeight="false" outlineLevel="0" collapsed="false">
      <c r="A47" s="88" t="n">
        <f aca="false">+A46+1</f>
        <v>36</v>
      </c>
      <c r="B47" s="89"/>
      <c r="C47" s="90" t="n">
        <v>6</v>
      </c>
      <c r="D47" s="101" t="s">
        <v>128</v>
      </c>
      <c r="E47" s="101" t="s">
        <v>129</v>
      </c>
      <c r="F47" s="101" t="s">
        <v>50</v>
      </c>
      <c r="G47" s="93"/>
      <c r="H47" s="93"/>
      <c r="I47" s="92"/>
      <c r="J47" s="93"/>
      <c r="K47" s="93"/>
      <c r="L47" s="93"/>
      <c r="M47" s="94"/>
      <c r="N47" s="95" t="n">
        <v>0.75</v>
      </c>
      <c r="O47" s="95"/>
      <c r="P47" s="96"/>
      <c r="Q47" s="97"/>
      <c r="R47" s="98"/>
    </row>
    <row r="48" customFormat="false" ht="23.1" hidden="false" customHeight="false" outlineLevel="0" collapsed="false">
      <c r="A48" s="88" t="n">
        <f aca="false">+A47+1</f>
        <v>37</v>
      </c>
      <c r="B48" s="89"/>
      <c r="C48" s="90" t="n">
        <v>6</v>
      </c>
      <c r="D48" s="101" t="s">
        <v>128</v>
      </c>
      <c r="E48" s="101" t="s">
        <v>129</v>
      </c>
      <c r="F48" s="101" t="s">
        <v>50</v>
      </c>
      <c r="G48" s="93"/>
      <c r="H48" s="93"/>
      <c r="I48" s="93"/>
      <c r="J48" s="93"/>
      <c r="K48" s="92"/>
      <c r="L48" s="93"/>
      <c r="M48" s="94"/>
      <c r="N48" s="95" t="n">
        <v>1</v>
      </c>
      <c r="O48" s="95"/>
      <c r="P48" s="96"/>
      <c r="Q48" s="97"/>
      <c r="R48" s="98"/>
    </row>
    <row r="49" customFormat="false" ht="23.1" hidden="false" customHeight="false" outlineLevel="0" collapsed="false">
      <c r="A49" s="88" t="n">
        <f aca="false">+A48+1</f>
        <v>38</v>
      </c>
      <c r="B49" s="89"/>
      <c r="C49" s="90" t="n">
        <v>5</v>
      </c>
      <c r="D49" s="101" t="s">
        <v>128</v>
      </c>
      <c r="E49" s="101" t="s">
        <v>129</v>
      </c>
      <c r="F49" s="101" t="s">
        <v>50</v>
      </c>
      <c r="G49" s="93"/>
      <c r="H49" s="93"/>
      <c r="I49" s="93"/>
      <c r="J49" s="92"/>
      <c r="K49" s="93"/>
      <c r="L49" s="93"/>
      <c r="M49" s="94"/>
      <c r="N49" s="95" t="n">
        <v>1</v>
      </c>
      <c r="O49" s="95"/>
      <c r="P49" s="96"/>
      <c r="Q49" s="97"/>
      <c r="R49" s="98"/>
    </row>
    <row r="50" customFormat="false" ht="23.1" hidden="false" customHeight="false" outlineLevel="0" collapsed="false">
      <c r="A50" s="88" t="n">
        <f aca="false">+A49+1</f>
        <v>39</v>
      </c>
      <c r="B50" s="89"/>
      <c r="C50" s="90" t="n">
        <v>4</v>
      </c>
      <c r="D50" s="101" t="s">
        <v>130</v>
      </c>
      <c r="E50" s="101" t="s">
        <v>129</v>
      </c>
      <c r="F50" s="101" t="s">
        <v>50</v>
      </c>
      <c r="G50" s="93"/>
      <c r="H50" s="92"/>
      <c r="I50" s="93"/>
      <c r="J50" s="93"/>
      <c r="K50" s="93"/>
      <c r="L50" s="93"/>
      <c r="M50" s="94"/>
      <c r="N50" s="95" t="n">
        <v>1</v>
      </c>
      <c r="O50" s="95"/>
      <c r="P50" s="96"/>
      <c r="Q50" s="97"/>
      <c r="R50" s="98"/>
    </row>
    <row r="51" customFormat="false" ht="23.1" hidden="false" customHeight="false" outlineLevel="0" collapsed="false">
      <c r="A51" s="88" t="n">
        <f aca="false">+A50+1</f>
        <v>40</v>
      </c>
      <c r="B51" s="89"/>
      <c r="C51" s="90" t="n">
        <v>5</v>
      </c>
      <c r="D51" s="101" t="s">
        <v>130</v>
      </c>
      <c r="E51" s="101" t="s">
        <v>129</v>
      </c>
      <c r="F51" s="101" t="s">
        <v>50</v>
      </c>
      <c r="G51" s="92"/>
      <c r="H51" s="93"/>
      <c r="I51" s="93"/>
      <c r="J51" s="93"/>
      <c r="K51" s="93"/>
      <c r="L51" s="93"/>
      <c r="M51" s="94"/>
      <c r="N51" s="95" t="n">
        <v>0.2</v>
      </c>
      <c r="O51" s="95"/>
      <c r="P51" s="96"/>
      <c r="Q51" s="97"/>
      <c r="R51" s="98"/>
    </row>
    <row r="52" customFormat="false" ht="23.1" hidden="false" customHeight="false" outlineLevel="0" collapsed="false">
      <c r="A52" s="88" t="n">
        <f aca="false">+A51+1</f>
        <v>41</v>
      </c>
      <c r="B52" s="89"/>
      <c r="C52" s="90" t="n">
        <v>5</v>
      </c>
      <c r="D52" s="101" t="s">
        <v>130</v>
      </c>
      <c r="E52" s="101" t="s">
        <v>129</v>
      </c>
      <c r="F52" s="101" t="s">
        <v>50</v>
      </c>
      <c r="G52" s="93"/>
      <c r="H52" s="92"/>
      <c r="I52" s="93"/>
      <c r="J52" s="93"/>
      <c r="K52" s="93"/>
      <c r="L52" s="93"/>
      <c r="M52" s="94"/>
      <c r="N52" s="95" t="n">
        <v>0.4</v>
      </c>
      <c r="O52" s="95"/>
      <c r="P52" s="96"/>
      <c r="Q52" s="97"/>
      <c r="R52" s="98"/>
    </row>
    <row r="53" customFormat="false" ht="23.1" hidden="false" customHeight="false" outlineLevel="0" collapsed="false">
      <c r="A53" s="88" t="n">
        <f aca="false">+A52+1</f>
        <v>42</v>
      </c>
      <c r="B53" s="89"/>
      <c r="C53" s="90" t="n">
        <v>5</v>
      </c>
      <c r="D53" s="101" t="s">
        <v>130</v>
      </c>
      <c r="E53" s="101" t="s">
        <v>129</v>
      </c>
      <c r="F53" s="101" t="s">
        <v>50</v>
      </c>
      <c r="G53" s="93"/>
      <c r="H53" s="93"/>
      <c r="I53" s="92"/>
      <c r="J53" s="93"/>
      <c r="K53" s="93"/>
      <c r="L53" s="93"/>
      <c r="M53" s="94"/>
      <c r="N53" s="95" t="n">
        <v>0.6</v>
      </c>
      <c r="O53" s="95"/>
      <c r="P53" s="96"/>
      <c r="Q53" s="97"/>
      <c r="R53" s="98"/>
    </row>
    <row r="54" customFormat="false" ht="23.1" hidden="false" customHeight="false" outlineLevel="0" collapsed="false">
      <c r="A54" s="88" t="n">
        <f aca="false">+A53+1</f>
        <v>43</v>
      </c>
      <c r="B54" s="89"/>
      <c r="C54" s="90" t="n">
        <v>5</v>
      </c>
      <c r="D54" s="101" t="s">
        <v>130</v>
      </c>
      <c r="E54" s="101" t="s">
        <v>129</v>
      </c>
      <c r="F54" s="101" t="s">
        <v>50</v>
      </c>
      <c r="G54" s="93"/>
      <c r="H54" s="93"/>
      <c r="I54" s="93"/>
      <c r="J54" s="92"/>
      <c r="K54" s="93"/>
      <c r="L54" s="93"/>
      <c r="M54" s="94"/>
      <c r="N54" s="95" t="n">
        <v>0.8</v>
      </c>
      <c r="O54" s="95"/>
      <c r="P54" s="96"/>
      <c r="Q54" s="97"/>
      <c r="R54" s="98"/>
    </row>
    <row r="55" customFormat="false" ht="23.1" hidden="false" customHeight="false" outlineLevel="0" collapsed="false">
      <c r="A55" s="88" t="n">
        <f aca="false">+A54+1</f>
        <v>44</v>
      </c>
      <c r="B55" s="89"/>
      <c r="C55" s="90" t="n">
        <v>5</v>
      </c>
      <c r="D55" s="101" t="s">
        <v>130</v>
      </c>
      <c r="E55" s="101" t="s">
        <v>129</v>
      </c>
      <c r="F55" s="101" t="s">
        <v>50</v>
      </c>
      <c r="G55" s="93"/>
      <c r="H55" s="93"/>
      <c r="I55" s="93"/>
      <c r="J55" s="93"/>
      <c r="K55" s="92"/>
      <c r="L55" s="93"/>
      <c r="M55" s="94"/>
      <c r="N55" s="95" t="n">
        <v>1</v>
      </c>
      <c r="O55" s="95"/>
      <c r="P55" s="96"/>
      <c r="Q55" s="97"/>
      <c r="R55" s="98"/>
    </row>
    <row r="56" customFormat="false" ht="23.1" hidden="false" customHeight="false" outlineLevel="0" collapsed="false">
      <c r="A56" s="88" t="n">
        <f aca="false">+A55+1</f>
        <v>45</v>
      </c>
      <c r="B56" s="89"/>
      <c r="C56" s="90" t="n">
        <v>4</v>
      </c>
      <c r="D56" s="101" t="s">
        <v>131</v>
      </c>
      <c r="E56" s="101" t="s">
        <v>129</v>
      </c>
      <c r="F56" s="101" t="s">
        <v>50</v>
      </c>
      <c r="G56" s="93"/>
      <c r="H56" s="93"/>
      <c r="I56" s="93"/>
      <c r="J56" s="92"/>
      <c r="K56" s="93"/>
      <c r="L56" s="93"/>
      <c r="M56" s="94"/>
      <c r="N56" s="95" t="n">
        <v>1</v>
      </c>
      <c r="O56" s="95"/>
      <c r="P56" s="96"/>
      <c r="Q56" s="97"/>
      <c r="R56" s="98"/>
    </row>
    <row r="57" customFormat="false" ht="23.1" hidden="false" customHeight="false" outlineLevel="0" collapsed="false">
      <c r="A57" s="88" t="n">
        <f aca="false">+A56+1</f>
        <v>46</v>
      </c>
      <c r="B57" s="89"/>
      <c r="C57" s="102" t="n">
        <v>5</v>
      </c>
      <c r="D57" s="103" t="s">
        <v>131</v>
      </c>
      <c r="E57" s="103" t="s">
        <v>129</v>
      </c>
      <c r="F57" s="103" t="s">
        <v>50</v>
      </c>
      <c r="G57" s="104"/>
      <c r="H57" s="104"/>
      <c r="I57" s="104"/>
      <c r="J57" s="104"/>
      <c r="K57" s="105"/>
      <c r="L57" s="104"/>
      <c r="M57" s="106"/>
      <c r="N57" s="107" t="n">
        <v>1</v>
      </c>
      <c r="O57" s="107"/>
      <c r="P57" s="108"/>
      <c r="Q57" s="109"/>
      <c r="R57" s="110"/>
    </row>
    <row r="58" customFormat="false" ht="23.1" hidden="false" customHeight="true" outlineLevel="0" collapsed="false">
      <c r="A58" s="88" t="n">
        <f aca="false">+A57+1</f>
        <v>47</v>
      </c>
      <c r="B58" s="111" t="s">
        <v>132</v>
      </c>
      <c r="C58" s="112" t="n">
        <v>3</v>
      </c>
      <c r="D58" s="113" t="s">
        <v>133</v>
      </c>
      <c r="E58" s="113" t="s">
        <v>120</v>
      </c>
      <c r="F58" s="113" t="s">
        <v>50</v>
      </c>
      <c r="G58" s="114"/>
      <c r="H58" s="114"/>
      <c r="I58" s="115"/>
      <c r="J58" s="114"/>
      <c r="K58" s="114"/>
      <c r="L58" s="114"/>
      <c r="M58" s="116"/>
      <c r="N58" s="117" t="n">
        <v>1</v>
      </c>
      <c r="O58" s="117"/>
      <c r="P58" s="118"/>
      <c r="Q58" s="119"/>
      <c r="R58" s="120"/>
    </row>
    <row r="59" customFormat="false" ht="23.1" hidden="false" customHeight="false" outlineLevel="0" collapsed="false">
      <c r="A59" s="88" t="n">
        <f aca="false">+A58+1</f>
        <v>48</v>
      </c>
      <c r="B59" s="111"/>
      <c r="C59" s="90" t="n">
        <v>6</v>
      </c>
      <c r="D59" s="91" t="s">
        <v>133</v>
      </c>
      <c r="E59" s="91" t="s">
        <v>120</v>
      </c>
      <c r="F59" s="91" t="s">
        <v>50</v>
      </c>
      <c r="G59" s="93"/>
      <c r="H59" s="93"/>
      <c r="I59" s="92"/>
      <c r="J59" s="93"/>
      <c r="K59" s="93"/>
      <c r="L59" s="93"/>
      <c r="M59" s="94"/>
      <c r="N59" s="95" t="n">
        <v>1</v>
      </c>
      <c r="O59" s="95"/>
      <c r="P59" s="96"/>
      <c r="Q59" s="97"/>
      <c r="R59" s="98"/>
    </row>
    <row r="60" customFormat="false" ht="23.1" hidden="false" customHeight="false" outlineLevel="0" collapsed="false">
      <c r="A60" s="88" t="n">
        <f aca="false">+A59+1</f>
        <v>49</v>
      </c>
      <c r="B60" s="111"/>
      <c r="C60" s="90" t="n">
        <v>5</v>
      </c>
      <c r="D60" s="91" t="s">
        <v>133</v>
      </c>
      <c r="E60" s="91" t="s">
        <v>120</v>
      </c>
      <c r="F60" s="91" t="s">
        <v>50</v>
      </c>
      <c r="G60" s="93"/>
      <c r="H60" s="93"/>
      <c r="I60" s="92"/>
      <c r="J60" s="93"/>
      <c r="K60" s="93"/>
      <c r="L60" s="93"/>
      <c r="M60" s="94"/>
      <c r="N60" s="95" t="n">
        <v>1</v>
      </c>
      <c r="O60" s="95"/>
      <c r="P60" s="96"/>
      <c r="Q60" s="97"/>
      <c r="R60" s="98"/>
    </row>
    <row r="61" customFormat="false" ht="23.1" hidden="false" customHeight="false" outlineLevel="0" collapsed="false">
      <c r="A61" s="88" t="n">
        <f aca="false">+A60+1</f>
        <v>50</v>
      </c>
      <c r="B61" s="111"/>
      <c r="C61" s="90" t="s">
        <v>134</v>
      </c>
      <c r="D61" s="91" t="s">
        <v>133</v>
      </c>
      <c r="E61" s="91" t="s">
        <v>120</v>
      </c>
      <c r="F61" s="91" t="s">
        <v>50</v>
      </c>
      <c r="G61" s="92"/>
      <c r="H61" s="93"/>
      <c r="I61" s="93"/>
      <c r="J61" s="93"/>
      <c r="K61" s="93"/>
      <c r="L61" s="93"/>
      <c r="M61" s="94"/>
      <c r="N61" s="95" t="n">
        <v>1</v>
      </c>
      <c r="O61" s="95"/>
      <c r="P61" s="96"/>
      <c r="Q61" s="97"/>
      <c r="R61" s="98"/>
    </row>
    <row r="62" customFormat="false" ht="23.1" hidden="false" customHeight="false" outlineLevel="0" collapsed="false">
      <c r="A62" s="88" t="n">
        <f aca="false">+A61+1</f>
        <v>51</v>
      </c>
      <c r="B62" s="111"/>
      <c r="C62" s="90" t="s">
        <v>135</v>
      </c>
      <c r="D62" s="91" t="s">
        <v>133</v>
      </c>
      <c r="E62" s="91" t="s">
        <v>120</v>
      </c>
      <c r="F62" s="91" t="s">
        <v>50</v>
      </c>
      <c r="G62" s="93"/>
      <c r="H62" s="92"/>
      <c r="I62" s="93"/>
      <c r="J62" s="93"/>
      <c r="K62" s="93"/>
      <c r="L62" s="93"/>
      <c r="M62" s="94"/>
      <c r="N62" s="95" t="n">
        <v>1</v>
      </c>
      <c r="O62" s="95"/>
      <c r="P62" s="96"/>
      <c r="Q62" s="97"/>
      <c r="R62" s="98"/>
    </row>
    <row r="63" customFormat="false" ht="23.1" hidden="false" customHeight="false" outlineLevel="0" collapsed="false">
      <c r="A63" s="88" t="n">
        <f aca="false">+A62+1</f>
        <v>52</v>
      </c>
      <c r="B63" s="111"/>
      <c r="C63" s="90" t="n">
        <v>7</v>
      </c>
      <c r="D63" s="91" t="s">
        <v>136</v>
      </c>
      <c r="E63" s="91" t="s">
        <v>120</v>
      </c>
      <c r="F63" s="91" t="s">
        <v>50</v>
      </c>
      <c r="G63" s="92"/>
      <c r="H63" s="93"/>
      <c r="I63" s="93"/>
      <c r="J63" s="93"/>
      <c r="K63" s="93"/>
      <c r="L63" s="93"/>
      <c r="M63" s="94"/>
      <c r="N63" s="95" t="n">
        <v>0.25</v>
      </c>
      <c r="O63" s="95"/>
      <c r="P63" s="96"/>
      <c r="Q63" s="97"/>
      <c r="R63" s="98"/>
    </row>
    <row r="64" customFormat="false" ht="23.1" hidden="false" customHeight="false" outlineLevel="0" collapsed="false">
      <c r="A64" s="88" t="n">
        <f aca="false">+A63+1</f>
        <v>53</v>
      </c>
      <c r="B64" s="111"/>
      <c r="C64" s="90" t="n">
        <v>7</v>
      </c>
      <c r="D64" s="91" t="s">
        <v>136</v>
      </c>
      <c r="E64" s="91" t="s">
        <v>120</v>
      </c>
      <c r="F64" s="91" t="s">
        <v>50</v>
      </c>
      <c r="G64" s="93"/>
      <c r="H64" s="92"/>
      <c r="I64" s="93"/>
      <c r="J64" s="93"/>
      <c r="K64" s="93"/>
      <c r="L64" s="93"/>
      <c r="M64" s="94"/>
      <c r="N64" s="95" t="n">
        <v>0.5</v>
      </c>
      <c r="O64" s="95"/>
      <c r="P64" s="96"/>
      <c r="Q64" s="97"/>
      <c r="R64" s="98"/>
    </row>
    <row r="65" customFormat="false" ht="23.1" hidden="false" customHeight="false" outlineLevel="0" collapsed="false">
      <c r="A65" s="88" t="n">
        <f aca="false">+A64+1</f>
        <v>54</v>
      </c>
      <c r="B65" s="111"/>
      <c r="C65" s="90" t="n">
        <v>7</v>
      </c>
      <c r="D65" s="91" t="s">
        <v>136</v>
      </c>
      <c r="E65" s="91" t="s">
        <v>120</v>
      </c>
      <c r="F65" s="91" t="s">
        <v>50</v>
      </c>
      <c r="G65" s="93"/>
      <c r="H65" s="93"/>
      <c r="I65" s="92"/>
      <c r="J65" s="93"/>
      <c r="K65" s="93"/>
      <c r="L65" s="93"/>
      <c r="M65" s="94"/>
      <c r="N65" s="95" t="n">
        <v>0.75</v>
      </c>
      <c r="O65" s="95"/>
      <c r="P65" s="96"/>
      <c r="Q65" s="97"/>
      <c r="R65" s="98"/>
    </row>
    <row r="66" customFormat="false" ht="23.1" hidden="false" customHeight="false" outlineLevel="0" collapsed="false">
      <c r="A66" s="88" t="n">
        <f aca="false">+A65+1</f>
        <v>55</v>
      </c>
      <c r="B66" s="111"/>
      <c r="C66" s="121" t="n">
        <v>7</v>
      </c>
      <c r="D66" s="122" t="s">
        <v>136</v>
      </c>
      <c r="E66" s="122" t="s">
        <v>120</v>
      </c>
      <c r="F66" s="122" t="s">
        <v>50</v>
      </c>
      <c r="G66" s="123"/>
      <c r="H66" s="123"/>
      <c r="I66" s="123"/>
      <c r="J66" s="124"/>
      <c r="K66" s="123"/>
      <c r="L66" s="123"/>
      <c r="M66" s="125"/>
      <c r="N66" s="126" t="n">
        <v>1</v>
      </c>
      <c r="O66" s="126"/>
      <c r="P66" s="127"/>
      <c r="Q66" s="128"/>
      <c r="R66" s="129"/>
    </row>
    <row r="67" customFormat="false" ht="43.5" hidden="false" customHeight="true" outlineLevel="0" collapsed="false">
      <c r="A67" s="88" t="n">
        <f aca="false">+A66+1</f>
        <v>56</v>
      </c>
      <c r="B67" s="130" t="s">
        <v>137</v>
      </c>
      <c r="C67" s="131" t="s">
        <v>138</v>
      </c>
      <c r="D67" s="132" t="s">
        <v>139</v>
      </c>
      <c r="E67" s="132" t="s">
        <v>120</v>
      </c>
      <c r="F67" s="132" t="s">
        <v>50</v>
      </c>
      <c r="G67" s="92"/>
      <c r="H67" s="133"/>
      <c r="I67" s="133"/>
      <c r="J67" s="133"/>
      <c r="K67" s="133"/>
      <c r="L67" s="133"/>
      <c r="M67" s="134"/>
      <c r="N67" s="135" t="n">
        <v>0.5</v>
      </c>
      <c r="O67" s="135"/>
      <c r="P67" s="136"/>
      <c r="Q67" s="137"/>
      <c r="R67" s="138"/>
    </row>
    <row r="68" customFormat="false" ht="43.5" hidden="false" customHeight="true" outlineLevel="0" collapsed="false">
      <c r="A68" s="88" t="n">
        <f aca="false">+A67+1</f>
        <v>57</v>
      </c>
      <c r="B68" s="130"/>
      <c r="C68" s="99" t="s">
        <v>138</v>
      </c>
      <c r="D68" s="91" t="s">
        <v>139</v>
      </c>
      <c r="E68" s="91" t="s">
        <v>120</v>
      </c>
      <c r="F68" s="91" t="s">
        <v>50</v>
      </c>
      <c r="G68" s="93"/>
      <c r="H68" s="92"/>
      <c r="I68" s="93"/>
      <c r="J68" s="93"/>
      <c r="K68" s="93"/>
      <c r="L68" s="93"/>
      <c r="M68" s="94"/>
      <c r="N68" s="95" t="n">
        <v>1</v>
      </c>
      <c r="O68" s="95"/>
      <c r="P68" s="96"/>
      <c r="Q68" s="139"/>
      <c r="R68" s="98"/>
    </row>
    <row r="69" customFormat="false" ht="23.1" hidden="false" customHeight="false" outlineLevel="0" collapsed="false">
      <c r="A69" s="88" t="n">
        <f aca="false">+A68+1</f>
        <v>58</v>
      </c>
      <c r="B69" s="130"/>
      <c r="C69" s="99" t="s">
        <v>140</v>
      </c>
      <c r="D69" s="91" t="s">
        <v>141</v>
      </c>
      <c r="E69" s="91" t="s">
        <v>120</v>
      </c>
      <c r="F69" s="91" t="s">
        <v>50</v>
      </c>
      <c r="G69" s="92"/>
      <c r="H69" s="93"/>
      <c r="I69" s="93"/>
      <c r="J69" s="93"/>
      <c r="K69" s="93"/>
      <c r="L69" s="93"/>
      <c r="M69" s="94"/>
      <c r="N69" s="95" t="n">
        <v>0.5</v>
      </c>
      <c r="O69" s="95"/>
      <c r="P69" s="96"/>
      <c r="Q69" s="139"/>
      <c r="R69" s="98"/>
    </row>
    <row r="70" customFormat="false" ht="23.1" hidden="false" customHeight="false" outlineLevel="0" collapsed="false">
      <c r="A70" s="88" t="n">
        <f aca="false">+A69+1</f>
        <v>59</v>
      </c>
      <c r="B70" s="130"/>
      <c r="C70" s="99" t="s">
        <v>140</v>
      </c>
      <c r="D70" s="91" t="s">
        <v>141</v>
      </c>
      <c r="E70" s="91" t="s">
        <v>120</v>
      </c>
      <c r="F70" s="91" t="s">
        <v>50</v>
      </c>
      <c r="G70" s="93"/>
      <c r="H70" s="92"/>
      <c r="I70" s="93"/>
      <c r="J70" s="93"/>
      <c r="K70" s="93"/>
      <c r="L70" s="93"/>
      <c r="M70" s="94"/>
      <c r="N70" s="95" t="n">
        <v>1</v>
      </c>
      <c r="O70" s="95"/>
      <c r="P70" s="96"/>
      <c r="Q70" s="139"/>
      <c r="R70" s="98"/>
    </row>
    <row r="71" customFormat="false" ht="23.1" hidden="false" customHeight="false" outlineLevel="0" collapsed="false">
      <c r="A71" s="88" t="n">
        <f aca="false">+A70+1</f>
        <v>60</v>
      </c>
      <c r="B71" s="130"/>
      <c r="C71" s="99" t="s">
        <v>142</v>
      </c>
      <c r="D71" s="91" t="s">
        <v>143</v>
      </c>
      <c r="E71" s="91" t="s">
        <v>120</v>
      </c>
      <c r="F71" s="91" t="s">
        <v>50</v>
      </c>
      <c r="G71" s="92"/>
      <c r="H71" s="93"/>
      <c r="I71" s="93"/>
      <c r="J71" s="93"/>
      <c r="K71" s="93"/>
      <c r="L71" s="93"/>
      <c r="M71" s="94"/>
      <c r="N71" s="95" t="n">
        <v>0.9</v>
      </c>
      <c r="O71" s="95"/>
      <c r="P71" s="96"/>
      <c r="Q71" s="139"/>
      <c r="R71" s="98"/>
    </row>
    <row r="72" customFormat="false" ht="23.1" hidden="false" customHeight="false" outlineLevel="0" collapsed="false">
      <c r="A72" s="88" t="n">
        <f aca="false">+A71+1</f>
        <v>61</v>
      </c>
      <c r="B72" s="130"/>
      <c r="C72" s="99" t="s">
        <v>142</v>
      </c>
      <c r="D72" s="91" t="s">
        <v>143</v>
      </c>
      <c r="E72" s="91" t="s">
        <v>120</v>
      </c>
      <c r="F72" s="91" t="s">
        <v>50</v>
      </c>
      <c r="G72" s="93"/>
      <c r="H72" s="92"/>
      <c r="I72" s="93"/>
      <c r="J72" s="93"/>
      <c r="K72" s="93"/>
      <c r="L72" s="93"/>
      <c r="M72" s="94"/>
      <c r="N72" s="95" t="n">
        <v>1</v>
      </c>
      <c r="O72" s="95"/>
      <c r="P72" s="96"/>
      <c r="Q72" s="139"/>
      <c r="R72" s="98"/>
    </row>
    <row r="73" customFormat="false" ht="23.1" hidden="false" customHeight="true" outlineLevel="0" collapsed="false">
      <c r="A73" s="88" t="n">
        <f aca="false">+A72+1</f>
        <v>62</v>
      </c>
      <c r="B73" s="140" t="s">
        <v>144</v>
      </c>
      <c r="C73" s="141" t="n">
        <v>7</v>
      </c>
      <c r="D73" s="142" t="s">
        <v>145</v>
      </c>
      <c r="E73" s="142" t="s">
        <v>146</v>
      </c>
      <c r="F73" s="142" t="s">
        <v>50</v>
      </c>
      <c r="G73" s="92"/>
      <c r="H73" s="114"/>
      <c r="I73" s="114"/>
      <c r="J73" s="114"/>
      <c r="K73" s="114"/>
      <c r="L73" s="114"/>
      <c r="M73" s="116"/>
      <c r="N73" s="117" t="n">
        <v>1</v>
      </c>
      <c r="O73" s="117"/>
      <c r="P73" s="118"/>
      <c r="Q73" s="119"/>
      <c r="R73" s="120"/>
    </row>
    <row r="74" customFormat="false" ht="23.1" hidden="false" customHeight="false" outlineLevel="0" collapsed="false">
      <c r="A74" s="88" t="n">
        <f aca="false">+A73+1</f>
        <v>63</v>
      </c>
      <c r="B74" s="140"/>
      <c r="C74" s="99" t="n">
        <v>7</v>
      </c>
      <c r="D74" s="143" t="s">
        <v>147</v>
      </c>
      <c r="E74" s="143" t="s">
        <v>146</v>
      </c>
      <c r="F74" s="143" t="s">
        <v>50</v>
      </c>
      <c r="G74" s="93"/>
      <c r="H74" s="92"/>
      <c r="I74" s="93"/>
      <c r="J74" s="93"/>
      <c r="K74" s="93"/>
      <c r="L74" s="93"/>
      <c r="M74" s="94"/>
      <c r="N74" s="95" t="n">
        <v>0.5</v>
      </c>
      <c r="O74" s="95"/>
      <c r="P74" s="96"/>
      <c r="Q74" s="97"/>
      <c r="R74" s="98"/>
    </row>
    <row r="75" customFormat="false" ht="23.1" hidden="false" customHeight="false" outlineLevel="0" collapsed="false">
      <c r="A75" s="88" t="n">
        <f aca="false">+A74+1</f>
        <v>64</v>
      </c>
      <c r="B75" s="140"/>
      <c r="C75" s="99" t="n">
        <v>7</v>
      </c>
      <c r="D75" s="143" t="s">
        <v>147</v>
      </c>
      <c r="E75" s="143" t="s">
        <v>146</v>
      </c>
      <c r="F75" s="143" t="s">
        <v>50</v>
      </c>
      <c r="G75" s="93"/>
      <c r="H75" s="93"/>
      <c r="I75" s="92"/>
      <c r="J75" s="93"/>
      <c r="K75" s="93"/>
      <c r="L75" s="93"/>
      <c r="M75" s="94"/>
      <c r="N75" s="95" t="n">
        <v>1</v>
      </c>
      <c r="O75" s="95"/>
      <c r="P75" s="96"/>
      <c r="Q75" s="97"/>
      <c r="R75" s="98"/>
    </row>
    <row r="76" customFormat="false" ht="23.1" hidden="false" customHeight="false" outlineLevel="0" collapsed="false">
      <c r="A76" s="88" t="n">
        <f aca="false">+A75+1</f>
        <v>65</v>
      </c>
      <c r="B76" s="140"/>
      <c r="C76" s="99" t="n">
        <v>6</v>
      </c>
      <c r="D76" s="143" t="s">
        <v>148</v>
      </c>
      <c r="E76" s="143" t="s">
        <v>146</v>
      </c>
      <c r="F76" s="143" t="s">
        <v>50</v>
      </c>
      <c r="G76" s="93"/>
      <c r="H76" s="93"/>
      <c r="I76" s="93"/>
      <c r="J76" s="92"/>
      <c r="K76" s="93"/>
      <c r="L76" s="93"/>
      <c r="M76" s="94"/>
      <c r="N76" s="95" t="n">
        <v>1</v>
      </c>
      <c r="O76" s="95"/>
      <c r="P76" s="96"/>
      <c r="Q76" s="97"/>
      <c r="R76" s="98"/>
    </row>
    <row r="77" customFormat="false" ht="23.1" hidden="false" customHeight="false" outlineLevel="0" collapsed="false">
      <c r="A77" s="88" t="n">
        <f aca="false">+A76+1</f>
        <v>66</v>
      </c>
      <c r="B77" s="140"/>
      <c r="C77" s="99" t="n">
        <v>1</v>
      </c>
      <c r="D77" s="143" t="s">
        <v>149</v>
      </c>
      <c r="E77" s="143" t="s">
        <v>146</v>
      </c>
      <c r="F77" s="143" t="s">
        <v>50</v>
      </c>
      <c r="G77" s="92"/>
      <c r="H77" s="93"/>
      <c r="I77" s="93"/>
      <c r="J77" s="93"/>
      <c r="K77" s="93"/>
      <c r="L77" s="93"/>
      <c r="M77" s="94"/>
      <c r="N77" s="95" t="n">
        <v>1</v>
      </c>
      <c r="O77" s="95"/>
      <c r="P77" s="96"/>
      <c r="Q77" s="97"/>
      <c r="R77" s="98"/>
    </row>
    <row r="78" customFormat="false" ht="23.1" hidden="false" customHeight="false" outlineLevel="0" collapsed="false">
      <c r="A78" s="88" t="n">
        <f aca="false">+A77+1</f>
        <v>67</v>
      </c>
      <c r="B78" s="140"/>
      <c r="C78" s="99" t="n">
        <v>2</v>
      </c>
      <c r="D78" s="143" t="s">
        <v>149</v>
      </c>
      <c r="E78" s="143" t="s">
        <v>146</v>
      </c>
      <c r="F78" s="143" t="s">
        <v>50</v>
      </c>
      <c r="G78" s="93"/>
      <c r="H78" s="92"/>
      <c r="I78" s="93"/>
      <c r="J78" s="93"/>
      <c r="K78" s="93"/>
      <c r="L78" s="93"/>
      <c r="M78" s="94"/>
      <c r="N78" s="95" t="n">
        <v>1</v>
      </c>
      <c r="O78" s="95"/>
      <c r="P78" s="96"/>
      <c r="Q78" s="97"/>
      <c r="R78" s="98"/>
    </row>
    <row r="79" customFormat="false" ht="23.1" hidden="false" customHeight="false" outlineLevel="0" collapsed="false">
      <c r="A79" s="88" t="n">
        <f aca="false">+A78+1</f>
        <v>68</v>
      </c>
      <c r="B79" s="140"/>
      <c r="C79" s="99" t="n">
        <v>3</v>
      </c>
      <c r="D79" s="143" t="s">
        <v>149</v>
      </c>
      <c r="E79" s="143" t="s">
        <v>146</v>
      </c>
      <c r="F79" s="143" t="s">
        <v>50</v>
      </c>
      <c r="G79" s="93"/>
      <c r="H79" s="93"/>
      <c r="I79" s="92"/>
      <c r="J79" s="93"/>
      <c r="K79" s="93"/>
      <c r="L79" s="93"/>
      <c r="M79" s="94"/>
      <c r="N79" s="95" t="n">
        <v>1</v>
      </c>
      <c r="O79" s="95"/>
      <c r="P79" s="96"/>
      <c r="Q79" s="97"/>
      <c r="R79" s="98"/>
    </row>
    <row r="80" customFormat="false" ht="23.1" hidden="false" customHeight="false" outlineLevel="0" collapsed="false">
      <c r="A80" s="88" t="n">
        <f aca="false">+A79+1</f>
        <v>69</v>
      </c>
      <c r="B80" s="140"/>
      <c r="C80" s="99" t="n">
        <v>4</v>
      </c>
      <c r="D80" s="143" t="s">
        <v>149</v>
      </c>
      <c r="E80" s="143" t="s">
        <v>146</v>
      </c>
      <c r="F80" s="143" t="s">
        <v>50</v>
      </c>
      <c r="G80" s="93"/>
      <c r="H80" s="93"/>
      <c r="I80" s="93"/>
      <c r="J80" s="92"/>
      <c r="K80" s="93"/>
      <c r="L80" s="93"/>
      <c r="M80" s="94"/>
      <c r="N80" s="95" t="n">
        <v>1</v>
      </c>
      <c r="O80" s="95"/>
      <c r="P80" s="96"/>
      <c r="Q80" s="97"/>
      <c r="R80" s="98"/>
    </row>
    <row r="81" customFormat="false" ht="23.1" hidden="false" customHeight="false" outlineLevel="0" collapsed="false">
      <c r="A81" s="88" t="n">
        <f aca="false">+A80+1</f>
        <v>70</v>
      </c>
      <c r="B81" s="140"/>
      <c r="C81" s="99" t="n">
        <v>5</v>
      </c>
      <c r="D81" s="143" t="s">
        <v>149</v>
      </c>
      <c r="E81" s="143" t="s">
        <v>146</v>
      </c>
      <c r="F81" s="143" t="s">
        <v>50</v>
      </c>
      <c r="G81" s="93"/>
      <c r="H81" s="93"/>
      <c r="I81" s="93"/>
      <c r="J81" s="93"/>
      <c r="K81" s="92"/>
      <c r="L81" s="93"/>
      <c r="M81" s="94"/>
      <c r="N81" s="95" t="n">
        <v>1</v>
      </c>
      <c r="O81" s="95"/>
      <c r="P81" s="96"/>
      <c r="Q81" s="97"/>
      <c r="R81" s="98"/>
    </row>
    <row r="82" customFormat="false" ht="23.1" hidden="false" customHeight="false" outlineLevel="0" collapsed="false">
      <c r="A82" s="88" t="n">
        <f aca="false">+A81+1</f>
        <v>71</v>
      </c>
      <c r="B82" s="140"/>
      <c r="C82" s="90" t="n">
        <v>7</v>
      </c>
      <c r="D82" s="144" t="s">
        <v>150</v>
      </c>
      <c r="E82" s="144" t="s">
        <v>151</v>
      </c>
      <c r="F82" s="144" t="s">
        <v>50</v>
      </c>
      <c r="G82" s="93"/>
      <c r="H82" s="93"/>
      <c r="I82" s="93"/>
      <c r="J82" s="92"/>
      <c r="K82" s="93"/>
      <c r="L82" s="93"/>
      <c r="M82" s="94"/>
      <c r="N82" s="95" t="n">
        <v>1</v>
      </c>
      <c r="O82" s="95"/>
      <c r="P82" s="96"/>
      <c r="Q82" s="97"/>
      <c r="R82" s="98"/>
    </row>
    <row r="83" customFormat="false" ht="23.1" hidden="false" customHeight="false" outlineLevel="0" collapsed="false">
      <c r="A83" s="88" t="n">
        <f aca="false">+A82+1</f>
        <v>72</v>
      </c>
      <c r="B83" s="140"/>
      <c r="C83" s="90" t="n">
        <v>3</v>
      </c>
      <c r="D83" s="144" t="s">
        <v>152</v>
      </c>
      <c r="E83" s="144" t="s">
        <v>151</v>
      </c>
      <c r="F83" s="144" t="s">
        <v>50</v>
      </c>
      <c r="G83" s="93"/>
      <c r="H83" s="92"/>
      <c r="I83" s="93"/>
      <c r="J83" s="93"/>
      <c r="K83" s="93"/>
      <c r="L83" s="93"/>
      <c r="M83" s="94"/>
      <c r="N83" s="95" t="n">
        <v>1</v>
      </c>
      <c r="O83" s="95"/>
      <c r="P83" s="96"/>
      <c r="Q83" s="97"/>
      <c r="R83" s="98"/>
    </row>
    <row r="84" customFormat="false" ht="23.1" hidden="false" customHeight="false" outlineLevel="0" collapsed="false">
      <c r="A84" s="88" t="n">
        <f aca="false">+A83+1</f>
        <v>73</v>
      </c>
      <c r="B84" s="140"/>
      <c r="C84" s="90" t="n">
        <v>4</v>
      </c>
      <c r="D84" s="144" t="s">
        <v>152</v>
      </c>
      <c r="E84" s="144" t="s">
        <v>151</v>
      </c>
      <c r="F84" s="144" t="s">
        <v>50</v>
      </c>
      <c r="G84" s="93"/>
      <c r="H84" s="92"/>
      <c r="I84" s="93"/>
      <c r="J84" s="93"/>
      <c r="K84" s="93"/>
      <c r="L84" s="93"/>
      <c r="M84" s="94"/>
      <c r="N84" s="95" t="n">
        <v>0.5</v>
      </c>
      <c r="O84" s="95"/>
      <c r="P84" s="96"/>
      <c r="Q84" s="97"/>
      <c r="R84" s="98"/>
    </row>
    <row r="85" customFormat="false" ht="23.1" hidden="false" customHeight="false" outlineLevel="0" collapsed="false">
      <c r="A85" s="88" t="n">
        <f aca="false">+A84+1</f>
        <v>74</v>
      </c>
      <c r="B85" s="140"/>
      <c r="C85" s="90" t="n">
        <v>4</v>
      </c>
      <c r="D85" s="144" t="s">
        <v>152</v>
      </c>
      <c r="E85" s="144" t="s">
        <v>151</v>
      </c>
      <c r="F85" s="144" t="s">
        <v>50</v>
      </c>
      <c r="G85" s="93"/>
      <c r="H85" s="93"/>
      <c r="I85" s="92"/>
      <c r="J85" s="93"/>
      <c r="K85" s="93"/>
      <c r="L85" s="93"/>
      <c r="M85" s="94"/>
      <c r="N85" s="95" t="n">
        <v>1</v>
      </c>
      <c r="O85" s="95"/>
      <c r="P85" s="96"/>
      <c r="Q85" s="97"/>
      <c r="R85" s="98"/>
    </row>
    <row r="86" customFormat="false" ht="23.1" hidden="false" customHeight="false" outlineLevel="0" collapsed="false">
      <c r="A86" s="88" t="n">
        <f aca="false">+A85+1</f>
        <v>75</v>
      </c>
      <c r="B86" s="140"/>
      <c r="C86" s="90" t="n">
        <v>5</v>
      </c>
      <c r="D86" s="144" t="s">
        <v>152</v>
      </c>
      <c r="E86" s="144" t="s">
        <v>151</v>
      </c>
      <c r="F86" s="144" t="s">
        <v>50</v>
      </c>
      <c r="G86" s="93"/>
      <c r="H86" s="93"/>
      <c r="I86" s="93"/>
      <c r="J86" s="92"/>
      <c r="K86" s="93"/>
      <c r="L86" s="93"/>
      <c r="M86" s="94"/>
      <c r="N86" s="95" t="n">
        <v>1</v>
      </c>
      <c r="O86" s="95"/>
      <c r="P86" s="96"/>
      <c r="Q86" s="97"/>
      <c r="R86" s="98"/>
    </row>
    <row r="87" customFormat="false" ht="23.1" hidden="false" customHeight="false" outlineLevel="0" collapsed="false">
      <c r="A87" s="88" t="n">
        <f aca="false">+A86+1</f>
        <v>76</v>
      </c>
      <c r="B87" s="140"/>
      <c r="C87" s="90" t="n">
        <v>6</v>
      </c>
      <c r="D87" s="144" t="s">
        <v>152</v>
      </c>
      <c r="E87" s="144" t="s">
        <v>151</v>
      </c>
      <c r="F87" s="144" t="s">
        <v>50</v>
      </c>
      <c r="G87" s="93"/>
      <c r="H87" s="93"/>
      <c r="I87" s="93"/>
      <c r="J87" s="92"/>
      <c r="K87" s="93"/>
      <c r="L87" s="93"/>
      <c r="M87" s="94"/>
      <c r="N87" s="95" t="n">
        <v>0.5</v>
      </c>
      <c r="O87" s="95"/>
      <c r="P87" s="96"/>
      <c r="Q87" s="97"/>
      <c r="R87" s="98"/>
    </row>
    <row r="88" customFormat="false" ht="23.1" hidden="false" customHeight="false" outlineLevel="0" collapsed="false">
      <c r="A88" s="88" t="n">
        <f aca="false">+A87+1</f>
        <v>77</v>
      </c>
      <c r="B88" s="140"/>
      <c r="C88" s="90" t="n">
        <v>6</v>
      </c>
      <c r="D88" s="144" t="s">
        <v>152</v>
      </c>
      <c r="E88" s="144" t="s">
        <v>151</v>
      </c>
      <c r="F88" s="144" t="s">
        <v>50</v>
      </c>
      <c r="G88" s="93"/>
      <c r="H88" s="93"/>
      <c r="I88" s="93"/>
      <c r="J88" s="93"/>
      <c r="K88" s="92"/>
      <c r="L88" s="93"/>
      <c r="M88" s="94"/>
      <c r="N88" s="95" t="n">
        <v>1</v>
      </c>
      <c r="O88" s="95"/>
      <c r="P88" s="96"/>
      <c r="Q88" s="97"/>
      <c r="R88" s="98"/>
    </row>
    <row r="89" customFormat="false" ht="23.1" hidden="false" customHeight="false" outlineLevel="0" collapsed="false">
      <c r="A89" s="88" t="n">
        <f aca="false">+A88+1</f>
        <v>78</v>
      </c>
      <c r="B89" s="140"/>
      <c r="C89" s="90" t="n">
        <v>7</v>
      </c>
      <c r="D89" s="144" t="s">
        <v>153</v>
      </c>
      <c r="E89" s="144" t="s">
        <v>151</v>
      </c>
      <c r="F89" s="144" t="s">
        <v>50</v>
      </c>
      <c r="G89" s="93"/>
      <c r="H89" s="92"/>
      <c r="I89" s="93"/>
      <c r="J89" s="93"/>
      <c r="K89" s="93"/>
      <c r="L89" s="93"/>
      <c r="M89" s="94"/>
      <c r="N89" s="95" t="n">
        <v>0.5</v>
      </c>
      <c r="O89" s="95"/>
      <c r="P89" s="96"/>
      <c r="Q89" s="97"/>
      <c r="R89" s="98"/>
    </row>
    <row r="90" customFormat="false" ht="23.1" hidden="false" customHeight="false" outlineLevel="0" collapsed="false">
      <c r="A90" s="88" t="n">
        <f aca="false">+A89+1</f>
        <v>79</v>
      </c>
      <c r="B90" s="140"/>
      <c r="C90" s="90" t="n">
        <v>7</v>
      </c>
      <c r="D90" s="144" t="s">
        <v>153</v>
      </c>
      <c r="E90" s="144" t="s">
        <v>151</v>
      </c>
      <c r="F90" s="144" t="s">
        <v>50</v>
      </c>
      <c r="G90" s="93"/>
      <c r="H90" s="93"/>
      <c r="I90" s="92"/>
      <c r="J90" s="93"/>
      <c r="K90" s="93"/>
      <c r="L90" s="93"/>
      <c r="M90" s="94"/>
      <c r="N90" s="95" t="n">
        <v>1</v>
      </c>
      <c r="O90" s="95"/>
      <c r="P90" s="96"/>
      <c r="Q90" s="97"/>
      <c r="R90" s="98"/>
    </row>
    <row r="91" customFormat="false" ht="23.1" hidden="false" customHeight="false" outlineLevel="0" collapsed="false">
      <c r="A91" s="88" t="n">
        <f aca="false">+A90+1</f>
        <v>80</v>
      </c>
      <c r="B91" s="140"/>
      <c r="C91" s="90" t="n">
        <v>7</v>
      </c>
      <c r="D91" s="144" t="s">
        <v>154</v>
      </c>
      <c r="E91" s="144" t="s">
        <v>151</v>
      </c>
      <c r="F91" s="144" t="s">
        <v>50</v>
      </c>
      <c r="G91" s="92"/>
      <c r="H91" s="93"/>
      <c r="I91" s="93"/>
      <c r="J91" s="93"/>
      <c r="K91" s="93"/>
      <c r="L91" s="93"/>
      <c r="M91" s="94"/>
      <c r="N91" s="95" t="n">
        <v>0.33</v>
      </c>
      <c r="O91" s="95"/>
      <c r="P91" s="96"/>
      <c r="Q91" s="97"/>
      <c r="R91" s="98"/>
    </row>
    <row r="92" customFormat="false" ht="23.1" hidden="false" customHeight="false" outlineLevel="0" collapsed="false">
      <c r="A92" s="88" t="n">
        <f aca="false">+A91+1</f>
        <v>81</v>
      </c>
      <c r="B92" s="140"/>
      <c r="C92" s="90" t="n">
        <v>7</v>
      </c>
      <c r="D92" s="144" t="s">
        <v>154</v>
      </c>
      <c r="E92" s="144" t="s">
        <v>151</v>
      </c>
      <c r="F92" s="144" t="s">
        <v>50</v>
      </c>
      <c r="G92" s="93"/>
      <c r="H92" s="92"/>
      <c r="I92" s="93"/>
      <c r="J92" s="93"/>
      <c r="K92" s="93"/>
      <c r="L92" s="93"/>
      <c r="M92" s="94"/>
      <c r="N92" s="95" t="n">
        <v>0.66</v>
      </c>
      <c r="O92" s="95"/>
      <c r="P92" s="96"/>
      <c r="Q92" s="97"/>
      <c r="R92" s="98"/>
    </row>
    <row r="93" customFormat="false" ht="23.1" hidden="false" customHeight="false" outlineLevel="0" collapsed="false">
      <c r="A93" s="88" t="n">
        <f aca="false">+A92+1</f>
        <v>82</v>
      </c>
      <c r="B93" s="140"/>
      <c r="C93" s="90" t="n">
        <v>7</v>
      </c>
      <c r="D93" s="144" t="s">
        <v>154</v>
      </c>
      <c r="E93" s="144" t="s">
        <v>151</v>
      </c>
      <c r="F93" s="144" t="s">
        <v>50</v>
      </c>
      <c r="G93" s="93"/>
      <c r="H93" s="93"/>
      <c r="I93" s="92"/>
      <c r="J93" s="93"/>
      <c r="K93" s="93"/>
      <c r="L93" s="93"/>
      <c r="M93" s="94"/>
      <c r="N93" s="95" t="n">
        <v>1</v>
      </c>
      <c r="O93" s="95"/>
      <c r="P93" s="96"/>
      <c r="Q93" s="97"/>
      <c r="R93" s="98"/>
    </row>
    <row r="94" customFormat="false" ht="23.1" hidden="false" customHeight="false" outlineLevel="0" collapsed="false">
      <c r="A94" s="88" t="n">
        <f aca="false">+A93+1</f>
        <v>83</v>
      </c>
      <c r="B94" s="140"/>
      <c r="C94" s="90" t="n">
        <v>7</v>
      </c>
      <c r="D94" s="144" t="s">
        <v>155</v>
      </c>
      <c r="E94" s="144" t="s">
        <v>151</v>
      </c>
      <c r="F94" s="144" t="s">
        <v>50</v>
      </c>
      <c r="G94" s="92"/>
      <c r="H94" s="93"/>
      <c r="I94" s="93"/>
      <c r="J94" s="93"/>
      <c r="K94" s="93"/>
      <c r="L94" s="93"/>
      <c r="M94" s="94"/>
      <c r="N94" s="95" t="n">
        <v>0.33</v>
      </c>
      <c r="O94" s="95"/>
      <c r="P94" s="96"/>
      <c r="Q94" s="97"/>
      <c r="R94" s="98"/>
    </row>
    <row r="95" customFormat="false" ht="23.1" hidden="false" customHeight="false" outlineLevel="0" collapsed="false">
      <c r="A95" s="88" t="n">
        <f aca="false">+A94+1</f>
        <v>84</v>
      </c>
      <c r="B95" s="140"/>
      <c r="C95" s="90" t="n">
        <v>7</v>
      </c>
      <c r="D95" s="144" t="s">
        <v>155</v>
      </c>
      <c r="E95" s="144" t="s">
        <v>151</v>
      </c>
      <c r="F95" s="144" t="s">
        <v>50</v>
      </c>
      <c r="G95" s="93"/>
      <c r="H95" s="92"/>
      <c r="I95" s="93"/>
      <c r="J95" s="93"/>
      <c r="K95" s="93"/>
      <c r="L95" s="93"/>
      <c r="M95" s="94"/>
      <c r="N95" s="95" t="n">
        <v>0.66</v>
      </c>
      <c r="O95" s="95"/>
      <c r="P95" s="96"/>
      <c r="Q95" s="97"/>
      <c r="R95" s="98"/>
    </row>
    <row r="96" customFormat="false" ht="23.1" hidden="false" customHeight="false" outlineLevel="0" collapsed="false">
      <c r="A96" s="88" t="n">
        <f aca="false">+A95+1</f>
        <v>85</v>
      </c>
      <c r="B96" s="140"/>
      <c r="C96" s="90" t="n">
        <v>7</v>
      </c>
      <c r="D96" s="144" t="s">
        <v>155</v>
      </c>
      <c r="E96" s="144" t="s">
        <v>151</v>
      </c>
      <c r="F96" s="144" t="s">
        <v>50</v>
      </c>
      <c r="G96" s="93"/>
      <c r="H96" s="93"/>
      <c r="I96" s="92"/>
      <c r="J96" s="93"/>
      <c r="K96" s="93"/>
      <c r="L96" s="93"/>
      <c r="M96" s="94"/>
      <c r="N96" s="95" t="n">
        <v>1</v>
      </c>
      <c r="O96" s="95"/>
      <c r="P96" s="96"/>
      <c r="Q96" s="97"/>
      <c r="R96" s="98"/>
    </row>
    <row r="97" customFormat="false" ht="23.1" hidden="false" customHeight="false" outlineLevel="0" collapsed="false">
      <c r="A97" s="88" t="n">
        <f aca="false">+A96+1</f>
        <v>86</v>
      </c>
      <c r="B97" s="140"/>
      <c r="C97" s="90" t="n">
        <v>3</v>
      </c>
      <c r="D97" s="144" t="s">
        <v>156</v>
      </c>
      <c r="E97" s="144" t="s">
        <v>151</v>
      </c>
      <c r="F97" s="144" t="s">
        <v>50</v>
      </c>
      <c r="G97" s="92"/>
      <c r="H97" s="93"/>
      <c r="I97" s="93"/>
      <c r="J97" s="93"/>
      <c r="K97" s="93"/>
      <c r="L97" s="93"/>
      <c r="M97" s="94"/>
      <c r="N97" s="95" t="n">
        <v>1</v>
      </c>
      <c r="O97" s="95"/>
      <c r="P97" s="96"/>
      <c r="Q97" s="97"/>
      <c r="R97" s="98"/>
    </row>
    <row r="98" customFormat="false" ht="23.1" hidden="false" customHeight="false" outlineLevel="0" collapsed="false">
      <c r="A98" s="88" t="n">
        <f aca="false">+A97+1</f>
        <v>87</v>
      </c>
      <c r="B98" s="140"/>
      <c r="C98" s="90" t="n">
        <v>4</v>
      </c>
      <c r="D98" s="144" t="s">
        <v>156</v>
      </c>
      <c r="E98" s="144" t="s">
        <v>151</v>
      </c>
      <c r="F98" s="144" t="s">
        <v>50</v>
      </c>
      <c r="G98" s="93"/>
      <c r="H98" s="92"/>
      <c r="I98" s="93"/>
      <c r="J98" s="93"/>
      <c r="K98" s="93"/>
      <c r="L98" s="93"/>
      <c r="M98" s="94"/>
      <c r="N98" s="95" t="n">
        <v>1</v>
      </c>
      <c r="O98" s="95"/>
      <c r="P98" s="96"/>
      <c r="Q98" s="97"/>
      <c r="R98" s="98"/>
    </row>
    <row r="99" customFormat="false" ht="23.1" hidden="false" customHeight="false" outlineLevel="0" collapsed="false">
      <c r="A99" s="88" t="n">
        <f aca="false">+A98+1</f>
        <v>88</v>
      </c>
      <c r="B99" s="140"/>
      <c r="C99" s="90" t="n">
        <v>5</v>
      </c>
      <c r="D99" s="144" t="s">
        <v>156</v>
      </c>
      <c r="E99" s="144" t="s">
        <v>151</v>
      </c>
      <c r="F99" s="144" t="s">
        <v>50</v>
      </c>
      <c r="G99" s="93"/>
      <c r="H99" s="93"/>
      <c r="I99" s="92"/>
      <c r="J99" s="93"/>
      <c r="K99" s="93"/>
      <c r="L99" s="93"/>
      <c r="M99" s="94"/>
      <c r="N99" s="95" t="n">
        <v>1</v>
      </c>
      <c r="O99" s="95"/>
      <c r="P99" s="96"/>
      <c r="Q99" s="97"/>
      <c r="R99" s="98"/>
    </row>
    <row r="100" customFormat="false" ht="23.1" hidden="false" customHeight="false" outlineLevel="0" collapsed="false">
      <c r="A100" s="88" t="n">
        <f aca="false">+A99+1</f>
        <v>89</v>
      </c>
      <c r="B100" s="140"/>
      <c r="C100" s="90" t="s">
        <v>124</v>
      </c>
      <c r="D100" s="144" t="s">
        <v>156</v>
      </c>
      <c r="E100" s="144" t="s">
        <v>151</v>
      </c>
      <c r="F100" s="144" t="s">
        <v>50</v>
      </c>
      <c r="G100" s="93"/>
      <c r="H100" s="93"/>
      <c r="I100" s="93"/>
      <c r="J100" s="92"/>
      <c r="K100" s="93"/>
      <c r="L100" s="93"/>
      <c r="M100" s="94"/>
      <c r="N100" s="95" t="n">
        <v>0.5</v>
      </c>
      <c r="O100" s="95"/>
      <c r="P100" s="96"/>
      <c r="Q100" s="97"/>
      <c r="R100" s="98"/>
    </row>
    <row r="101" customFormat="false" ht="23.1" hidden="false" customHeight="false" outlineLevel="0" collapsed="false">
      <c r="A101" s="88" t="n">
        <f aca="false">+A100+1</f>
        <v>90</v>
      </c>
      <c r="B101" s="140"/>
      <c r="C101" s="90" t="s">
        <v>124</v>
      </c>
      <c r="D101" s="144" t="s">
        <v>156</v>
      </c>
      <c r="E101" s="144" t="s">
        <v>151</v>
      </c>
      <c r="F101" s="144" t="s">
        <v>50</v>
      </c>
      <c r="G101" s="93"/>
      <c r="H101" s="93"/>
      <c r="I101" s="93"/>
      <c r="J101" s="93"/>
      <c r="K101" s="92"/>
      <c r="L101" s="93"/>
      <c r="M101" s="94"/>
      <c r="N101" s="95" t="n">
        <v>1</v>
      </c>
      <c r="O101" s="95"/>
      <c r="P101" s="96"/>
      <c r="Q101" s="97"/>
      <c r="R101" s="98"/>
    </row>
    <row r="102" customFormat="false" ht="23.1" hidden="false" customHeight="false" outlineLevel="0" collapsed="false">
      <c r="A102" s="88" t="n">
        <f aca="false">+A101+1</f>
        <v>91</v>
      </c>
      <c r="B102" s="140"/>
      <c r="C102" s="90" t="n">
        <v>3</v>
      </c>
      <c r="D102" s="144" t="s">
        <v>157</v>
      </c>
      <c r="E102" s="144" t="s">
        <v>151</v>
      </c>
      <c r="F102" s="144" t="s">
        <v>50</v>
      </c>
      <c r="G102" s="92"/>
      <c r="H102" s="93"/>
      <c r="I102" s="93"/>
      <c r="J102" s="93"/>
      <c r="K102" s="93"/>
      <c r="L102" s="93"/>
      <c r="M102" s="94"/>
      <c r="N102" s="95" t="n">
        <v>1</v>
      </c>
      <c r="O102" s="95"/>
      <c r="P102" s="96"/>
      <c r="Q102" s="97"/>
      <c r="R102" s="98"/>
    </row>
    <row r="103" customFormat="false" ht="23.1" hidden="false" customHeight="false" outlineLevel="0" collapsed="false">
      <c r="A103" s="88" t="n">
        <f aca="false">+A102+1</f>
        <v>92</v>
      </c>
      <c r="B103" s="140"/>
      <c r="C103" s="90" t="n">
        <v>4</v>
      </c>
      <c r="D103" s="144" t="s">
        <v>157</v>
      </c>
      <c r="E103" s="144" t="s">
        <v>151</v>
      </c>
      <c r="F103" s="144" t="s">
        <v>50</v>
      </c>
      <c r="G103" s="93"/>
      <c r="H103" s="92"/>
      <c r="I103" s="93"/>
      <c r="J103" s="93"/>
      <c r="K103" s="93"/>
      <c r="L103" s="93"/>
      <c r="M103" s="94"/>
      <c r="N103" s="95" t="n">
        <v>1</v>
      </c>
      <c r="O103" s="95"/>
      <c r="P103" s="96"/>
      <c r="Q103" s="97"/>
      <c r="R103" s="98"/>
    </row>
    <row r="104" customFormat="false" ht="23.1" hidden="false" customHeight="false" outlineLevel="0" collapsed="false">
      <c r="A104" s="88" t="n">
        <f aca="false">+A103+1</f>
        <v>93</v>
      </c>
      <c r="B104" s="140"/>
      <c r="C104" s="90" t="n">
        <v>5</v>
      </c>
      <c r="D104" s="144" t="s">
        <v>157</v>
      </c>
      <c r="E104" s="144" t="s">
        <v>151</v>
      </c>
      <c r="F104" s="144" t="s">
        <v>50</v>
      </c>
      <c r="G104" s="93"/>
      <c r="H104" s="93"/>
      <c r="I104" s="92"/>
      <c r="J104" s="93"/>
      <c r="K104" s="93"/>
      <c r="L104" s="93"/>
      <c r="M104" s="94"/>
      <c r="N104" s="95" t="n">
        <v>1</v>
      </c>
      <c r="O104" s="95"/>
      <c r="P104" s="96"/>
      <c r="Q104" s="97"/>
      <c r="R104" s="98"/>
    </row>
    <row r="105" customFormat="false" ht="23.1" hidden="false" customHeight="false" outlineLevel="0" collapsed="false">
      <c r="A105" s="88" t="n">
        <f aca="false">+A104+1</f>
        <v>94</v>
      </c>
      <c r="B105" s="140"/>
      <c r="C105" s="99" t="n">
        <v>7</v>
      </c>
      <c r="D105" s="145" t="s">
        <v>158</v>
      </c>
      <c r="E105" s="145" t="s">
        <v>159</v>
      </c>
      <c r="F105" s="145" t="s">
        <v>50</v>
      </c>
      <c r="G105" s="93"/>
      <c r="H105" s="93"/>
      <c r="I105" s="93"/>
      <c r="J105" s="92"/>
      <c r="K105" s="93"/>
      <c r="L105" s="93"/>
      <c r="M105" s="94"/>
      <c r="N105" s="95" t="n">
        <v>0.9</v>
      </c>
      <c r="O105" s="95"/>
      <c r="P105" s="96"/>
      <c r="Q105" s="97"/>
      <c r="R105" s="98"/>
    </row>
    <row r="106" customFormat="false" ht="23.1" hidden="false" customHeight="false" outlineLevel="0" collapsed="false">
      <c r="A106" s="88" t="n">
        <f aca="false">+A105+1</f>
        <v>95</v>
      </c>
      <c r="B106" s="140"/>
      <c r="C106" s="99" t="n">
        <v>7</v>
      </c>
      <c r="D106" s="145" t="s">
        <v>158</v>
      </c>
      <c r="E106" s="145" t="s">
        <v>159</v>
      </c>
      <c r="F106" s="145" t="s">
        <v>50</v>
      </c>
      <c r="G106" s="93"/>
      <c r="H106" s="93"/>
      <c r="I106" s="93"/>
      <c r="J106" s="93"/>
      <c r="K106" s="92"/>
      <c r="L106" s="93"/>
      <c r="M106" s="94"/>
      <c r="N106" s="95" t="n">
        <v>1</v>
      </c>
      <c r="O106" s="95"/>
      <c r="P106" s="96"/>
      <c r="Q106" s="97"/>
      <c r="R106" s="98"/>
    </row>
    <row r="107" customFormat="false" ht="23.1" hidden="false" customHeight="false" outlineLevel="0" collapsed="false">
      <c r="A107" s="88" t="n">
        <f aca="false">+A106+1</f>
        <v>96</v>
      </c>
      <c r="B107" s="140"/>
      <c r="C107" s="99" t="n">
        <v>7</v>
      </c>
      <c r="D107" s="145" t="s">
        <v>160</v>
      </c>
      <c r="E107" s="145" t="s">
        <v>159</v>
      </c>
      <c r="F107" s="145" t="s">
        <v>50</v>
      </c>
      <c r="G107" s="92"/>
      <c r="H107" s="93"/>
      <c r="I107" s="93"/>
      <c r="J107" s="93"/>
      <c r="K107" s="93"/>
      <c r="L107" s="93"/>
      <c r="M107" s="94"/>
      <c r="N107" s="95" t="n">
        <v>1</v>
      </c>
      <c r="O107" s="95"/>
      <c r="P107" s="96"/>
      <c r="Q107" s="97"/>
      <c r="R107" s="98"/>
    </row>
    <row r="108" customFormat="false" ht="23.1" hidden="false" customHeight="false" outlineLevel="0" collapsed="false">
      <c r="A108" s="88" t="n">
        <f aca="false">+A107+1</f>
        <v>97</v>
      </c>
      <c r="B108" s="140"/>
      <c r="C108" s="99" t="n">
        <v>6</v>
      </c>
      <c r="D108" s="145" t="s">
        <v>161</v>
      </c>
      <c r="E108" s="145" t="s">
        <v>159</v>
      </c>
      <c r="F108" s="145" t="s">
        <v>50</v>
      </c>
      <c r="G108" s="92"/>
      <c r="H108" s="93"/>
      <c r="I108" s="93"/>
      <c r="J108" s="93"/>
      <c r="K108" s="93"/>
      <c r="L108" s="93"/>
      <c r="M108" s="94"/>
      <c r="N108" s="95" t="n">
        <v>1</v>
      </c>
      <c r="O108" s="95"/>
      <c r="P108" s="96"/>
      <c r="Q108" s="97"/>
      <c r="R108" s="98"/>
    </row>
    <row r="109" customFormat="false" ht="23.1" hidden="false" customHeight="false" outlineLevel="0" collapsed="false">
      <c r="A109" s="88" t="n">
        <f aca="false">+A108+1</f>
        <v>98</v>
      </c>
      <c r="B109" s="140"/>
      <c r="C109" s="99" t="n">
        <v>3</v>
      </c>
      <c r="D109" s="145" t="s">
        <v>161</v>
      </c>
      <c r="E109" s="145" t="s">
        <v>159</v>
      </c>
      <c r="F109" s="145" t="s">
        <v>50</v>
      </c>
      <c r="G109" s="92"/>
      <c r="H109" s="93"/>
      <c r="I109" s="93"/>
      <c r="J109" s="93"/>
      <c r="K109" s="93"/>
      <c r="L109" s="93"/>
      <c r="M109" s="94"/>
      <c r="N109" s="95" t="n">
        <v>1</v>
      </c>
      <c r="O109" s="95"/>
      <c r="P109" s="96"/>
      <c r="Q109" s="97"/>
      <c r="R109" s="98"/>
    </row>
    <row r="110" customFormat="false" ht="23.1" hidden="false" customHeight="false" outlineLevel="0" collapsed="false">
      <c r="A110" s="88" t="n">
        <f aca="false">+A109+1</f>
        <v>99</v>
      </c>
      <c r="B110" s="140"/>
      <c r="C110" s="99" t="n">
        <v>4</v>
      </c>
      <c r="D110" s="145" t="s">
        <v>161</v>
      </c>
      <c r="E110" s="145" t="s">
        <v>159</v>
      </c>
      <c r="F110" s="145" t="s">
        <v>50</v>
      </c>
      <c r="G110" s="93"/>
      <c r="H110" s="92"/>
      <c r="I110" s="93"/>
      <c r="J110" s="93"/>
      <c r="K110" s="93"/>
      <c r="L110" s="93"/>
      <c r="M110" s="94"/>
      <c r="N110" s="95" t="n">
        <v>0.33</v>
      </c>
      <c r="O110" s="95"/>
      <c r="P110" s="96"/>
      <c r="Q110" s="97"/>
      <c r="R110" s="98"/>
    </row>
    <row r="111" customFormat="false" ht="23.1" hidden="false" customHeight="false" outlineLevel="0" collapsed="false">
      <c r="A111" s="88" t="n">
        <f aca="false">+A110+1</f>
        <v>100</v>
      </c>
      <c r="B111" s="140"/>
      <c r="C111" s="99" t="n">
        <v>4</v>
      </c>
      <c r="D111" s="145" t="s">
        <v>161</v>
      </c>
      <c r="E111" s="145" t="s">
        <v>159</v>
      </c>
      <c r="F111" s="145" t="s">
        <v>50</v>
      </c>
      <c r="G111" s="93"/>
      <c r="H111" s="93"/>
      <c r="I111" s="93"/>
      <c r="J111" s="92"/>
      <c r="K111" s="93"/>
      <c r="L111" s="93"/>
      <c r="M111" s="94"/>
      <c r="N111" s="95" t="n">
        <v>0.66</v>
      </c>
      <c r="O111" s="95"/>
      <c r="P111" s="96"/>
      <c r="Q111" s="97"/>
      <c r="R111" s="98"/>
    </row>
    <row r="112" customFormat="false" ht="23.1" hidden="false" customHeight="false" outlineLevel="0" collapsed="false">
      <c r="A112" s="88" t="n">
        <f aca="false">+A111+1</f>
        <v>101</v>
      </c>
      <c r="B112" s="140"/>
      <c r="C112" s="99" t="n">
        <v>4</v>
      </c>
      <c r="D112" s="145" t="s">
        <v>161</v>
      </c>
      <c r="E112" s="145" t="s">
        <v>159</v>
      </c>
      <c r="F112" s="145" t="s">
        <v>50</v>
      </c>
      <c r="G112" s="93"/>
      <c r="H112" s="93"/>
      <c r="I112" s="93"/>
      <c r="J112" s="93"/>
      <c r="K112" s="92"/>
      <c r="L112" s="93"/>
      <c r="M112" s="94"/>
      <c r="N112" s="95" t="n">
        <v>1</v>
      </c>
      <c r="O112" s="95"/>
      <c r="P112" s="96"/>
      <c r="Q112" s="97"/>
      <c r="R112" s="98"/>
    </row>
    <row r="113" customFormat="false" ht="23.1" hidden="false" customHeight="false" outlineLevel="0" collapsed="false">
      <c r="A113" s="88" t="n">
        <f aca="false">+A112+1</f>
        <v>102</v>
      </c>
      <c r="B113" s="140"/>
      <c r="C113" s="99" t="n">
        <v>5</v>
      </c>
      <c r="D113" s="145" t="s">
        <v>161</v>
      </c>
      <c r="E113" s="145" t="s">
        <v>159</v>
      </c>
      <c r="F113" s="145" t="s">
        <v>50</v>
      </c>
      <c r="G113" s="93"/>
      <c r="H113" s="93"/>
      <c r="I113" s="92"/>
      <c r="J113" s="93"/>
      <c r="K113" s="93"/>
      <c r="L113" s="93"/>
      <c r="M113" s="94"/>
      <c r="N113" s="95" t="n">
        <v>1</v>
      </c>
      <c r="O113" s="95"/>
      <c r="P113" s="96"/>
      <c r="Q113" s="97"/>
      <c r="R113" s="98"/>
    </row>
    <row r="114" customFormat="false" ht="23.1" hidden="false" customHeight="false" outlineLevel="0" collapsed="false">
      <c r="A114" s="88" t="n">
        <f aca="false">+A113+1</f>
        <v>103</v>
      </c>
      <c r="B114" s="140"/>
      <c r="C114" s="99" t="n">
        <v>3</v>
      </c>
      <c r="D114" s="145" t="s">
        <v>162</v>
      </c>
      <c r="E114" s="145" t="s">
        <v>159</v>
      </c>
      <c r="F114" s="145" t="s">
        <v>50</v>
      </c>
      <c r="G114" s="92"/>
      <c r="H114" s="93"/>
      <c r="I114" s="93"/>
      <c r="J114" s="93"/>
      <c r="K114" s="93"/>
      <c r="L114" s="93"/>
      <c r="M114" s="94"/>
      <c r="N114" s="95" t="n">
        <v>1</v>
      </c>
      <c r="O114" s="95"/>
      <c r="P114" s="96"/>
      <c r="Q114" s="97"/>
      <c r="R114" s="98"/>
    </row>
    <row r="115" customFormat="false" ht="23.1" hidden="false" customHeight="false" outlineLevel="0" collapsed="false">
      <c r="A115" s="88" t="n">
        <f aca="false">+A114+1</f>
        <v>104</v>
      </c>
      <c r="B115" s="140"/>
      <c r="C115" s="99" t="n">
        <v>4</v>
      </c>
      <c r="D115" s="145" t="s">
        <v>162</v>
      </c>
      <c r="E115" s="145" t="s">
        <v>159</v>
      </c>
      <c r="F115" s="145" t="s">
        <v>50</v>
      </c>
      <c r="G115" s="93"/>
      <c r="H115" s="92"/>
      <c r="I115" s="93"/>
      <c r="J115" s="93"/>
      <c r="K115" s="93"/>
      <c r="L115" s="93"/>
      <c r="M115" s="94"/>
      <c r="N115" s="95" t="n">
        <v>0.5</v>
      </c>
      <c r="O115" s="95"/>
      <c r="P115" s="96"/>
      <c r="Q115" s="97"/>
      <c r="R115" s="98"/>
    </row>
    <row r="116" customFormat="false" ht="23.1" hidden="false" customHeight="false" outlineLevel="0" collapsed="false">
      <c r="A116" s="88" t="n">
        <f aca="false">+A115+1</f>
        <v>105</v>
      </c>
      <c r="B116" s="140"/>
      <c r="C116" s="99" t="n">
        <v>4</v>
      </c>
      <c r="D116" s="145" t="s">
        <v>162</v>
      </c>
      <c r="E116" s="145" t="s">
        <v>159</v>
      </c>
      <c r="F116" s="145" t="s">
        <v>50</v>
      </c>
      <c r="G116" s="93"/>
      <c r="H116" s="93"/>
      <c r="I116" s="92"/>
      <c r="J116" s="93"/>
      <c r="K116" s="93"/>
      <c r="L116" s="93"/>
      <c r="M116" s="94"/>
      <c r="N116" s="95" t="n">
        <v>1</v>
      </c>
      <c r="O116" s="95"/>
      <c r="P116" s="96"/>
      <c r="Q116" s="97"/>
      <c r="R116" s="98"/>
    </row>
    <row r="117" customFormat="false" ht="23.1" hidden="false" customHeight="false" outlineLevel="0" collapsed="false">
      <c r="A117" s="88" t="n">
        <f aca="false">+A116+1</f>
        <v>106</v>
      </c>
      <c r="B117" s="140"/>
      <c r="C117" s="99" t="n">
        <v>5</v>
      </c>
      <c r="D117" s="145" t="s">
        <v>162</v>
      </c>
      <c r="E117" s="145" t="s">
        <v>159</v>
      </c>
      <c r="F117" s="145" t="s">
        <v>50</v>
      </c>
      <c r="G117" s="93"/>
      <c r="H117" s="93"/>
      <c r="I117" s="93"/>
      <c r="J117" s="92"/>
      <c r="K117" s="93"/>
      <c r="L117" s="93"/>
      <c r="M117" s="94"/>
      <c r="N117" s="95" t="n">
        <v>1</v>
      </c>
      <c r="O117" s="95"/>
      <c r="P117" s="96"/>
      <c r="Q117" s="97"/>
      <c r="R117" s="98"/>
    </row>
    <row r="118" customFormat="false" ht="23.1" hidden="false" customHeight="false" outlineLevel="0" collapsed="false">
      <c r="A118" s="88" t="n">
        <f aca="false">+A117+1</f>
        <v>107</v>
      </c>
      <c r="B118" s="140"/>
      <c r="C118" s="99" t="n">
        <v>6</v>
      </c>
      <c r="D118" s="145" t="s">
        <v>162</v>
      </c>
      <c r="E118" s="145" t="s">
        <v>159</v>
      </c>
      <c r="F118" s="145" t="s">
        <v>50</v>
      </c>
      <c r="G118" s="93"/>
      <c r="H118" s="93"/>
      <c r="I118" s="93"/>
      <c r="J118" s="92"/>
      <c r="K118" s="93"/>
      <c r="L118" s="93"/>
      <c r="M118" s="94"/>
      <c r="N118" s="95" t="n">
        <v>0.5</v>
      </c>
      <c r="O118" s="95"/>
      <c r="P118" s="96"/>
      <c r="Q118" s="97"/>
      <c r="R118" s="98"/>
    </row>
    <row r="119" customFormat="false" ht="23.1" hidden="false" customHeight="false" outlineLevel="0" collapsed="false">
      <c r="A119" s="88" t="n">
        <f aca="false">+A118+1</f>
        <v>108</v>
      </c>
      <c r="B119" s="140"/>
      <c r="C119" s="99" t="n">
        <v>6</v>
      </c>
      <c r="D119" s="145" t="s">
        <v>162</v>
      </c>
      <c r="E119" s="145" t="s">
        <v>159</v>
      </c>
      <c r="F119" s="145" t="s">
        <v>50</v>
      </c>
      <c r="G119" s="93"/>
      <c r="H119" s="93"/>
      <c r="I119" s="93"/>
      <c r="J119" s="93"/>
      <c r="K119" s="92"/>
      <c r="L119" s="93"/>
      <c r="M119" s="94"/>
      <c r="N119" s="95" t="n">
        <v>1</v>
      </c>
      <c r="O119" s="95"/>
      <c r="P119" s="96"/>
      <c r="Q119" s="97"/>
      <c r="R119" s="98"/>
    </row>
    <row r="120" customFormat="false" ht="23.1" hidden="false" customHeight="false" outlineLevel="0" collapsed="false">
      <c r="A120" s="88" t="n">
        <f aca="false">+A119+1</f>
        <v>109</v>
      </c>
      <c r="B120" s="140"/>
      <c r="C120" s="99" t="n">
        <v>7</v>
      </c>
      <c r="D120" s="145" t="s">
        <v>163</v>
      </c>
      <c r="E120" s="145" t="s">
        <v>159</v>
      </c>
      <c r="F120" s="145" t="s">
        <v>50</v>
      </c>
      <c r="G120" s="93"/>
      <c r="H120" s="93"/>
      <c r="I120" s="92"/>
      <c r="J120" s="93"/>
      <c r="K120" s="93"/>
      <c r="L120" s="93"/>
      <c r="M120" s="94"/>
      <c r="N120" s="95" t="n">
        <v>1</v>
      </c>
      <c r="O120" s="95"/>
      <c r="P120" s="96"/>
      <c r="Q120" s="97"/>
      <c r="R120" s="98"/>
    </row>
    <row r="121" customFormat="false" ht="23.1" hidden="false" customHeight="false" outlineLevel="0" collapsed="false">
      <c r="A121" s="88" t="n">
        <f aca="false">+A120+1</f>
        <v>110</v>
      </c>
      <c r="B121" s="140"/>
      <c r="C121" s="99" t="n">
        <v>7</v>
      </c>
      <c r="D121" s="145" t="s">
        <v>164</v>
      </c>
      <c r="E121" s="145" t="s">
        <v>159</v>
      </c>
      <c r="F121" s="145" t="s">
        <v>50</v>
      </c>
      <c r="G121" s="93"/>
      <c r="H121" s="93"/>
      <c r="I121" s="92"/>
      <c r="J121" s="93"/>
      <c r="K121" s="93"/>
      <c r="L121" s="93"/>
      <c r="M121" s="94"/>
      <c r="N121" s="95" t="n">
        <v>0.5</v>
      </c>
      <c r="O121" s="95"/>
      <c r="P121" s="96"/>
      <c r="Q121" s="97"/>
      <c r="R121" s="98"/>
    </row>
    <row r="122" customFormat="false" ht="23.1" hidden="false" customHeight="false" outlineLevel="0" collapsed="false">
      <c r="A122" s="88" t="n">
        <f aca="false">+A121+1</f>
        <v>111</v>
      </c>
      <c r="B122" s="140"/>
      <c r="C122" s="99" t="n">
        <v>7</v>
      </c>
      <c r="D122" s="145" t="s">
        <v>164</v>
      </c>
      <c r="E122" s="145" t="s">
        <v>159</v>
      </c>
      <c r="F122" s="145" t="s">
        <v>50</v>
      </c>
      <c r="G122" s="93"/>
      <c r="H122" s="93"/>
      <c r="I122" s="93"/>
      <c r="J122" s="92"/>
      <c r="K122" s="93"/>
      <c r="L122" s="93"/>
      <c r="M122" s="94"/>
      <c r="N122" s="95" t="n">
        <v>1</v>
      </c>
      <c r="O122" s="95"/>
      <c r="P122" s="96"/>
      <c r="Q122" s="97"/>
      <c r="R122" s="98"/>
    </row>
    <row r="123" customFormat="false" ht="23.1" hidden="false" customHeight="false" outlineLevel="0" collapsed="false">
      <c r="A123" s="88" t="n">
        <f aca="false">+A122+1</f>
        <v>112</v>
      </c>
      <c r="B123" s="140"/>
      <c r="C123" s="99" t="n">
        <v>7</v>
      </c>
      <c r="D123" s="145" t="s">
        <v>165</v>
      </c>
      <c r="E123" s="145" t="s">
        <v>159</v>
      </c>
      <c r="F123" s="145" t="s">
        <v>50</v>
      </c>
      <c r="G123" s="92"/>
      <c r="H123" s="93"/>
      <c r="I123" s="93"/>
      <c r="J123" s="93"/>
      <c r="K123" s="93"/>
      <c r="L123" s="93"/>
      <c r="M123" s="94"/>
      <c r="N123" s="95" t="n">
        <v>0.5</v>
      </c>
      <c r="O123" s="95"/>
      <c r="P123" s="96"/>
      <c r="Q123" s="97"/>
      <c r="R123" s="98"/>
    </row>
    <row r="124" customFormat="false" ht="23.1" hidden="false" customHeight="false" outlineLevel="0" collapsed="false">
      <c r="A124" s="88" t="n">
        <f aca="false">+A123+1</f>
        <v>113</v>
      </c>
      <c r="B124" s="140"/>
      <c r="C124" s="99" t="n">
        <v>7</v>
      </c>
      <c r="D124" s="145" t="s">
        <v>165</v>
      </c>
      <c r="E124" s="145" t="s">
        <v>159</v>
      </c>
      <c r="F124" s="145" t="s">
        <v>50</v>
      </c>
      <c r="G124" s="93"/>
      <c r="H124" s="93"/>
      <c r="I124" s="93"/>
      <c r="J124" s="92"/>
      <c r="K124" s="93"/>
      <c r="L124" s="93"/>
      <c r="M124" s="94"/>
      <c r="N124" s="95" t="n">
        <v>1</v>
      </c>
      <c r="O124" s="95"/>
      <c r="P124" s="96"/>
      <c r="Q124" s="97"/>
      <c r="R124" s="98"/>
    </row>
    <row r="125" customFormat="false" ht="23.1" hidden="false" customHeight="false" outlineLevel="0" collapsed="false">
      <c r="A125" s="88" t="n">
        <f aca="false">+A124+1</f>
        <v>114</v>
      </c>
      <c r="B125" s="140"/>
      <c r="C125" s="99" t="n">
        <v>1</v>
      </c>
      <c r="D125" s="145" t="s">
        <v>166</v>
      </c>
      <c r="E125" s="145" t="s">
        <v>159</v>
      </c>
      <c r="F125" s="145" t="s">
        <v>50</v>
      </c>
      <c r="G125" s="92"/>
      <c r="H125" s="93"/>
      <c r="I125" s="93"/>
      <c r="J125" s="93"/>
      <c r="K125" s="93"/>
      <c r="L125" s="93"/>
      <c r="M125" s="94"/>
      <c r="N125" s="95" t="n">
        <v>1</v>
      </c>
      <c r="O125" s="95"/>
      <c r="P125" s="96"/>
      <c r="Q125" s="97"/>
      <c r="R125" s="98"/>
    </row>
    <row r="126" customFormat="false" ht="23.1" hidden="false" customHeight="false" outlineLevel="0" collapsed="false">
      <c r="A126" s="88" t="n">
        <f aca="false">+A125+1</f>
        <v>115</v>
      </c>
      <c r="B126" s="140"/>
      <c r="C126" s="99" t="n">
        <v>2</v>
      </c>
      <c r="D126" s="145" t="s">
        <v>166</v>
      </c>
      <c r="E126" s="145" t="s">
        <v>159</v>
      </c>
      <c r="F126" s="145" t="s">
        <v>50</v>
      </c>
      <c r="G126" s="92"/>
      <c r="H126" s="93"/>
      <c r="I126" s="93"/>
      <c r="J126" s="93"/>
      <c r="K126" s="93"/>
      <c r="L126" s="93"/>
      <c r="M126" s="94"/>
      <c r="N126" s="95" t="n">
        <v>1</v>
      </c>
      <c r="O126" s="95"/>
      <c r="P126" s="96"/>
      <c r="Q126" s="97"/>
      <c r="R126" s="98"/>
    </row>
    <row r="127" customFormat="false" ht="23.1" hidden="false" customHeight="false" outlineLevel="0" collapsed="false">
      <c r="A127" s="88" t="n">
        <f aca="false">+A126+1</f>
        <v>116</v>
      </c>
      <c r="B127" s="140"/>
      <c r="C127" s="99" t="n">
        <v>3</v>
      </c>
      <c r="D127" s="145" t="s">
        <v>166</v>
      </c>
      <c r="E127" s="145" t="s">
        <v>159</v>
      </c>
      <c r="F127" s="145" t="s">
        <v>50</v>
      </c>
      <c r="G127" s="93"/>
      <c r="H127" s="92"/>
      <c r="I127" s="93"/>
      <c r="J127" s="93"/>
      <c r="K127" s="93"/>
      <c r="L127" s="93"/>
      <c r="M127" s="94"/>
      <c r="N127" s="95" t="n">
        <v>1</v>
      </c>
      <c r="O127" s="95"/>
      <c r="P127" s="96"/>
      <c r="Q127" s="97"/>
      <c r="R127" s="98"/>
    </row>
    <row r="128" customFormat="false" ht="23.1" hidden="false" customHeight="false" outlineLevel="0" collapsed="false">
      <c r="A128" s="88" t="n">
        <f aca="false">+A127+1</f>
        <v>117</v>
      </c>
      <c r="B128" s="140"/>
      <c r="C128" s="99" t="n">
        <v>5</v>
      </c>
      <c r="D128" s="145" t="s">
        <v>166</v>
      </c>
      <c r="E128" s="145" t="s">
        <v>159</v>
      </c>
      <c r="F128" s="145" t="s">
        <v>50</v>
      </c>
      <c r="G128" s="93"/>
      <c r="H128" s="93"/>
      <c r="I128" s="92"/>
      <c r="J128" s="93"/>
      <c r="K128" s="93"/>
      <c r="L128" s="93"/>
      <c r="M128" s="94"/>
      <c r="N128" s="95" t="n">
        <v>1</v>
      </c>
      <c r="O128" s="95"/>
      <c r="P128" s="96"/>
      <c r="Q128" s="97"/>
      <c r="R128" s="98"/>
    </row>
    <row r="129" customFormat="false" ht="23.1" hidden="false" customHeight="false" outlineLevel="0" collapsed="false">
      <c r="A129" s="88" t="n">
        <f aca="false">+A128+1</f>
        <v>118</v>
      </c>
      <c r="B129" s="140"/>
      <c r="C129" s="99" t="n">
        <v>4</v>
      </c>
      <c r="D129" s="145" t="s">
        <v>166</v>
      </c>
      <c r="E129" s="145" t="s">
        <v>159</v>
      </c>
      <c r="F129" s="145" t="s">
        <v>50</v>
      </c>
      <c r="G129" s="93"/>
      <c r="H129" s="93"/>
      <c r="I129" s="93"/>
      <c r="J129" s="92"/>
      <c r="K129" s="93"/>
      <c r="L129" s="93"/>
      <c r="M129" s="94"/>
      <c r="N129" s="95" t="n">
        <v>1</v>
      </c>
      <c r="O129" s="95"/>
      <c r="P129" s="96"/>
      <c r="Q129" s="97"/>
      <c r="R129" s="98"/>
    </row>
    <row r="130" customFormat="false" ht="23.1" hidden="false" customHeight="false" outlineLevel="0" collapsed="false">
      <c r="A130" s="88" t="n">
        <f aca="false">+A129+1</f>
        <v>119</v>
      </c>
      <c r="B130" s="140"/>
      <c r="C130" s="99" t="n">
        <v>7</v>
      </c>
      <c r="D130" s="145" t="s">
        <v>166</v>
      </c>
      <c r="E130" s="145" t="s">
        <v>159</v>
      </c>
      <c r="F130" s="145" t="s">
        <v>50</v>
      </c>
      <c r="G130" s="93"/>
      <c r="H130" s="93"/>
      <c r="I130" s="93"/>
      <c r="J130" s="93"/>
      <c r="K130" s="92"/>
      <c r="L130" s="93"/>
      <c r="M130" s="94"/>
      <c r="N130" s="95" t="n">
        <v>1</v>
      </c>
      <c r="O130" s="95"/>
      <c r="P130" s="96"/>
      <c r="Q130" s="97"/>
      <c r="R130" s="98"/>
    </row>
    <row r="131" customFormat="false" ht="23.1" hidden="false" customHeight="false" outlineLevel="0" collapsed="false">
      <c r="A131" s="88" t="n">
        <f aca="false">+A130+1</f>
        <v>120</v>
      </c>
      <c r="B131" s="140"/>
      <c r="C131" s="99" t="n">
        <v>6</v>
      </c>
      <c r="D131" s="145" t="s">
        <v>166</v>
      </c>
      <c r="E131" s="145" t="s">
        <v>159</v>
      </c>
      <c r="F131" s="145" t="s">
        <v>50</v>
      </c>
      <c r="G131" s="93"/>
      <c r="H131" s="92"/>
      <c r="I131" s="93"/>
      <c r="J131" s="93"/>
      <c r="K131" s="93"/>
      <c r="L131" s="93"/>
      <c r="M131" s="94"/>
      <c r="N131" s="95" t="n">
        <v>0.33</v>
      </c>
      <c r="O131" s="95"/>
      <c r="P131" s="96"/>
      <c r="Q131" s="97"/>
      <c r="R131" s="98"/>
    </row>
    <row r="132" customFormat="false" ht="23.1" hidden="false" customHeight="false" outlineLevel="0" collapsed="false">
      <c r="A132" s="88" t="n">
        <f aca="false">+A131+1</f>
        <v>121</v>
      </c>
      <c r="B132" s="140"/>
      <c r="C132" s="99" t="n">
        <v>6</v>
      </c>
      <c r="D132" s="145" t="s">
        <v>166</v>
      </c>
      <c r="E132" s="145" t="s">
        <v>159</v>
      </c>
      <c r="F132" s="145" t="s">
        <v>50</v>
      </c>
      <c r="G132" s="93"/>
      <c r="H132" s="93"/>
      <c r="I132" s="92"/>
      <c r="J132" s="93"/>
      <c r="K132" s="93"/>
      <c r="L132" s="93"/>
      <c r="M132" s="94"/>
      <c r="N132" s="95" t="n">
        <v>0.66</v>
      </c>
      <c r="O132" s="95"/>
      <c r="P132" s="96"/>
      <c r="Q132" s="97"/>
      <c r="R132" s="98"/>
    </row>
    <row r="133" customFormat="false" ht="23.1" hidden="false" customHeight="false" outlineLevel="0" collapsed="false">
      <c r="A133" s="88" t="n">
        <f aca="false">+A132+1</f>
        <v>122</v>
      </c>
      <c r="B133" s="140"/>
      <c r="C133" s="99" t="n">
        <v>6</v>
      </c>
      <c r="D133" s="145" t="s">
        <v>166</v>
      </c>
      <c r="E133" s="145" t="s">
        <v>159</v>
      </c>
      <c r="F133" s="145" t="s">
        <v>50</v>
      </c>
      <c r="G133" s="93"/>
      <c r="H133" s="93"/>
      <c r="I133" s="93"/>
      <c r="J133" s="92"/>
      <c r="K133" s="93"/>
      <c r="L133" s="93"/>
      <c r="M133" s="94"/>
      <c r="N133" s="95" t="n">
        <v>1</v>
      </c>
      <c r="O133" s="95"/>
      <c r="P133" s="96"/>
      <c r="Q133" s="97"/>
      <c r="R133" s="98"/>
    </row>
    <row r="134" customFormat="false" ht="23.1" hidden="false" customHeight="false" outlineLevel="0" collapsed="false">
      <c r="A134" s="88" t="n">
        <f aca="false">+A133+1</f>
        <v>123</v>
      </c>
      <c r="B134" s="140"/>
      <c r="C134" s="99" t="n">
        <v>7</v>
      </c>
      <c r="D134" s="145" t="s">
        <v>167</v>
      </c>
      <c r="E134" s="145" t="s">
        <v>159</v>
      </c>
      <c r="F134" s="145" t="s">
        <v>50</v>
      </c>
      <c r="G134" s="92"/>
      <c r="H134" s="93"/>
      <c r="I134" s="93"/>
      <c r="J134" s="93"/>
      <c r="K134" s="93"/>
      <c r="L134" s="93"/>
      <c r="M134" s="94"/>
      <c r="N134" s="95" t="n">
        <v>1</v>
      </c>
      <c r="O134" s="95"/>
      <c r="P134" s="96"/>
      <c r="Q134" s="97"/>
      <c r="R134" s="98"/>
    </row>
    <row r="135" customFormat="false" ht="23.1" hidden="false" customHeight="false" outlineLevel="0" collapsed="false">
      <c r="A135" s="88" t="n">
        <f aca="false">+A134+1</f>
        <v>124</v>
      </c>
      <c r="B135" s="140"/>
      <c r="C135" s="99" t="n">
        <v>7</v>
      </c>
      <c r="D135" s="145" t="s">
        <v>167</v>
      </c>
      <c r="E135" s="145" t="s">
        <v>159</v>
      </c>
      <c r="F135" s="145" t="s">
        <v>50</v>
      </c>
      <c r="G135" s="92"/>
      <c r="H135" s="93"/>
      <c r="I135" s="93"/>
      <c r="J135" s="93"/>
      <c r="K135" s="93"/>
      <c r="L135" s="93"/>
      <c r="M135" s="94"/>
      <c r="N135" s="95" t="n">
        <v>1</v>
      </c>
      <c r="O135" s="95"/>
      <c r="P135" s="96"/>
      <c r="Q135" s="97"/>
      <c r="R135" s="98"/>
    </row>
    <row r="136" customFormat="false" ht="23.1" hidden="false" customHeight="false" outlineLevel="0" collapsed="false">
      <c r="A136" s="88" t="n">
        <f aca="false">+A135+1</f>
        <v>125</v>
      </c>
      <c r="B136" s="140"/>
      <c r="C136" s="99" t="n">
        <v>7</v>
      </c>
      <c r="D136" s="145" t="s">
        <v>167</v>
      </c>
      <c r="E136" s="145" t="s">
        <v>159</v>
      </c>
      <c r="F136" s="145" t="s">
        <v>50</v>
      </c>
      <c r="G136" s="92"/>
      <c r="H136" s="93"/>
      <c r="I136" s="93"/>
      <c r="J136" s="93"/>
      <c r="K136" s="93"/>
      <c r="L136" s="93"/>
      <c r="M136" s="94"/>
      <c r="N136" s="95" t="n">
        <v>1</v>
      </c>
      <c r="O136" s="95"/>
      <c r="P136" s="96"/>
      <c r="Q136" s="97"/>
      <c r="R136" s="98"/>
    </row>
    <row r="137" customFormat="false" ht="23.1" hidden="false" customHeight="false" outlineLevel="0" collapsed="false">
      <c r="A137" s="88" t="n">
        <f aca="false">+A136+1</f>
        <v>126</v>
      </c>
      <c r="B137" s="140"/>
      <c r="C137" s="99" t="n">
        <v>7</v>
      </c>
      <c r="D137" s="145" t="s">
        <v>167</v>
      </c>
      <c r="E137" s="145" t="s">
        <v>159</v>
      </c>
      <c r="F137" s="145" t="s">
        <v>50</v>
      </c>
      <c r="G137" s="92"/>
      <c r="H137" s="93"/>
      <c r="I137" s="93"/>
      <c r="J137" s="93"/>
      <c r="K137" s="93"/>
      <c r="L137" s="93"/>
      <c r="M137" s="94"/>
      <c r="N137" s="95" t="n">
        <v>1</v>
      </c>
      <c r="O137" s="95"/>
      <c r="P137" s="96"/>
      <c r="Q137" s="97"/>
      <c r="R137" s="98"/>
    </row>
    <row r="138" customFormat="false" ht="23.1" hidden="false" customHeight="false" outlineLevel="0" collapsed="false">
      <c r="A138" s="88" t="n">
        <f aca="false">+A137+1</f>
        <v>127</v>
      </c>
      <c r="B138" s="140"/>
      <c r="C138" s="99" t="n">
        <v>7</v>
      </c>
      <c r="D138" s="145" t="s">
        <v>167</v>
      </c>
      <c r="E138" s="145" t="s">
        <v>159</v>
      </c>
      <c r="F138" s="145" t="s">
        <v>50</v>
      </c>
      <c r="G138" s="92"/>
      <c r="H138" s="93"/>
      <c r="I138" s="93"/>
      <c r="J138" s="93"/>
      <c r="K138" s="93"/>
      <c r="L138" s="93"/>
      <c r="M138" s="94"/>
      <c r="N138" s="95" t="n">
        <v>1</v>
      </c>
      <c r="O138" s="95"/>
      <c r="P138" s="96"/>
      <c r="Q138" s="97"/>
      <c r="R138" s="98"/>
    </row>
    <row r="139" customFormat="false" ht="23.1" hidden="false" customHeight="false" outlineLevel="0" collapsed="false">
      <c r="A139" s="88" t="n">
        <f aca="false">+A138+1</f>
        <v>128</v>
      </c>
      <c r="B139" s="140"/>
      <c r="C139" s="99" t="n">
        <v>7</v>
      </c>
      <c r="D139" s="145" t="s">
        <v>167</v>
      </c>
      <c r="E139" s="145" t="s">
        <v>159</v>
      </c>
      <c r="F139" s="145" t="s">
        <v>50</v>
      </c>
      <c r="G139" s="92"/>
      <c r="H139" s="93"/>
      <c r="I139" s="93"/>
      <c r="J139" s="93"/>
      <c r="K139" s="93"/>
      <c r="L139" s="93"/>
      <c r="M139" s="94"/>
      <c r="N139" s="95" t="n">
        <v>1</v>
      </c>
      <c r="O139" s="95"/>
      <c r="P139" s="96"/>
      <c r="Q139" s="97"/>
      <c r="R139" s="98"/>
    </row>
    <row r="140" customFormat="false" ht="23.1" hidden="false" customHeight="false" outlineLevel="0" collapsed="false">
      <c r="A140" s="88" t="n">
        <f aca="false">+A139+1</f>
        <v>129</v>
      </c>
      <c r="B140" s="140"/>
      <c r="C140" s="99" t="n">
        <v>7</v>
      </c>
      <c r="D140" s="145" t="s">
        <v>167</v>
      </c>
      <c r="E140" s="145" t="s">
        <v>159</v>
      </c>
      <c r="F140" s="145" t="s">
        <v>50</v>
      </c>
      <c r="G140" s="92"/>
      <c r="H140" s="93"/>
      <c r="I140" s="93"/>
      <c r="J140" s="93"/>
      <c r="K140" s="93"/>
      <c r="L140" s="93"/>
      <c r="M140" s="94"/>
      <c r="N140" s="95" t="n">
        <v>1</v>
      </c>
      <c r="O140" s="95"/>
      <c r="P140" s="96"/>
      <c r="Q140" s="97"/>
      <c r="R140" s="98"/>
    </row>
    <row r="141" customFormat="false" ht="23.1" hidden="false" customHeight="false" outlineLevel="0" collapsed="false">
      <c r="A141" s="88" t="n">
        <f aca="false">+A140+1</f>
        <v>130</v>
      </c>
      <c r="B141" s="140"/>
      <c r="C141" s="99" t="n">
        <v>7</v>
      </c>
      <c r="D141" s="145" t="s">
        <v>167</v>
      </c>
      <c r="E141" s="145" t="s">
        <v>159</v>
      </c>
      <c r="F141" s="145" t="s">
        <v>50</v>
      </c>
      <c r="G141" s="92"/>
      <c r="H141" s="93"/>
      <c r="I141" s="93"/>
      <c r="J141" s="93"/>
      <c r="K141" s="93"/>
      <c r="L141" s="93"/>
      <c r="M141" s="94"/>
      <c r="N141" s="95" t="n">
        <v>1</v>
      </c>
      <c r="O141" s="95"/>
      <c r="P141" s="96"/>
      <c r="Q141" s="97"/>
      <c r="R141" s="98"/>
    </row>
    <row r="142" customFormat="false" ht="23.1" hidden="false" customHeight="false" outlineLevel="0" collapsed="false">
      <c r="A142" s="88" t="n">
        <f aca="false">+A141+1</f>
        <v>131</v>
      </c>
      <c r="B142" s="140"/>
      <c r="C142" s="99" t="n">
        <v>7</v>
      </c>
      <c r="D142" s="145" t="s">
        <v>167</v>
      </c>
      <c r="E142" s="145" t="s">
        <v>159</v>
      </c>
      <c r="F142" s="145" t="s">
        <v>50</v>
      </c>
      <c r="G142" s="92"/>
      <c r="H142" s="93"/>
      <c r="I142" s="93"/>
      <c r="J142" s="93"/>
      <c r="K142" s="93"/>
      <c r="L142" s="93"/>
      <c r="M142" s="94"/>
      <c r="N142" s="95" t="n">
        <v>1</v>
      </c>
      <c r="O142" s="95"/>
      <c r="P142" s="96"/>
      <c r="Q142" s="97"/>
      <c r="R142" s="98"/>
    </row>
    <row r="143" customFormat="false" ht="23.1" hidden="false" customHeight="false" outlineLevel="0" collapsed="false">
      <c r="A143" s="88" t="n">
        <f aca="false">+A142+1</f>
        <v>132</v>
      </c>
      <c r="B143" s="140"/>
      <c r="C143" s="99" t="n">
        <v>7</v>
      </c>
      <c r="D143" s="145" t="s">
        <v>167</v>
      </c>
      <c r="E143" s="145" t="s">
        <v>159</v>
      </c>
      <c r="F143" s="145" t="s">
        <v>50</v>
      </c>
      <c r="G143" s="92"/>
      <c r="H143" s="93"/>
      <c r="I143" s="93"/>
      <c r="J143" s="93"/>
      <c r="K143" s="93"/>
      <c r="L143" s="93"/>
      <c r="M143" s="94"/>
      <c r="N143" s="95" t="n">
        <v>1</v>
      </c>
      <c r="O143" s="95"/>
      <c r="P143" s="96"/>
      <c r="Q143" s="97"/>
      <c r="R143" s="98"/>
    </row>
    <row r="144" customFormat="false" ht="23.1" hidden="false" customHeight="false" outlineLevel="0" collapsed="false">
      <c r="A144" s="88" t="n">
        <f aca="false">+A143+1</f>
        <v>133</v>
      </c>
      <c r="B144" s="140"/>
      <c r="C144" s="99" t="n">
        <v>7</v>
      </c>
      <c r="D144" s="145" t="s">
        <v>167</v>
      </c>
      <c r="E144" s="145" t="s">
        <v>159</v>
      </c>
      <c r="F144" s="145" t="s">
        <v>50</v>
      </c>
      <c r="G144" s="92"/>
      <c r="H144" s="93"/>
      <c r="I144" s="93"/>
      <c r="J144" s="93"/>
      <c r="K144" s="93"/>
      <c r="L144" s="93"/>
      <c r="M144" s="94"/>
      <c r="N144" s="95" t="n">
        <v>1</v>
      </c>
      <c r="O144" s="95"/>
      <c r="P144" s="96"/>
      <c r="Q144" s="97"/>
      <c r="R144" s="98"/>
    </row>
    <row r="145" customFormat="false" ht="23.1" hidden="false" customHeight="false" outlineLevel="0" collapsed="false">
      <c r="A145" s="88" t="n">
        <f aca="false">+A144+1</f>
        <v>134</v>
      </c>
      <c r="B145" s="140"/>
      <c r="C145" s="99" t="n">
        <v>7</v>
      </c>
      <c r="D145" s="145" t="s">
        <v>167</v>
      </c>
      <c r="E145" s="145" t="s">
        <v>159</v>
      </c>
      <c r="F145" s="145" t="s">
        <v>50</v>
      </c>
      <c r="G145" s="92"/>
      <c r="H145" s="93"/>
      <c r="I145" s="93"/>
      <c r="J145" s="93"/>
      <c r="K145" s="93"/>
      <c r="L145" s="93"/>
      <c r="M145" s="94"/>
      <c r="N145" s="95" t="n">
        <v>1</v>
      </c>
      <c r="O145" s="95"/>
      <c r="P145" s="96"/>
      <c r="Q145" s="97"/>
      <c r="R145" s="98"/>
    </row>
    <row r="146" customFormat="false" ht="23.1" hidden="false" customHeight="false" outlineLevel="0" collapsed="false">
      <c r="A146" s="88" t="n">
        <f aca="false">+A145+1</f>
        <v>135</v>
      </c>
      <c r="B146" s="140"/>
      <c r="C146" s="99" t="n">
        <v>7</v>
      </c>
      <c r="D146" s="145" t="s">
        <v>167</v>
      </c>
      <c r="E146" s="145" t="s">
        <v>159</v>
      </c>
      <c r="F146" s="145" t="s">
        <v>50</v>
      </c>
      <c r="G146" s="92"/>
      <c r="H146" s="93"/>
      <c r="I146" s="93"/>
      <c r="J146" s="93"/>
      <c r="K146" s="93"/>
      <c r="L146" s="93"/>
      <c r="M146" s="94"/>
      <c r="N146" s="95" t="n">
        <v>1</v>
      </c>
      <c r="O146" s="95"/>
      <c r="P146" s="96"/>
      <c r="Q146" s="97"/>
      <c r="R146" s="98"/>
    </row>
    <row r="147" customFormat="false" ht="23.1" hidden="false" customHeight="false" outlineLevel="0" collapsed="false">
      <c r="A147" s="88" t="n">
        <f aca="false">+A146+1</f>
        <v>136</v>
      </c>
      <c r="B147" s="140"/>
      <c r="C147" s="99" t="n">
        <v>7</v>
      </c>
      <c r="D147" s="145" t="s">
        <v>167</v>
      </c>
      <c r="E147" s="145" t="s">
        <v>159</v>
      </c>
      <c r="F147" s="145" t="s">
        <v>50</v>
      </c>
      <c r="G147" s="92"/>
      <c r="H147" s="93"/>
      <c r="I147" s="93"/>
      <c r="J147" s="93"/>
      <c r="K147" s="93"/>
      <c r="L147" s="93"/>
      <c r="M147" s="94"/>
      <c r="N147" s="95" t="n">
        <v>1</v>
      </c>
      <c r="O147" s="95"/>
      <c r="P147" s="96"/>
      <c r="Q147" s="97"/>
      <c r="R147" s="98"/>
    </row>
    <row r="148" customFormat="false" ht="23.1" hidden="false" customHeight="false" outlineLevel="0" collapsed="false">
      <c r="A148" s="88" t="n">
        <f aca="false">+A147+1</f>
        <v>137</v>
      </c>
      <c r="B148" s="140"/>
      <c r="C148" s="99" t="n">
        <v>7</v>
      </c>
      <c r="D148" s="145" t="s">
        <v>167</v>
      </c>
      <c r="E148" s="145" t="s">
        <v>159</v>
      </c>
      <c r="F148" s="145" t="s">
        <v>50</v>
      </c>
      <c r="G148" s="92"/>
      <c r="H148" s="93"/>
      <c r="I148" s="93"/>
      <c r="J148" s="93"/>
      <c r="K148" s="93"/>
      <c r="L148" s="93"/>
      <c r="M148" s="94"/>
      <c r="N148" s="95" t="n">
        <v>1</v>
      </c>
      <c r="O148" s="95"/>
      <c r="P148" s="96"/>
      <c r="Q148" s="97"/>
      <c r="R148" s="98"/>
    </row>
    <row r="149" customFormat="false" ht="23.1" hidden="false" customHeight="false" outlineLevel="0" collapsed="false">
      <c r="A149" s="88" t="n">
        <f aca="false">+A148+1</f>
        <v>138</v>
      </c>
      <c r="B149" s="140"/>
      <c r="C149" s="99" t="n">
        <v>7</v>
      </c>
      <c r="D149" s="145" t="s">
        <v>167</v>
      </c>
      <c r="E149" s="145" t="s">
        <v>159</v>
      </c>
      <c r="F149" s="145" t="s">
        <v>50</v>
      </c>
      <c r="G149" s="92"/>
      <c r="H149" s="93"/>
      <c r="I149" s="93"/>
      <c r="J149" s="93"/>
      <c r="K149" s="93"/>
      <c r="L149" s="93"/>
      <c r="M149" s="94"/>
      <c r="N149" s="95" t="n">
        <v>1</v>
      </c>
      <c r="O149" s="95"/>
      <c r="P149" s="96"/>
      <c r="Q149" s="97"/>
      <c r="R149" s="98"/>
    </row>
    <row r="150" customFormat="false" ht="23.1" hidden="false" customHeight="false" outlineLevel="0" collapsed="false">
      <c r="A150" s="88" t="n">
        <f aca="false">+A149+1</f>
        <v>139</v>
      </c>
      <c r="B150" s="140"/>
      <c r="C150" s="99" t="n">
        <v>7</v>
      </c>
      <c r="D150" s="145" t="s">
        <v>167</v>
      </c>
      <c r="E150" s="145" t="s">
        <v>159</v>
      </c>
      <c r="F150" s="145" t="s">
        <v>50</v>
      </c>
      <c r="G150" s="92"/>
      <c r="H150" s="93"/>
      <c r="I150" s="93"/>
      <c r="J150" s="93"/>
      <c r="K150" s="93"/>
      <c r="L150" s="93"/>
      <c r="M150" s="94"/>
      <c r="N150" s="95" t="n">
        <v>1</v>
      </c>
      <c r="O150" s="95"/>
      <c r="P150" s="96"/>
      <c r="Q150" s="97"/>
      <c r="R150" s="98"/>
    </row>
    <row r="151" customFormat="false" ht="23.1" hidden="false" customHeight="false" outlineLevel="0" collapsed="false">
      <c r="A151" s="88" t="n">
        <f aca="false">+A150+1</f>
        <v>140</v>
      </c>
      <c r="B151" s="140"/>
      <c r="C151" s="99" t="n">
        <v>7</v>
      </c>
      <c r="D151" s="145" t="s">
        <v>167</v>
      </c>
      <c r="E151" s="145" t="s">
        <v>159</v>
      </c>
      <c r="F151" s="145" t="s">
        <v>50</v>
      </c>
      <c r="G151" s="92"/>
      <c r="H151" s="93"/>
      <c r="I151" s="93"/>
      <c r="J151" s="93"/>
      <c r="K151" s="93"/>
      <c r="L151" s="93"/>
      <c r="M151" s="94"/>
      <c r="N151" s="95" t="n">
        <v>1</v>
      </c>
      <c r="O151" s="95"/>
      <c r="P151" s="96"/>
      <c r="Q151" s="97"/>
      <c r="R151" s="98"/>
    </row>
    <row r="152" customFormat="false" ht="23.1" hidden="false" customHeight="false" outlineLevel="0" collapsed="false">
      <c r="A152" s="88" t="n">
        <f aca="false">+A151+1</f>
        <v>141</v>
      </c>
      <c r="B152" s="140"/>
      <c r="C152" s="99" t="n">
        <v>7</v>
      </c>
      <c r="D152" s="145" t="s">
        <v>167</v>
      </c>
      <c r="E152" s="145" t="s">
        <v>159</v>
      </c>
      <c r="F152" s="145" t="s">
        <v>50</v>
      </c>
      <c r="G152" s="92"/>
      <c r="H152" s="93"/>
      <c r="I152" s="93"/>
      <c r="J152" s="93"/>
      <c r="K152" s="93"/>
      <c r="L152" s="93"/>
      <c r="M152" s="94"/>
      <c r="N152" s="95" t="n">
        <v>1</v>
      </c>
      <c r="O152" s="95"/>
      <c r="P152" s="96"/>
      <c r="Q152" s="97"/>
      <c r="R152" s="98"/>
    </row>
    <row r="153" customFormat="false" ht="23.1" hidden="false" customHeight="false" outlineLevel="0" collapsed="false">
      <c r="A153" s="88" t="n">
        <f aca="false">+A152+1</f>
        <v>142</v>
      </c>
      <c r="B153" s="140"/>
      <c r="C153" s="99" t="n">
        <v>7</v>
      </c>
      <c r="D153" s="145" t="s">
        <v>167</v>
      </c>
      <c r="E153" s="145" t="s">
        <v>159</v>
      </c>
      <c r="F153" s="145" t="s">
        <v>50</v>
      </c>
      <c r="G153" s="92"/>
      <c r="H153" s="93"/>
      <c r="I153" s="93"/>
      <c r="J153" s="93"/>
      <c r="K153" s="93"/>
      <c r="L153" s="93"/>
      <c r="M153" s="94"/>
      <c r="N153" s="95" t="n">
        <v>1</v>
      </c>
      <c r="O153" s="95"/>
      <c r="P153" s="96"/>
      <c r="Q153" s="97"/>
      <c r="R153" s="98"/>
    </row>
    <row r="154" customFormat="false" ht="23.1" hidden="false" customHeight="false" outlineLevel="0" collapsed="false">
      <c r="A154" s="88" t="n">
        <f aca="false">+A153+1</f>
        <v>143</v>
      </c>
      <c r="B154" s="140"/>
      <c r="C154" s="99" t="n">
        <v>7</v>
      </c>
      <c r="D154" s="145" t="s">
        <v>167</v>
      </c>
      <c r="E154" s="145" t="s">
        <v>159</v>
      </c>
      <c r="F154" s="145" t="s">
        <v>50</v>
      </c>
      <c r="G154" s="92"/>
      <c r="H154" s="93"/>
      <c r="I154" s="93"/>
      <c r="J154" s="93"/>
      <c r="K154" s="93"/>
      <c r="L154" s="93"/>
      <c r="M154" s="94"/>
      <c r="N154" s="95" t="n">
        <v>1</v>
      </c>
      <c r="O154" s="95"/>
      <c r="P154" s="96"/>
      <c r="Q154" s="97"/>
      <c r="R154" s="98"/>
    </row>
    <row r="155" customFormat="false" ht="23.1" hidden="false" customHeight="false" outlineLevel="0" collapsed="false">
      <c r="A155" s="88" t="n">
        <f aca="false">+A154+1</f>
        <v>144</v>
      </c>
      <c r="B155" s="140"/>
      <c r="C155" s="99" t="n">
        <v>7</v>
      </c>
      <c r="D155" s="145" t="s">
        <v>167</v>
      </c>
      <c r="E155" s="145" t="s">
        <v>159</v>
      </c>
      <c r="F155" s="145" t="s">
        <v>50</v>
      </c>
      <c r="G155" s="92"/>
      <c r="H155" s="93"/>
      <c r="I155" s="93"/>
      <c r="J155" s="93"/>
      <c r="K155" s="93"/>
      <c r="L155" s="93"/>
      <c r="M155" s="94"/>
      <c r="N155" s="95" t="n">
        <v>1</v>
      </c>
      <c r="O155" s="95"/>
      <c r="P155" s="96"/>
      <c r="Q155" s="97"/>
      <c r="R155" s="98"/>
    </row>
    <row r="156" customFormat="false" ht="23.1" hidden="false" customHeight="false" outlineLevel="0" collapsed="false">
      <c r="A156" s="88" t="n">
        <f aca="false">+A155+1</f>
        <v>145</v>
      </c>
      <c r="B156" s="140"/>
      <c r="C156" s="99" t="n">
        <v>7</v>
      </c>
      <c r="D156" s="145" t="s">
        <v>167</v>
      </c>
      <c r="E156" s="145" t="s">
        <v>159</v>
      </c>
      <c r="F156" s="145" t="s">
        <v>50</v>
      </c>
      <c r="G156" s="92"/>
      <c r="H156" s="93"/>
      <c r="I156" s="93"/>
      <c r="J156" s="93"/>
      <c r="K156" s="93"/>
      <c r="L156" s="93"/>
      <c r="M156" s="94"/>
      <c r="N156" s="95" t="n">
        <v>1</v>
      </c>
      <c r="O156" s="95"/>
      <c r="P156" s="96"/>
      <c r="Q156" s="97"/>
      <c r="R156" s="98"/>
    </row>
    <row r="157" customFormat="false" ht="23.1" hidden="false" customHeight="false" outlineLevel="0" collapsed="false">
      <c r="A157" s="88" t="n">
        <f aca="false">+A156+1</f>
        <v>146</v>
      </c>
      <c r="B157" s="140"/>
      <c r="C157" s="99" t="n">
        <v>7</v>
      </c>
      <c r="D157" s="145" t="s">
        <v>167</v>
      </c>
      <c r="E157" s="145" t="s">
        <v>159</v>
      </c>
      <c r="F157" s="145" t="s">
        <v>50</v>
      </c>
      <c r="G157" s="92"/>
      <c r="H157" s="93"/>
      <c r="I157" s="93"/>
      <c r="J157" s="93"/>
      <c r="K157" s="93"/>
      <c r="L157" s="93"/>
      <c r="M157" s="94"/>
      <c r="N157" s="95" t="n">
        <v>1</v>
      </c>
      <c r="O157" s="95"/>
      <c r="P157" s="96"/>
      <c r="Q157" s="97"/>
      <c r="R157" s="98"/>
    </row>
    <row r="158" customFormat="false" ht="23.1" hidden="false" customHeight="false" outlineLevel="0" collapsed="false">
      <c r="A158" s="88" t="n">
        <f aca="false">+A157+1</f>
        <v>147</v>
      </c>
      <c r="B158" s="140"/>
      <c r="C158" s="99" t="n">
        <v>7</v>
      </c>
      <c r="D158" s="145" t="s">
        <v>167</v>
      </c>
      <c r="E158" s="145" t="s">
        <v>159</v>
      </c>
      <c r="F158" s="145" t="s">
        <v>50</v>
      </c>
      <c r="G158" s="92"/>
      <c r="H158" s="93"/>
      <c r="I158" s="93"/>
      <c r="J158" s="93"/>
      <c r="K158" s="93"/>
      <c r="L158" s="93"/>
      <c r="M158" s="94"/>
      <c r="N158" s="95" t="n">
        <v>1</v>
      </c>
      <c r="O158" s="95"/>
      <c r="P158" s="96"/>
      <c r="Q158" s="97"/>
      <c r="R158" s="98"/>
    </row>
    <row r="159" customFormat="false" ht="23.1" hidden="false" customHeight="false" outlineLevel="0" collapsed="false">
      <c r="A159" s="88" t="n">
        <f aca="false">+A158+1</f>
        <v>148</v>
      </c>
      <c r="B159" s="140"/>
      <c r="C159" s="99" t="n">
        <v>7</v>
      </c>
      <c r="D159" s="145" t="s">
        <v>167</v>
      </c>
      <c r="E159" s="145" t="s">
        <v>159</v>
      </c>
      <c r="F159" s="145" t="s">
        <v>50</v>
      </c>
      <c r="G159" s="92"/>
      <c r="H159" s="93"/>
      <c r="I159" s="93"/>
      <c r="J159" s="93"/>
      <c r="K159" s="93"/>
      <c r="L159" s="93"/>
      <c r="M159" s="94"/>
      <c r="N159" s="95" t="n">
        <v>1</v>
      </c>
      <c r="O159" s="95"/>
      <c r="P159" s="96"/>
      <c r="Q159" s="97"/>
      <c r="R159" s="98"/>
    </row>
    <row r="160" customFormat="false" ht="23.1" hidden="false" customHeight="false" outlineLevel="0" collapsed="false">
      <c r="A160" s="88" t="n">
        <f aca="false">+A159+1</f>
        <v>149</v>
      </c>
      <c r="B160" s="140"/>
      <c r="C160" s="99" t="n">
        <v>7</v>
      </c>
      <c r="D160" s="145" t="s">
        <v>167</v>
      </c>
      <c r="E160" s="145" t="s">
        <v>159</v>
      </c>
      <c r="F160" s="145" t="s">
        <v>50</v>
      </c>
      <c r="G160" s="92"/>
      <c r="H160" s="93"/>
      <c r="I160" s="93"/>
      <c r="J160" s="93"/>
      <c r="K160" s="93"/>
      <c r="L160" s="93"/>
      <c r="M160" s="94"/>
      <c r="N160" s="95" t="n">
        <v>1</v>
      </c>
      <c r="O160" s="95"/>
      <c r="P160" s="96"/>
      <c r="Q160" s="97"/>
      <c r="R160" s="98"/>
    </row>
    <row r="161" customFormat="false" ht="23.1" hidden="false" customHeight="false" outlineLevel="0" collapsed="false">
      <c r="A161" s="88" t="n">
        <f aca="false">+A160+1</f>
        <v>150</v>
      </c>
      <c r="B161" s="140"/>
      <c r="C161" s="99" t="n">
        <v>7</v>
      </c>
      <c r="D161" s="145" t="s">
        <v>167</v>
      </c>
      <c r="E161" s="145" t="s">
        <v>159</v>
      </c>
      <c r="F161" s="145" t="s">
        <v>50</v>
      </c>
      <c r="G161" s="92"/>
      <c r="H161" s="93"/>
      <c r="I161" s="93"/>
      <c r="J161" s="93"/>
      <c r="K161" s="93"/>
      <c r="L161" s="93"/>
      <c r="M161" s="94"/>
      <c r="N161" s="95" t="n">
        <v>1</v>
      </c>
      <c r="O161" s="95"/>
      <c r="P161" s="96"/>
      <c r="Q161" s="97"/>
      <c r="R161" s="98"/>
    </row>
    <row r="162" customFormat="false" ht="23.1" hidden="false" customHeight="false" outlineLevel="0" collapsed="false">
      <c r="A162" s="88" t="n">
        <f aca="false">+A161+1</f>
        <v>151</v>
      </c>
      <c r="B162" s="140"/>
      <c r="C162" s="99" t="n">
        <v>7</v>
      </c>
      <c r="D162" s="145" t="s">
        <v>167</v>
      </c>
      <c r="E162" s="145" t="s">
        <v>159</v>
      </c>
      <c r="F162" s="145" t="s">
        <v>50</v>
      </c>
      <c r="G162" s="92"/>
      <c r="H162" s="93"/>
      <c r="I162" s="93"/>
      <c r="J162" s="93"/>
      <c r="K162" s="93"/>
      <c r="L162" s="93"/>
      <c r="M162" s="94"/>
      <c r="N162" s="95" t="n">
        <v>1</v>
      </c>
      <c r="O162" s="95"/>
      <c r="P162" s="96"/>
      <c r="Q162" s="97"/>
      <c r="R162" s="98"/>
    </row>
    <row r="163" customFormat="false" ht="23.1" hidden="false" customHeight="false" outlineLevel="0" collapsed="false">
      <c r="A163" s="88" t="n">
        <f aca="false">+A162+1</f>
        <v>152</v>
      </c>
      <c r="B163" s="140"/>
      <c r="C163" s="99" t="n">
        <v>7</v>
      </c>
      <c r="D163" s="145" t="s">
        <v>167</v>
      </c>
      <c r="E163" s="145" t="s">
        <v>159</v>
      </c>
      <c r="F163" s="145" t="s">
        <v>50</v>
      </c>
      <c r="G163" s="92"/>
      <c r="H163" s="93"/>
      <c r="I163" s="93"/>
      <c r="J163" s="93"/>
      <c r="K163" s="93"/>
      <c r="L163" s="93"/>
      <c r="M163" s="94"/>
      <c r="N163" s="95" t="n">
        <v>1</v>
      </c>
      <c r="O163" s="95"/>
      <c r="P163" s="96"/>
      <c r="Q163" s="97"/>
      <c r="R163" s="98"/>
    </row>
    <row r="164" customFormat="false" ht="23.1" hidden="false" customHeight="false" outlineLevel="0" collapsed="false">
      <c r="A164" s="88" t="n">
        <f aca="false">+A163+1</f>
        <v>153</v>
      </c>
      <c r="B164" s="140"/>
      <c r="C164" s="99" t="n">
        <v>7</v>
      </c>
      <c r="D164" s="145" t="s">
        <v>167</v>
      </c>
      <c r="E164" s="145" t="s">
        <v>159</v>
      </c>
      <c r="F164" s="145" t="s">
        <v>50</v>
      </c>
      <c r="G164" s="92"/>
      <c r="H164" s="93"/>
      <c r="I164" s="93"/>
      <c r="J164" s="93"/>
      <c r="K164" s="93"/>
      <c r="L164" s="93"/>
      <c r="M164" s="94"/>
      <c r="N164" s="95" t="n">
        <v>1</v>
      </c>
      <c r="O164" s="95"/>
      <c r="P164" s="96"/>
      <c r="Q164" s="97"/>
      <c r="R164" s="98"/>
    </row>
    <row r="165" customFormat="false" ht="23.1" hidden="false" customHeight="false" outlineLevel="0" collapsed="false">
      <c r="A165" s="88" t="n">
        <f aca="false">+A164+1</f>
        <v>154</v>
      </c>
      <c r="B165" s="140"/>
      <c r="C165" s="99" t="n">
        <v>7</v>
      </c>
      <c r="D165" s="145" t="s">
        <v>167</v>
      </c>
      <c r="E165" s="145" t="s">
        <v>159</v>
      </c>
      <c r="F165" s="145" t="s">
        <v>50</v>
      </c>
      <c r="G165" s="92"/>
      <c r="H165" s="93"/>
      <c r="I165" s="93"/>
      <c r="J165" s="93"/>
      <c r="K165" s="93"/>
      <c r="L165" s="93"/>
      <c r="M165" s="94"/>
      <c r="N165" s="95" t="n">
        <v>1</v>
      </c>
      <c r="O165" s="95"/>
      <c r="P165" s="96"/>
      <c r="Q165" s="97"/>
      <c r="R165" s="98"/>
    </row>
    <row r="166" customFormat="false" ht="23.1" hidden="false" customHeight="false" outlineLevel="0" collapsed="false">
      <c r="A166" s="88" t="n">
        <f aca="false">+A165+1</f>
        <v>155</v>
      </c>
      <c r="B166" s="140"/>
      <c r="C166" s="99" t="n">
        <v>7</v>
      </c>
      <c r="D166" s="145" t="s">
        <v>167</v>
      </c>
      <c r="E166" s="145" t="s">
        <v>159</v>
      </c>
      <c r="F166" s="145" t="s">
        <v>50</v>
      </c>
      <c r="G166" s="92"/>
      <c r="H166" s="93"/>
      <c r="I166" s="93"/>
      <c r="J166" s="93"/>
      <c r="K166" s="93"/>
      <c r="L166" s="93"/>
      <c r="M166" s="94"/>
      <c r="N166" s="95" t="n">
        <v>1</v>
      </c>
      <c r="O166" s="95"/>
      <c r="P166" s="96"/>
      <c r="Q166" s="97"/>
      <c r="R166" s="98"/>
    </row>
    <row r="167" customFormat="false" ht="23.1" hidden="false" customHeight="false" outlineLevel="0" collapsed="false">
      <c r="A167" s="88" t="n">
        <f aca="false">+A166+1</f>
        <v>156</v>
      </c>
      <c r="B167" s="140"/>
      <c r="C167" s="99" t="n">
        <v>7</v>
      </c>
      <c r="D167" s="145" t="s">
        <v>167</v>
      </c>
      <c r="E167" s="145" t="s">
        <v>159</v>
      </c>
      <c r="F167" s="145" t="s">
        <v>50</v>
      </c>
      <c r="G167" s="92"/>
      <c r="H167" s="93"/>
      <c r="I167" s="93"/>
      <c r="J167" s="93"/>
      <c r="K167" s="93"/>
      <c r="L167" s="93"/>
      <c r="M167" s="94"/>
      <c r="N167" s="95" t="n">
        <v>1</v>
      </c>
      <c r="O167" s="95"/>
      <c r="P167" s="96"/>
      <c r="Q167" s="97"/>
      <c r="R167" s="98"/>
    </row>
    <row r="168" customFormat="false" ht="23.1" hidden="false" customHeight="false" outlineLevel="0" collapsed="false">
      <c r="A168" s="88" t="n">
        <f aca="false">+A167+1</f>
        <v>157</v>
      </c>
      <c r="B168" s="140"/>
      <c r="C168" s="99" t="n">
        <v>7</v>
      </c>
      <c r="D168" s="145" t="s">
        <v>167</v>
      </c>
      <c r="E168" s="145" t="s">
        <v>159</v>
      </c>
      <c r="F168" s="145" t="s">
        <v>50</v>
      </c>
      <c r="G168" s="92"/>
      <c r="H168" s="93"/>
      <c r="I168" s="93"/>
      <c r="J168" s="93"/>
      <c r="K168" s="93"/>
      <c r="L168" s="93"/>
      <c r="M168" s="94"/>
      <c r="N168" s="95" t="n">
        <v>1</v>
      </c>
      <c r="O168" s="95"/>
      <c r="P168" s="96"/>
      <c r="Q168" s="97"/>
      <c r="R168" s="98"/>
    </row>
    <row r="169" customFormat="false" ht="23.1" hidden="false" customHeight="false" outlineLevel="0" collapsed="false">
      <c r="A169" s="88" t="n">
        <f aca="false">+A168+1</f>
        <v>158</v>
      </c>
      <c r="B169" s="140"/>
      <c r="C169" s="99" t="n">
        <v>7</v>
      </c>
      <c r="D169" s="145" t="s">
        <v>167</v>
      </c>
      <c r="E169" s="145" t="s">
        <v>159</v>
      </c>
      <c r="F169" s="145" t="s">
        <v>50</v>
      </c>
      <c r="G169" s="92"/>
      <c r="H169" s="93"/>
      <c r="I169" s="93"/>
      <c r="J169" s="93"/>
      <c r="K169" s="93"/>
      <c r="L169" s="93"/>
      <c r="M169" s="94"/>
      <c r="N169" s="95" t="n">
        <v>1</v>
      </c>
      <c r="O169" s="95"/>
      <c r="P169" s="96"/>
      <c r="Q169" s="97"/>
      <c r="R169" s="98"/>
    </row>
    <row r="170" customFormat="false" ht="23.1" hidden="false" customHeight="false" outlineLevel="0" collapsed="false">
      <c r="A170" s="88" t="n">
        <f aca="false">+A169+1</f>
        <v>159</v>
      </c>
      <c r="B170" s="140"/>
      <c r="C170" s="99" t="n">
        <v>7</v>
      </c>
      <c r="D170" s="145" t="s">
        <v>167</v>
      </c>
      <c r="E170" s="145" t="s">
        <v>159</v>
      </c>
      <c r="F170" s="145" t="s">
        <v>50</v>
      </c>
      <c r="G170" s="92"/>
      <c r="H170" s="93"/>
      <c r="I170" s="93"/>
      <c r="J170" s="93"/>
      <c r="K170" s="93"/>
      <c r="L170" s="93"/>
      <c r="M170" s="94"/>
      <c r="N170" s="95" t="n">
        <v>1</v>
      </c>
      <c r="O170" s="95"/>
      <c r="P170" s="96"/>
      <c r="Q170" s="97"/>
      <c r="R170" s="98"/>
    </row>
    <row r="171" customFormat="false" ht="23.1" hidden="false" customHeight="false" outlineLevel="0" collapsed="false">
      <c r="A171" s="88" t="n">
        <f aca="false">+A170+1</f>
        <v>160</v>
      </c>
      <c r="B171" s="140"/>
      <c r="C171" s="99" t="n">
        <v>7</v>
      </c>
      <c r="D171" s="145" t="s">
        <v>167</v>
      </c>
      <c r="E171" s="145" t="s">
        <v>159</v>
      </c>
      <c r="F171" s="145" t="s">
        <v>50</v>
      </c>
      <c r="G171" s="92"/>
      <c r="H171" s="93"/>
      <c r="I171" s="93"/>
      <c r="J171" s="93"/>
      <c r="K171" s="93"/>
      <c r="L171" s="93"/>
      <c r="M171" s="94"/>
      <c r="N171" s="95" t="n">
        <v>1</v>
      </c>
      <c r="O171" s="95"/>
      <c r="P171" s="96"/>
      <c r="Q171" s="97"/>
      <c r="R171" s="98"/>
    </row>
    <row r="172" customFormat="false" ht="23.1" hidden="false" customHeight="false" outlineLevel="0" collapsed="false">
      <c r="A172" s="88" t="n">
        <f aca="false">+A171+1</f>
        <v>161</v>
      </c>
      <c r="B172" s="140"/>
      <c r="C172" s="99" t="n">
        <v>7</v>
      </c>
      <c r="D172" s="145" t="s">
        <v>167</v>
      </c>
      <c r="E172" s="145" t="s">
        <v>159</v>
      </c>
      <c r="F172" s="145" t="s">
        <v>50</v>
      </c>
      <c r="G172" s="92"/>
      <c r="H172" s="93"/>
      <c r="I172" s="93"/>
      <c r="J172" s="93"/>
      <c r="K172" s="93"/>
      <c r="L172" s="93"/>
      <c r="M172" s="94"/>
      <c r="N172" s="95" t="n">
        <v>1</v>
      </c>
      <c r="O172" s="95"/>
      <c r="P172" s="96"/>
      <c r="Q172" s="97"/>
      <c r="R172" s="98"/>
    </row>
    <row r="173" customFormat="false" ht="23.1" hidden="false" customHeight="false" outlineLevel="0" collapsed="false">
      <c r="A173" s="88" t="n">
        <f aca="false">+A172+1</f>
        <v>162</v>
      </c>
      <c r="B173" s="140"/>
      <c r="C173" s="99" t="n">
        <v>7</v>
      </c>
      <c r="D173" s="145" t="s">
        <v>167</v>
      </c>
      <c r="E173" s="145" t="s">
        <v>159</v>
      </c>
      <c r="F173" s="145" t="s">
        <v>50</v>
      </c>
      <c r="G173" s="92"/>
      <c r="H173" s="93"/>
      <c r="I173" s="93"/>
      <c r="J173" s="93"/>
      <c r="K173" s="93"/>
      <c r="L173" s="93"/>
      <c r="M173" s="94"/>
      <c r="N173" s="95" t="n">
        <v>1</v>
      </c>
      <c r="O173" s="95"/>
      <c r="P173" s="96"/>
      <c r="Q173" s="97"/>
      <c r="R173" s="98"/>
    </row>
    <row r="174" customFormat="false" ht="23.1" hidden="false" customHeight="false" outlineLevel="0" collapsed="false">
      <c r="A174" s="88" t="n">
        <f aca="false">+A173+1</f>
        <v>163</v>
      </c>
      <c r="B174" s="140"/>
      <c r="C174" s="99" t="n">
        <v>7</v>
      </c>
      <c r="D174" s="145" t="s">
        <v>167</v>
      </c>
      <c r="E174" s="145" t="s">
        <v>159</v>
      </c>
      <c r="F174" s="145" t="s">
        <v>50</v>
      </c>
      <c r="G174" s="92"/>
      <c r="H174" s="93"/>
      <c r="I174" s="93"/>
      <c r="J174" s="93"/>
      <c r="K174" s="93"/>
      <c r="L174" s="93"/>
      <c r="M174" s="94"/>
      <c r="N174" s="95" t="n">
        <v>1</v>
      </c>
      <c r="O174" s="95"/>
      <c r="P174" s="96"/>
      <c r="Q174" s="97"/>
      <c r="R174" s="98"/>
    </row>
    <row r="175" customFormat="false" ht="23.1" hidden="false" customHeight="false" outlineLevel="0" collapsed="false">
      <c r="A175" s="88" t="n">
        <f aca="false">+A174+1</f>
        <v>164</v>
      </c>
      <c r="B175" s="140"/>
      <c r="C175" s="99" t="n">
        <v>7</v>
      </c>
      <c r="D175" s="145" t="s">
        <v>167</v>
      </c>
      <c r="E175" s="145" t="s">
        <v>159</v>
      </c>
      <c r="F175" s="145" t="s">
        <v>50</v>
      </c>
      <c r="G175" s="92"/>
      <c r="H175" s="93"/>
      <c r="I175" s="93"/>
      <c r="J175" s="93"/>
      <c r="K175" s="93"/>
      <c r="L175" s="93"/>
      <c r="M175" s="94"/>
      <c r="N175" s="95" t="n">
        <v>1</v>
      </c>
      <c r="O175" s="95"/>
      <c r="P175" s="96"/>
      <c r="Q175" s="97"/>
      <c r="R175" s="98"/>
    </row>
    <row r="176" customFormat="false" ht="23.1" hidden="false" customHeight="false" outlineLevel="0" collapsed="false">
      <c r="A176" s="88" t="n">
        <f aca="false">+A175+1</f>
        <v>165</v>
      </c>
      <c r="B176" s="140"/>
      <c r="C176" s="99" t="n">
        <v>7</v>
      </c>
      <c r="D176" s="145" t="s">
        <v>167</v>
      </c>
      <c r="E176" s="145" t="s">
        <v>159</v>
      </c>
      <c r="F176" s="145" t="s">
        <v>50</v>
      </c>
      <c r="G176" s="92"/>
      <c r="H176" s="93"/>
      <c r="I176" s="93"/>
      <c r="J176" s="93"/>
      <c r="K176" s="93"/>
      <c r="L176" s="93"/>
      <c r="M176" s="94"/>
      <c r="N176" s="95" t="n">
        <v>1</v>
      </c>
      <c r="O176" s="95"/>
      <c r="P176" s="96"/>
      <c r="Q176" s="97"/>
      <c r="R176" s="98"/>
    </row>
    <row r="177" customFormat="false" ht="23.1" hidden="false" customHeight="false" outlineLevel="0" collapsed="false">
      <c r="A177" s="88" t="n">
        <f aca="false">+A176+1</f>
        <v>166</v>
      </c>
      <c r="B177" s="140"/>
      <c r="C177" s="99" t="n">
        <v>7</v>
      </c>
      <c r="D177" s="145" t="s">
        <v>167</v>
      </c>
      <c r="E177" s="145" t="s">
        <v>159</v>
      </c>
      <c r="F177" s="145" t="s">
        <v>50</v>
      </c>
      <c r="G177" s="92"/>
      <c r="H177" s="93"/>
      <c r="I177" s="93"/>
      <c r="J177" s="93"/>
      <c r="K177" s="93"/>
      <c r="L177" s="93"/>
      <c r="M177" s="94"/>
      <c r="N177" s="95" t="n">
        <v>1</v>
      </c>
      <c r="O177" s="95"/>
      <c r="P177" s="96"/>
      <c r="Q177" s="97"/>
      <c r="R177" s="98"/>
    </row>
    <row r="178" customFormat="false" ht="23.1" hidden="false" customHeight="false" outlineLevel="0" collapsed="false">
      <c r="A178" s="88" t="n">
        <f aca="false">+A177+1</f>
        <v>167</v>
      </c>
      <c r="B178" s="140"/>
      <c r="C178" s="99" t="n">
        <v>7</v>
      </c>
      <c r="D178" s="145" t="s">
        <v>167</v>
      </c>
      <c r="E178" s="145" t="s">
        <v>159</v>
      </c>
      <c r="F178" s="145" t="s">
        <v>50</v>
      </c>
      <c r="G178" s="92"/>
      <c r="H178" s="93"/>
      <c r="I178" s="93"/>
      <c r="J178" s="93"/>
      <c r="K178" s="93"/>
      <c r="L178" s="93"/>
      <c r="M178" s="94"/>
      <c r="N178" s="95" t="n">
        <v>1</v>
      </c>
      <c r="O178" s="95"/>
      <c r="P178" s="96"/>
      <c r="Q178" s="97"/>
      <c r="R178" s="98"/>
    </row>
    <row r="179" customFormat="false" ht="23.1" hidden="false" customHeight="false" outlineLevel="0" collapsed="false">
      <c r="A179" s="88" t="n">
        <f aca="false">+A178+1</f>
        <v>168</v>
      </c>
      <c r="B179" s="140"/>
      <c r="C179" s="99" t="n">
        <v>7</v>
      </c>
      <c r="D179" s="145" t="s">
        <v>167</v>
      </c>
      <c r="E179" s="145" t="s">
        <v>159</v>
      </c>
      <c r="F179" s="145" t="s">
        <v>50</v>
      </c>
      <c r="G179" s="92"/>
      <c r="H179" s="93"/>
      <c r="I179" s="93"/>
      <c r="J179" s="93"/>
      <c r="K179" s="93"/>
      <c r="L179" s="93"/>
      <c r="M179" s="94"/>
      <c r="N179" s="95" t="n">
        <v>1</v>
      </c>
      <c r="O179" s="95"/>
      <c r="P179" s="96"/>
      <c r="Q179" s="97"/>
      <c r="R179" s="98"/>
    </row>
    <row r="180" customFormat="false" ht="23.1" hidden="false" customHeight="false" outlineLevel="0" collapsed="false">
      <c r="A180" s="88" t="n">
        <f aca="false">+A179+1</f>
        <v>169</v>
      </c>
      <c r="B180" s="140"/>
      <c r="C180" s="99" t="n">
        <v>7</v>
      </c>
      <c r="D180" s="145" t="s">
        <v>167</v>
      </c>
      <c r="E180" s="145" t="s">
        <v>159</v>
      </c>
      <c r="F180" s="145" t="s">
        <v>50</v>
      </c>
      <c r="G180" s="92"/>
      <c r="H180" s="93"/>
      <c r="I180" s="93"/>
      <c r="J180" s="93"/>
      <c r="K180" s="93"/>
      <c r="L180" s="93"/>
      <c r="M180" s="94"/>
      <c r="N180" s="95" t="n">
        <v>1</v>
      </c>
      <c r="O180" s="95"/>
      <c r="P180" s="96"/>
      <c r="Q180" s="97"/>
      <c r="R180" s="98"/>
    </row>
    <row r="181" customFormat="false" ht="23.1" hidden="false" customHeight="false" outlineLevel="0" collapsed="false">
      <c r="A181" s="88" t="n">
        <f aca="false">+A180+1</f>
        <v>170</v>
      </c>
      <c r="B181" s="140"/>
      <c r="C181" s="99" t="n">
        <v>7</v>
      </c>
      <c r="D181" s="145" t="s">
        <v>167</v>
      </c>
      <c r="E181" s="145" t="s">
        <v>159</v>
      </c>
      <c r="F181" s="145" t="s">
        <v>50</v>
      </c>
      <c r="G181" s="92"/>
      <c r="H181" s="93"/>
      <c r="I181" s="93"/>
      <c r="J181" s="93"/>
      <c r="K181" s="93"/>
      <c r="L181" s="93"/>
      <c r="M181" s="94"/>
      <c r="N181" s="95" t="n">
        <v>1</v>
      </c>
      <c r="O181" s="95"/>
      <c r="P181" s="96"/>
      <c r="Q181" s="97"/>
      <c r="R181" s="98"/>
    </row>
    <row r="182" customFormat="false" ht="23.1" hidden="false" customHeight="false" outlineLevel="0" collapsed="false">
      <c r="A182" s="88" t="n">
        <f aca="false">+A181+1</f>
        <v>171</v>
      </c>
      <c r="B182" s="140"/>
      <c r="C182" s="99" t="n">
        <v>7</v>
      </c>
      <c r="D182" s="145" t="s">
        <v>167</v>
      </c>
      <c r="E182" s="145" t="s">
        <v>159</v>
      </c>
      <c r="F182" s="145" t="s">
        <v>50</v>
      </c>
      <c r="G182" s="92"/>
      <c r="H182" s="93"/>
      <c r="I182" s="93"/>
      <c r="J182" s="93"/>
      <c r="K182" s="93"/>
      <c r="L182" s="93"/>
      <c r="M182" s="94"/>
      <c r="N182" s="95" t="n">
        <v>1</v>
      </c>
      <c r="O182" s="95"/>
      <c r="P182" s="96"/>
      <c r="Q182" s="97"/>
      <c r="R182" s="98"/>
    </row>
    <row r="183" customFormat="false" ht="23.1" hidden="false" customHeight="false" outlineLevel="0" collapsed="false">
      <c r="A183" s="88" t="n">
        <f aca="false">+A182+1</f>
        <v>172</v>
      </c>
      <c r="B183" s="140"/>
      <c r="C183" s="99" t="n">
        <v>7</v>
      </c>
      <c r="D183" s="145" t="s">
        <v>167</v>
      </c>
      <c r="E183" s="145" t="s">
        <v>159</v>
      </c>
      <c r="F183" s="145" t="s">
        <v>50</v>
      </c>
      <c r="G183" s="92"/>
      <c r="H183" s="93"/>
      <c r="I183" s="93"/>
      <c r="J183" s="93"/>
      <c r="K183" s="93"/>
      <c r="L183" s="93"/>
      <c r="M183" s="94"/>
      <c r="N183" s="95" t="n">
        <v>1</v>
      </c>
      <c r="O183" s="95"/>
      <c r="P183" s="96"/>
      <c r="Q183" s="97"/>
      <c r="R183" s="98"/>
    </row>
    <row r="184" customFormat="false" ht="23.1" hidden="false" customHeight="false" outlineLevel="0" collapsed="false">
      <c r="A184" s="88" t="n">
        <f aca="false">+A183+1</f>
        <v>173</v>
      </c>
      <c r="B184" s="140"/>
      <c r="C184" s="99" t="n">
        <v>7</v>
      </c>
      <c r="D184" s="145" t="s">
        <v>167</v>
      </c>
      <c r="E184" s="145" t="s">
        <v>159</v>
      </c>
      <c r="F184" s="145" t="s">
        <v>50</v>
      </c>
      <c r="G184" s="92"/>
      <c r="H184" s="93"/>
      <c r="I184" s="93"/>
      <c r="J184" s="93"/>
      <c r="K184" s="93"/>
      <c r="L184" s="93"/>
      <c r="M184" s="94"/>
      <c r="N184" s="95" t="n">
        <v>1</v>
      </c>
      <c r="O184" s="95"/>
      <c r="P184" s="96"/>
      <c r="Q184" s="97"/>
      <c r="R184" s="98"/>
    </row>
    <row r="185" customFormat="false" ht="23.1" hidden="false" customHeight="false" outlineLevel="0" collapsed="false">
      <c r="A185" s="88" t="n">
        <f aca="false">+A184+1</f>
        <v>174</v>
      </c>
      <c r="B185" s="140"/>
      <c r="C185" s="99" t="n">
        <v>7</v>
      </c>
      <c r="D185" s="145" t="s">
        <v>167</v>
      </c>
      <c r="E185" s="145" t="s">
        <v>159</v>
      </c>
      <c r="F185" s="145" t="s">
        <v>50</v>
      </c>
      <c r="G185" s="92"/>
      <c r="H185" s="93"/>
      <c r="I185" s="93"/>
      <c r="J185" s="93"/>
      <c r="K185" s="93"/>
      <c r="L185" s="93"/>
      <c r="M185" s="94"/>
      <c r="N185" s="95" t="n">
        <v>1</v>
      </c>
      <c r="O185" s="95"/>
      <c r="P185" s="96"/>
      <c r="Q185" s="97"/>
      <c r="R185" s="98"/>
    </row>
    <row r="186" customFormat="false" ht="23.1" hidden="false" customHeight="false" outlineLevel="0" collapsed="false">
      <c r="A186" s="88" t="n">
        <f aca="false">+A185+1</f>
        <v>175</v>
      </c>
      <c r="B186" s="140"/>
      <c r="C186" s="99" t="n">
        <v>7</v>
      </c>
      <c r="D186" s="145" t="s">
        <v>167</v>
      </c>
      <c r="E186" s="145" t="s">
        <v>159</v>
      </c>
      <c r="F186" s="145" t="s">
        <v>50</v>
      </c>
      <c r="G186" s="92"/>
      <c r="H186" s="93"/>
      <c r="I186" s="93"/>
      <c r="J186" s="93"/>
      <c r="K186" s="93"/>
      <c r="L186" s="93"/>
      <c r="M186" s="94"/>
      <c r="N186" s="95" t="n">
        <v>1</v>
      </c>
      <c r="O186" s="95"/>
      <c r="P186" s="96"/>
      <c r="Q186" s="97"/>
      <c r="R186" s="98"/>
    </row>
    <row r="187" customFormat="false" ht="23.1" hidden="false" customHeight="false" outlineLevel="0" collapsed="false">
      <c r="A187" s="88" t="n">
        <f aca="false">+A186+1</f>
        <v>176</v>
      </c>
      <c r="B187" s="140"/>
      <c r="C187" s="99" t="n">
        <v>7</v>
      </c>
      <c r="D187" s="145" t="s">
        <v>167</v>
      </c>
      <c r="E187" s="145" t="s">
        <v>159</v>
      </c>
      <c r="F187" s="145" t="s">
        <v>50</v>
      </c>
      <c r="G187" s="92"/>
      <c r="H187" s="93"/>
      <c r="I187" s="93"/>
      <c r="J187" s="93"/>
      <c r="K187" s="93"/>
      <c r="L187" s="93"/>
      <c r="M187" s="94"/>
      <c r="N187" s="95" t="n">
        <v>1</v>
      </c>
      <c r="O187" s="95"/>
      <c r="P187" s="96"/>
      <c r="Q187" s="97"/>
      <c r="R187" s="98"/>
    </row>
    <row r="188" customFormat="false" ht="23.1" hidden="false" customHeight="false" outlineLevel="0" collapsed="false">
      <c r="A188" s="88" t="n">
        <f aca="false">+A187+1</f>
        <v>177</v>
      </c>
      <c r="B188" s="140"/>
      <c r="C188" s="99" t="n">
        <v>7</v>
      </c>
      <c r="D188" s="145" t="s">
        <v>167</v>
      </c>
      <c r="E188" s="145" t="s">
        <v>159</v>
      </c>
      <c r="F188" s="145" t="s">
        <v>50</v>
      </c>
      <c r="G188" s="92"/>
      <c r="H188" s="93"/>
      <c r="I188" s="93"/>
      <c r="J188" s="93"/>
      <c r="K188" s="93"/>
      <c r="L188" s="93"/>
      <c r="M188" s="94"/>
      <c r="N188" s="95" t="n">
        <v>1</v>
      </c>
      <c r="O188" s="95"/>
      <c r="P188" s="96"/>
      <c r="Q188" s="97"/>
      <c r="R188" s="98"/>
    </row>
    <row r="189" customFormat="false" ht="23.1" hidden="false" customHeight="false" outlineLevel="0" collapsed="false">
      <c r="A189" s="88" t="n">
        <f aca="false">+A188+1</f>
        <v>178</v>
      </c>
      <c r="B189" s="140"/>
      <c r="C189" s="99" t="n">
        <v>7</v>
      </c>
      <c r="D189" s="145" t="s">
        <v>167</v>
      </c>
      <c r="E189" s="145" t="s">
        <v>159</v>
      </c>
      <c r="F189" s="145" t="s">
        <v>50</v>
      </c>
      <c r="G189" s="92"/>
      <c r="H189" s="93"/>
      <c r="I189" s="93"/>
      <c r="J189" s="93"/>
      <c r="K189" s="93"/>
      <c r="L189" s="93"/>
      <c r="M189" s="94"/>
      <c r="N189" s="95" t="n">
        <v>1</v>
      </c>
      <c r="O189" s="95"/>
      <c r="P189" s="96"/>
      <c r="Q189" s="97"/>
      <c r="R189" s="98"/>
    </row>
    <row r="190" customFormat="false" ht="23.1" hidden="false" customHeight="false" outlineLevel="0" collapsed="false">
      <c r="A190" s="88" t="n">
        <f aca="false">+A189+1</f>
        <v>179</v>
      </c>
      <c r="B190" s="140"/>
      <c r="C190" s="99" t="n">
        <v>7</v>
      </c>
      <c r="D190" s="145" t="s">
        <v>167</v>
      </c>
      <c r="E190" s="145" t="s">
        <v>159</v>
      </c>
      <c r="F190" s="145" t="s">
        <v>50</v>
      </c>
      <c r="G190" s="92"/>
      <c r="H190" s="93"/>
      <c r="I190" s="93"/>
      <c r="J190" s="93"/>
      <c r="K190" s="93"/>
      <c r="L190" s="93"/>
      <c r="M190" s="94"/>
      <c r="N190" s="95" t="n">
        <v>1</v>
      </c>
      <c r="O190" s="95"/>
      <c r="P190" s="96"/>
      <c r="Q190" s="97"/>
      <c r="R190" s="98"/>
    </row>
    <row r="191" customFormat="false" ht="23.1" hidden="false" customHeight="false" outlineLevel="0" collapsed="false">
      <c r="A191" s="88" t="n">
        <f aca="false">+A190+1</f>
        <v>180</v>
      </c>
      <c r="B191" s="140"/>
      <c r="C191" s="99" t="n">
        <v>7</v>
      </c>
      <c r="D191" s="145" t="s">
        <v>167</v>
      </c>
      <c r="E191" s="145" t="s">
        <v>159</v>
      </c>
      <c r="F191" s="145" t="s">
        <v>50</v>
      </c>
      <c r="G191" s="92"/>
      <c r="H191" s="93"/>
      <c r="I191" s="93"/>
      <c r="J191" s="93"/>
      <c r="K191" s="93"/>
      <c r="L191" s="93"/>
      <c r="M191" s="94"/>
      <c r="N191" s="95" t="n">
        <v>1</v>
      </c>
      <c r="O191" s="95"/>
      <c r="P191" s="96"/>
      <c r="Q191" s="97"/>
      <c r="R191" s="98"/>
    </row>
    <row r="192" customFormat="false" ht="23.1" hidden="false" customHeight="false" outlineLevel="0" collapsed="false">
      <c r="A192" s="88" t="n">
        <f aca="false">+A191+1</f>
        <v>181</v>
      </c>
      <c r="B192" s="140"/>
      <c r="C192" s="99" t="n">
        <v>7</v>
      </c>
      <c r="D192" s="145" t="s">
        <v>167</v>
      </c>
      <c r="E192" s="145" t="s">
        <v>159</v>
      </c>
      <c r="F192" s="145" t="s">
        <v>50</v>
      </c>
      <c r="G192" s="92"/>
      <c r="H192" s="93"/>
      <c r="I192" s="93"/>
      <c r="J192" s="93"/>
      <c r="K192" s="93"/>
      <c r="L192" s="93"/>
      <c r="M192" s="94"/>
      <c r="N192" s="95" t="n">
        <v>1</v>
      </c>
      <c r="O192" s="95"/>
      <c r="P192" s="96"/>
      <c r="Q192" s="97"/>
      <c r="R192" s="98"/>
    </row>
    <row r="193" customFormat="false" ht="23.1" hidden="false" customHeight="false" outlineLevel="0" collapsed="false">
      <c r="A193" s="88" t="n">
        <f aca="false">+A192+1</f>
        <v>182</v>
      </c>
      <c r="B193" s="140"/>
      <c r="C193" s="99" t="n">
        <v>7</v>
      </c>
      <c r="D193" s="145" t="s">
        <v>167</v>
      </c>
      <c r="E193" s="145" t="s">
        <v>159</v>
      </c>
      <c r="F193" s="145" t="s">
        <v>50</v>
      </c>
      <c r="G193" s="92"/>
      <c r="H193" s="93"/>
      <c r="I193" s="93"/>
      <c r="J193" s="93"/>
      <c r="K193" s="93"/>
      <c r="L193" s="93"/>
      <c r="M193" s="94"/>
      <c r="N193" s="95" t="n">
        <v>1</v>
      </c>
      <c r="O193" s="95"/>
      <c r="P193" s="96"/>
      <c r="Q193" s="97"/>
      <c r="R193" s="98"/>
    </row>
    <row r="194" customFormat="false" ht="23.1" hidden="false" customHeight="false" outlineLevel="0" collapsed="false">
      <c r="A194" s="88" t="n">
        <f aca="false">+A193+1</f>
        <v>183</v>
      </c>
      <c r="B194" s="140"/>
      <c r="C194" s="99" t="n">
        <v>7</v>
      </c>
      <c r="D194" s="145" t="s">
        <v>167</v>
      </c>
      <c r="E194" s="145" t="s">
        <v>159</v>
      </c>
      <c r="F194" s="145" t="s">
        <v>50</v>
      </c>
      <c r="G194" s="92"/>
      <c r="H194" s="93"/>
      <c r="I194" s="93"/>
      <c r="J194" s="93"/>
      <c r="K194" s="93"/>
      <c r="L194" s="93"/>
      <c r="M194" s="94"/>
      <c r="N194" s="95" t="n">
        <v>1</v>
      </c>
      <c r="O194" s="95"/>
      <c r="P194" s="96"/>
      <c r="Q194" s="97"/>
      <c r="R194" s="98"/>
    </row>
    <row r="195" customFormat="false" ht="23.1" hidden="false" customHeight="false" outlineLevel="0" collapsed="false">
      <c r="A195" s="88" t="n">
        <f aca="false">+A194+1</f>
        <v>184</v>
      </c>
      <c r="B195" s="140"/>
      <c r="C195" s="99" t="n">
        <v>7</v>
      </c>
      <c r="D195" s="145" t="s">
        <v>167</v>
      </c>
      <c r="E195" s="145" t="s">
        <v>159</v>
      </c>
      <c r="F195" s="145" t="s">
        <v>50</v>
      </c>
      <c r="G195" s="92"/>
      <c r="H195" s="93"/>
      <c r="I195" s="93"/>
      <c r="J195" s="93"/>
      <c r="K195" s="93"/>
      <c r="L195" s="93"/>
      <c r="M195" s="94"/>
      <c r="N195" s="95" t="n">
        <v>1</v>
      </c>
      <c r="O195" s="95"/>
      <c r="P195" s="96"/>
      <c r="Q195" s="97"/>
      <c r="R195" s="98"/>
    </row>
    <row r="196" customFormat="false" ht="23.1" hidden="false" customHeight="false" outlineLevel="0" collapsed="false">
      <c r="A196" s="88" t="n">
        <f aca="false">+A195+1</f>
        <v>185</v>
      </c>
      <c r="B196" s="140"/>
      <c r="C196" s="99" t="n">
        <v>7</v>
      </c>
      <c r="D196" s="145" t="s">
        <v>167</v>
      </c>
      <c r="E196" s="145" t="s">
        <v>159</v>
      </c>
      <c r="F196" s="145" t="s">
        <v>50</v>
      </c>
      <c r="G196" s="92"/>
      <c r="H196" s="93"/>
      <c r="I196" s="93"/>
      <c r="J196" s="93"/>
      <c r="K196" s="93"/>
      <c r="L196" s="93"/>
      <c r="M196" s="94"/>
      <c r="N196" s="95" t="n">
        <v>1</v>
      </c>
      <c r="O196" s="95"/>
      <c r="P196" s="96"/>
      <c r="Q196" s="97"/>
      <c r="R196" s="98"/>
    </row>
    <row r="197" customFormat="false" ht="23.1" hidden="false" customHeight="false" outlineLevel="0" collapsed="false">
      <c r="A197" s="88" t="n">
        <f aca="false">+A196+1</f>
        <v>186</v>
      </c>
      <c r="B197" s="140"/>
      <c r="C197" s="99" t="n">
        <v>7</v>
      </c>
      <c r="D197" s="145" t="s">
        <v>167</v>
      </c>
      <c r="E197" s="145" t="s">
        <v>159</v>
      </c>
      <c r="F197" s="145" t="s">
        <v>50</v>
      </c>
      <c r="G197" s="92"/>
      <c r="H197" s="93"/>
      <c r="I197" s="93"/>
      <c r="J197" s="93"/>
      <c r="K197" s="93"/>
      <c r="L197" s="93"/>
      <c r="M197" s="94"/>
      <c r="N197" s="95" t="n">
        <v>1</v>
      </c>
      <c r="O197" s="95"/>
      <c r="P197" s="96"/>
      <c r="Q197" s="97"/>
      <c r="R197" s="98"/>
    </row>
    <row r="198" customFormat="false" ht="23.1" hidden="false" customHeight="false" outlineLevel="0" collapsed="false">
      <c r="A198" s="88" t="n">
        <f aca="false">+A197+1</f>
        <v>187</v>
      </c>
      <c r="B198" s="140"/>
      <c r="C198" s="99" t="n">
        <v>7</v>
      </c>
      <c r="D198" s="145" t="s">
        <v>167</v>
      </c>
      <c r="E198" s="145" t="s">
        <v>159</v>
      </c>
      <c r="F198" s="145" t="s">
        <v>50</v>
      </c>
      <c r="G198" s="92"/>
      <c r="H198" s="93"/>
      <c r="I198" s="93"/>
      <c r="J198" s="93"/>
      <c r="K198" s="93"/>
      <c r="L198" s="93"/>
      <c r="M198" s="94"/>
      <c r="N198" s="95" t="n">
        <v>1</v>
      </c>
      <c r="O198" s="95"/>
      <c r="P198" s="96"/>
      <c r="Q198" s="97"/>
      <c r="R198" s="98"/>
    </row>
    <row r="199" customFormat="false" ht="23.1" hidden="false" customHeight="false" outlineLevel="0" collapsed="false">
      <c r="A199" s="88" t="n">
        <f aca="false">+A198+1</f>
        <v>188</v>
      </c>
      <c r="B199" s="140"/>
      <c r="C199" s="99" t="n">
        <v>7</v>
      </c>
      <c r="D199" s="145" t="s">
        <v>167</v>
      </c>
      <c r="E199" s="145" t="s">
        <v>159</v>
      </c>
      <c r="F199" s="145" t="s">
        <v>50</v>
      </c>
      <c r="G199" s="92"/>
      <c r="H199" s="93"/>
      <c r="I199" s="93"/>
      <c r="J199" s="93"/>
      <c r="K199" s="93"/>
      <c r="L199" s="93"/>
      <c r="M199" s="94"/>
      <c r="N199" s="95" t="n">
        <v>1</v>
      </c>
      <c r="O199" s="95"/>
      <c r="P199" s="96"/>
      <c r="Q199" s="97"/>
      <c r="R199" s="98"/>
    </row>
    <row r="200" customFormat="false" ht="23.1" hidden="false" customHeight="false" outlineLevel="0" collapsed="false">
      <c r="A200" s="88" t="n">
        <f aca="false">+A199+1</f>
        <v>189</v>
      </c>
      <c r="B200" s="140"/>
      <c r="C200" s="99" t="n">
        <v>7</v>
      </c>
      <c r="D200" s="145" t="s">
        <v>167</v>
      </c>
      <c r="E200" s="145" t="s">
        <v>159</v>
      </c>
      <c r="F200" s="145" t="s">
        <v>50</v>
      </c>
      <c r="G200" s="92"/>
      <c r="H200" s="93"/>
      <c r="I200" s="93"/>
      <c r="J200" s="93"/>
      <c r="K200" s="93"/>
      <c r="L200" s="93"/>
      <c r="M200" s="94"/>
      <c r="N200" s="95" t="n">
        <v>1</v>
      </c>
      <c r="O200" s="95"/>
      <c r="P200" s="96"/>
      <c r="Q200" s="97"/>
      <c r="R200" s="98"/>
    </row>
    <row r="201" customFormat="false" ht="23.1" hidden="false" customHeight="false" outlineLevel="0" collapsed="false">
      <c r="A201" s="88" t="n">
        <f aca="false">+A200+1</f>
        <v>190</v>
      </c>
      <c r="B201" s="140"/>
      <c r="C201" s="99" t="n">
        <v>7</v>
      </c>
      <c r="D201" s="145" t="s">
        <v>167</v>
      </c>
      <c r="E201" s="145" t="s">
        <v>159</v>
      </c>
      <c r="F201" s="145" t="s">
        <v>50</v>
      </c>
      <c r="G201" s="92"/>
      <c r="H201" s="93"/>
      <c r="I201" s="93"/>
      <c r="J201" s="93"/>
      <c r="K201" s="93"/>
      <c r="L201" s="93"/>
      <c r="M201" s="94"/>
      <c r="N201" s="95" t="n">
        <v>1</v>
      </c>
      <c r="O201" s="95"/>
      <c r="P201" s="96"/>
      <c r="Q201" s="97"/>
      <c r="R201" s="98"/>
    </row>
    <row r="202" customFormat="false" ht="23.1" hidden="false" customHeight="false" outlineLevel="0" collapsed="false">
      <c r="A202" s="88" t="n">
        <f aca="false">+A201+1</f>
        <v>191</v>
      </c>
      <c r="B202" s="140"/>
      <c r="C202" s="99" t="n">
        <v>7</v>
      </c>
      <c r="D202" s="145" t="s">
        <v>167</v>
      </c>
      <c r="E202" s="145" t="s">
        <v>159</v>
      </c>
      <c r="F202" s="145" t="s">
        <v>50</v>
      </c>
      <c r="G202" s="92"/>
      <c r="H202" s="93"/>
      <c r="I202" s="93"/>
      <c r="J202" s="93"/>
      <c r="K202" s="93"/>
      <c r="L202" s="93"/>
      <c r="M202" s="94"/>
      <c r="N202" s="95" t="n">
        <v>1</v>
      </c>
      <c r="O202" s="95"/>
      <c r="P202" s="96"/>
      <c r="Q202" s="97"/>
      <c r="R202" s="98"/>
    </row>
    <row r="203" customFormat="false" ht="23.1" hidden="false" customHeight="false" outlineLevel="0" collapsed="false">
      <c r="A203" s="88" t="n">
        <f aca="false">+A202+1</f>
        <v>192</v>
      </c>
      <c r="B203" s="140"/>
      <c r="C203" s="99" t="n">
        <v>7</v>
      </c>
      <c r="D203" s="145" t="s">
        <v>167</v>
      </c>
      <c r="E203" s="145" t="s">
        <v>159</v>
      </c>
      <c r="F203" s="145" t="s">
        <v>50</v>
      </c>
      <c r="G203" s="92"/>
      <c r="H203" s="93"/>
      <c r="I203" s="93"/>
      <c r="J203" s="93"/>
      <c r="K203" s="93"/>
      <c r="L203" s="93"/>
      <c r="M203" s="94"/>
      <c r="N203" s="95" t="n">
        <v>1</v>
      </c>
      <c r="O203" s="95"/>
      <c r="P203" s="96"/>
      <c r="Q203" s="97"/>
      <c r="R203" s="98"/>
    </row>
    <row r="204" customFormat="false" ht="23.1" hidden="false" customHeight="false" outlineLevel="0" collapsed="false">
      <c r="A204" s="88" t="n">
        <f aca="false">+A203+1</f>
        <v>193</v>
      </c>
      <c r="B204" s="140"/>
      <c r="C204" s="99" t="n">
        <v>7</v>
      </c>
      <c r="D204" s="145" t="s">
        <v>167</v>
      </c>
      <c r="E204" s="145" t="s">
        <v>159</v>
      </c>
      <c r="F204" s="145" t="s">
        <v>50</v>
      </c>
      <c r="G204" s="92"/>
      <c r="H204" s="93"/>
      <c r="I204" s="93"/>
      <c r="J204" s="93"/>
      <c r="K204" s="93"/>
      <c r="L204" s="93"/>
      <c r="M204" s="94"/>
      <c r="N204" s="95" t="n">
        <v>1</v>
      </c>
      <c r="O204" s="95"/>
      <c r="P204" s="96"/>
      <c r="Q204" s="97"/>
      <c r="R204" s="98"/>
    </row>
    <row r="205" customFormat="false" ht="23.1" hidden="false" customHeight="false" outlineLevel="0" collapsed="false">
      <c r="A205" s="88" t="n">
        <f aca="false">+A204+1</f>
        <v>194</v>
      </c>
      <c r="B205" s="140"/>
      <c r="C205" s="99" t="n">
        <v>7</v>
      </c>
      <c r="D205" s="145" t="s">
        <v>167</v>
      </c>
      <c r="E205" s="145" t="s">
        <v>159</v>
      </c>
      <c r="F205" s="145" t="s">
        <v>50</v>
      </c>
      <c r="G205" s="92"/>
      <c r="H205" s="93"/>
      <c r="I205" s="93"/>
      <c r="J205" s="93"/>
      <c r="K205" s="93"/>
      <c r="L205" s="93"/>
      <c r="M205" s="94"/>
      <c r="N205" s="95" t="n">
        <v>1</v>
      </c>
      <c r="O205" s="95"/>
      <c r="P205" s="96"/>
      <c r="Q205" s="97"/>
      <c r="R205" s="98"/>
    </row>
    <row r="206" customFormat="false" ht="23.1" hidden="false" customHeight="false" outlineLevel="0" collapsed="false">
      <c r="A206" s="88" t="n">
        <f aca="false">+A205+1</f>
        <v>195</v>
      </c>
      <c r="B206" s="140"/>
      <c r="C206" s="99" t="n">
        <v>7</v>
      </c>
      <c r="D206" s="145" t="s">
        <v>167</v>
      </c>
      <c r="E206" s="145" t="s">
        <v>159</v>
      </c>
      <c r="F206" s="145" t="s">
        <v>50</v>
      </c>
      <c r="G206" s="92"/>
      <c r="H206" s="93"/>
      <c r="I206" s="93"/>
      <c r="J206" s="93"/>
      <c r="K206" s="93"/>
      <c r="L206" s="93"/>
      <c r="M206" s="94"/>
      <c r="N206" s="95" t="n">
        <v>1</v>
      </c>
      <c r="O206" s="95"/>
      <c r="P206" s="96"/>
      <c r="Q206" s="97"/>
      <c r="R206" s="98"/>
    </row>
    <row r="207" customFormat="false" ht="23.1" hidden="false" customHeight="false" outlineLevel="0" collapsed="false">
      <c r="A207" s="88" t="n">
        <f aca="false">+A206+1</f>
        <v>196</v>
      </c>
      <c r="B207" s="140"/>
      <c r="C207" s="99" t="n">
        <v>7</v>
      </c>
      <c r="D207" s="145" t="s">
        <v>167</v>
      </c>
      <c r="E207" s="145" t="s">
        <v>159</v>
      </c>
      <c r="F207" s="145" t="s">
        <v>50</v>
      </c>
      <c r="G207" s="92"/>
      <c r="H207" s="93"/>
      <c r="I207" s="93"/>
      <c r="J207" s="93"/>
      <c r="K207" s="93"/>
      <c r="L207" s="93"/>
      <c r="M207" s="94"/>
      <c r="N207" s="95" t="n">
        <v>1</v>
      </c>
      <c r="O207" s="95"/>
      <c r="P207" s="96"/>
      <c r="Q207" s="97"/>
      <c r="R207" s="98"/>
    </row>
    <row r="208" customFormat="false" ht="23.1" hidden="false" customHeight="false" outlineLevel="0" collapsed="false">
      <c r="A208" s="88" t="n">
        <f aca="false">+A207+1</f>
        <v>197</v>
      </c>
      <c r="B208" s="140"/>
      <c r="C208" s="99" t="n">
        <v>7</v>
      </c>
      <c r="D208" s="145" t="s">
        <v>167</v>
      </c>
      <c r="E208" s="145" t="s">
        <v>159</v>
      </c>
      <c r="F208" s="145" t="s">
        <v>50</v>
      </c>
      <c r="G208" s="92"/>
      <c r="H208" s="93"/>
      <c r="I208" s="93"/>
      <c r="J208" s="93"/>
      <c r="K208" s="93"/>
      <c r="L208" s="93"/>
      <c r="M208" s="94"/>
      <c r="N208" s="95" t="n">
        <v>1</v>
      </c>
      <c r="O208" s="95"/>
      <c r="P208" s="96"/>
      <c r="Q208" s="97"/>
      <c r="R208" s="98"/>
    </row>
    <row r="209" customFormat="false" ht="23.1" hidden="false" customHeight="false" outlineLevel="0" collapsed="false">
      <c r="A209" s="88" t="n">
        <f aca="false">+A208+1</f>
        <v>198</v>
      </c>
      <c r="B209" s="140"/>
      <c r="C209" s="99" t="n">
        <v>7</v>
      </c>
      <c r="D209" s="145" t="s">
        <v>167</v>
      </c>
      <c r="E209" s="145" t="s">
        <v>159</v>
      </c>
      <c r="F209" s="145" t="s">
        <v>50</v>
      </c>
      <c r="G209" s="92"/>
      <c r="H209" s="93"/>
      <c r="I209" s="93"/>
      <c r="J209" s="93"/>
      <c r="K209" s="93"/>
      <c r="L209" s="93"/>
      <c r="M209" s="94"/>
      <c r="N209" s="95" t="n">
        <v>1</v>
      </c>
      <c r="O209" s="95"/>
      <c r="P209" s="96"/>
      <c r="Q209" s="97"/>
      <c r="R209" s="98"/>
    </row>
    <row r="210" customFormat="false" ht="23.1" hidden="false" customHeight="false" outlineLevel="0" collapsed="false">
      <c r="A210" s="88" t="n">
        <f aca="false">+A209+1</f>
        <v>199</v>
      </c>
      <c r="B210" s="140"/>
      <c r="C210" s="99" t="n">
        <v>7</v>
      </c>
      <c r="D210" s="145" t="s">
        <v>167</v>
      </c>
      <c r="E210" s="145" t="s">
        <v>159</v>
      </c>
      <c r="F210" s="145" t="s">
        <v>50</v>
      </c>
      <c r="G210" s="92"/>
      <c r="H210" s="93"/>
      <c r="I210" s="93"/>
      <c r="J210" s="93"/>
      <c r="K210" s="93"/>
      <c r="L210" s="93"/>
      <c r="M210" s="94"/>
      <c r="N210" s="95" t="n">
        <v>1</v>
      </c>
      <c r="O210" s="95"/>
      <c r="P210" s="96"/>
      <c r="Q210" s="97"/>
      <c r="R210" s="98"/>
    </row>
    <row r="211" customFormat="false" ht="23.1" hidden="false" customHeight="false" outlineLevel="0" collapsed="false">
      <c r="A211" s="88" t="n">
        <f aca="false">+A210+1</f>
        <v>200</v>
      </c>
      <c r="B211" s="140"/>
      <c r="C211" s="99" t="n">
        <v>7</v>
      </c>
      <c r="D211" s="145" t="s">
        <v>167</v>
      </c>
      <c r="E211" s="145" t="s">
        <v>159</v>
      </c>
      <c r="F211" s="145" t="s">
        <v>50</v>
      </c>
      <c r="G211" s="92"/>
      <c r="H211" s="93"/>
      <c r="I211" s="93"/>
      <c r="J211" s="93"/>
      <c r="K211" s="93"/>
      <c r="L211" s="93"/>
      <c r="M211" s="94"/>
      <c r="N211" s="95" t="n">
        <v>1</v>
      </c>
      <c r="O211" s="95"/>
      <c r="P211" s="96"/>
      <c r="Q211" s="97"/>
      <c r="R211" s="98"/>
    </row>
    <row r="212" customFormat="false" ht="23.1" hidden="false" customHeight="false" outlineLevel="0" collapsed="false">
      <c r="A212" s="88" t="n">
        <f aca="false">+A211+1</f>
        <v>201</v>
      </c>
      <c r="B212" s="140"/>
      <c r="C212" s="99" t="n">
        <v>7</v>
      </c>
      <c r="D212" s="145" t="s">
        <v>167</v>
      </c>
      <c r="E212" s="145" t="s">
        <v>159</v>
      </c>
      <c r="F212" s="145" t="s">
        <v>50</v>
      </c>
      <c r="G212" s="92"/>
      <c r="H212" s="93"/>
      <c r="I212" s="93"/>
      <c r="J212" s="93"/>
      <c r="K212" s="93"/>
      <c r="L212" s="93"/>
      <c r="M212" s="94"/>
      <c r="N212" s="95" t="n">
        <v>1</v>
      </c>
      <c r="O212" s="95"/>
      <c r="P212" s="96"/>
      <c r="Q212" s="97"/>
      <c r="R212" s="98"/>
    </row>
    <row r="213" customFormat="false" ht="23.1" hidden="false" customHeight="false" outlineLevel="0" collapsed="false">
      <c r="A213" s="88" t="n">
        <f aca="false">+A212+1</f>
        <v>202</v>
      </c>
      <c r="B213" s="140"/>
      <c r="C213" s="99" t="n">
        <v>7</v>
      </c>
      <c r="D213" s="145" t="s">
        <v>167</v>
      </c>
      <c r="E213" s="145" t="s">
        <v>159</v>
      </c>
      <c r="F213" s="145" t="s">
        <v>50</v>
      </c>
      <c r="G213" s="92"/>
      <c r="H213" s="93"/>
      <c r="I213" s="93"/>
      <c r="J213" s="93"/>
      <c r="K213" s="93"/>
      <c r="L213" s="93"/>
      <c r="M213" s="94"/>
      <c r="N213" s="95" t="n">
        <v>1</v>
      </c>
      <c r="O213" s="95"/>
      <c r="P213" s="96"/>
      <c r="Q213" s="97"/>
      <c r="R213" s="98"/>
    </row>
    <row r="214" customFormat="false" ht="23.1" hidden="false" customHeight="false" outlineLevel="0" collapsed="false">
      <c r="A214" s="88" t="n">
        <f aca="false">+A213+1</f>
        <v>203</v>
      </c>
      <c r="B214" s="140"/>
      <c r="C214" s="99" t="n">
        <v>7</v>
      </c>
      <c r="D214" s="145" t="s">
        <v>167</v>
      </c>
      <c r="E214" s="145" t="s">
        <v>159</v>
      </c>
      <c r="F214" s="145" t="s">
        <v>50</v>
      </c>
      <c r="G214" s="92"/>
      <c r="H214" s="93"/>
      <c r="I214" s="93"/>
      <c r="J214" s="93"/>
      <c r="K214" s="93"/>
      <c r="L214" s="93"/>
      <c r="M214" s="94"/>
      <c r="N214" s="95" t="n">
        <v>1</v>
      </c>
      <c r="O214" s="95"/>
      <c r="P214" s="96"/>
      <c r="Q214" s="97"/>
      <c r="R214" s="98"/>
    </row>
    <row r="215" customFormat="false" ht="23.1" hidden="false" customHeight="false" outlineLevel="0" collapsed="false">
      <c r="A215" s="88" t="n">
        <f aca="false">+A214+1</f>
        <v>204</v>
      </c>
      <c r="B215" s="140"/>
      <c r="C215" s="99" t="n">
        <v>7</v>
      </c>
      <c r="D215" s="145" t="s">
        <v>167</v>
      </c>
      <c r="E215" s="145" t="s">
        <v>159</v>
      </c>
      <c r="F215" s="145" t="s">
        <v>50</v>
      </c>
      <c r="G215" s="92"/>
      <c r="H215" s="93"/>
      <c r="I215" s="93"/>
      <c r="J215" s="93"/>
      <c r="K215" s="93"/>
      <c r="L215" s="93"/>
      <c r="M215" s="94"/>
      <c r="N215" s="95" t="n">
        <v>1</v>
      </c>
      <c r="O215" s="95"/>
      <c r="P215" s="96"/>
      <c r="Q215" s="97"/>
      <c r="R215" s="98"/>
    </row>
    <row r="216" customFormat="false" ht="23.1" hidden="false" customHeight="false" outlineLevel="0" collapsed="false">
      <c r="A216" s="88" t="n">
        <f aca="false">+A215+1</f>
        <v>205</v>
      </c>
      <c r="B216" s="140"/>
      <c r="C216" s="99" t="n">
        <v>7</v>
      </c>
      <c r="D216" s="145" t="s">
        <v>167</v>
      </c>
      <c r="E216" s="145" t="s">
        <v>159</v>
      </c>
      <c r="F216" s="145" t="s">
        <v>50</v>
      </c>
      <c r="G216" s="92"/>
      <c r="H216" s="93"/>
      <c r="I216" s="93"/>
      <c r="J216" s="93"/>
      <c r="K216" s="93"/>
      <c r="L216" s="93"/>
      <c r="M216" s="94"/>
      <c r="N216" s="95" t="n">
        <v>1</v>
      </c>
      <c r="O216" s="95"/>
      <c r="P216" s="96"/>
      <c r="Q216" s="97"/>
      <c r="R216" s="98"/>
    </row>
    <row r="217" customFormat="false" ht="23.1" hidden="false" customHeight="false" outlineLevel="0" collapsed="false">
      <c r="A217" s="88" t="n">
        <f aca="false">+A216+1</f>
        <v>206</v>
      </c>
      <c r="B217" s="140"/>
      <c r="C217" s="99" t="n">
        <v>7</v>
      </c>
      <c r="D217" s="145" t="s">
        <v>167</v>
      </c>
      <c r="E217" s="145" t="s">
        <v>159</v>
      </c>
      <c r="F217" s="145" t="s">
        <v>50</v>
      </c>
      <c r="G217" s="92"/>
      <c r="H217" s="93"/>
      <c r="I217" s="93"/>
      <c r="J217" s="93"/>
      <c r="K217" s="93"/>
      <c r="L217" s="93"/>
      <c r="M217" s="94"/>
      <c r="N217" s="95" t="n">
        <v>1</v>
      </c>
      <c r="O217" s="95"/>
      <c r="P217" s="96"/>
      <c r="Q217" s="97"/>
      <c r="R217" s="98"/>
    </row>
    <row r="218" customFormat="false" ht="23.1" hidden="false" customHeight="false" outlineLevel="0" collapsed="false">
      <c r="A218" s="88" t="n">
        <f aca="false">+A217+1</f>
        <v>207</v>
      </c>
      <c r="B218" s="140"/>
      <c r="C218" s="99" t="n">
        <v>7</v>
      </c>
      <c r="D218" s="145" t="s">
        <v>167</v>
      </c>
      <c r="E218" s="145" t="s">
        <v>159</v>
      </c>
      <c r="F218" s="145" t="s">
        <v>50</v>
      </c>
      <c r="G218" s="92"/>
      <c r="H218" s="93"/>
      <c r="I218" s="93"/>
      <c r="J218" s="93"/>
      <c r="K218" s="93"/>
      <c r="L218" s="93"/>
      <c r="M218" s="94"/>
      <c r="N218" s="95" t="n">
        <v>1</v>
      </c>
      <c r="O218" s="95"/>
      <c r="P218" s="96"/>
      <c r="Q218" s="97"/>
      <c r="R218" s="98"/>
    </row>
    <row r="219" customFormat="false" ht="23.1" hidden="false" customHeight="false" outlineLevel="0" collapsed="false">
      <c r="A219" s="88" t="n">
        <f aca="false">+A218+1</f>
        <v>208</v>
      </c>
      <c r="B219" s="140"/>
      <c r="C219" s="99" t="n">
        <v>7</v>
      </c>
      <c r="D219" s="145" t="s">
        <v>167</v>
      </c>
      <c r="E219" s="145" t="s">
        <v>159</v>
      </c>
      <c r="F219" s="145" t="s">
        <v>50</v>
      </c>
      <c r="G219" s="92"/>
      <c r="H219" s="93"/>
      <c r="I219" s="93"/>
      <c r="J219" s="93"/>
      <c r="K219" s="93"/>
      <c r="L219" s="93"/>
      <c r="M219" s="94"/>
      <c r="N219" s="95" t="n">
        <v>1</v>
      </c>
      <c r="O219" s="95"/>
      <c r="P219" s="96"/>
      <c r="Q219" s="97"/>
      <c r="R219" s="98"/>
    </row>
    <row r="220" customFormat="false" ht="23.1" hidden="false" customHeight="false" outlineLevel="0" collapsed="false">
      <c r="A220" s="88" t="n">
        <f aca="false">+A219+1</f>
        <v>209</v>
      </c>
      <c r="B220" s="140"/>
      <c r="C220" s="99" t="n">
        <v>7</v>
      </c>
      <c r="D220" s="145" t="s">
        <v>167</v>
      </c>
      <c r="E220" s="145" t="s">
        <v>159</v>
      </c>
      <c r="F220" s="145" t="s">
        <v>50</v>
      </c>
      <c r="G220" s="92"/>
      <c r="H220" s="93"/>
      <c r="I220" s="93"/>
      <c r="J220" s="93"/>
      <c r="K220" s="93"/>
      <c r="L220" s="93"/>
      <c r="M220" s="94"/>
      <c r="N220" s="95" t="n">
        <v>1</v>
      </c>
      <c r="O220" s="95"/>
      <c r="P220" s="96"/>
      <c r="Q220" s="97"/>
      <c r="R220" s="98"/>
    </row>
    <row r="221" customFormat="false" ht="23.1" hidden="false" customHeight="false" outlineLevel="0" collapsed="false">
      <c r="A221" s="88" t="n">
        <f aca="false">+A220+1</f>
        <v>210</v>
      </c>
      <c r="B221" s="140"/>
      <c r="C221" s="99" t="n">
        <v>7</v>
      </c>
      <c r="D221" s="145" t="s">
        <v>167</v>
      </c>
      <c r="E221" s="145" t="s">
        <v>159</v>
      </c>
      <c r="F221" s="145" t="s">
        <v>50</v>
      </c>
      <c r="G221" s="92"/>
      <c r="H221" s="93"/>
      <c r="I221" s="93"/>
      <c r="J221" s="93"/>
      <c r="K221" s="93"/>
      <c r="L221" s="93"/>
      <c r="M221" s="94"/>
      <c r="N221" s="95" t="n">
        <v>1</v>
      </c>
      <c r="O221" s="95"/>
      <c r="P221" s="96"/>
      <c r="Q221" s="97"/>
      <c r="R221" s="98"/>
    </row>
    <row r="222" customFormat="false" ht="23.1" hidden="false" customHeight="false" outlineLevel="0" collapsed="false">
      <c r="A222" s="88" t="n">
        <f aca="false">+A221+1</f>
        <v>211</v>
      </c>
      <c r="B222" s="140"/>
      <c r="C222" s="99" t="n">
        <v>7</v>
      </c>
      <c r="D222" s="145" t="s">
        <v>167</v>
      </c>
      <c r="E222" s="145" t="s">
        <v>159</v>
      </c>
      <c r="F222" s="145" t="s">
        <v>50</v>
      </c>
      <c r="G222" s="92"/>
      <c r="H222" s="93"/>
      <c r="I222" s="93"/>
      <c r="J222" s="93"/>
      <c r="K222" s="93"/>
      <c r="L222" s="93"/>
      <c r="M222" s="94"/>
      <c r="N222" s="95" t="n">
        <v>1</v>
      </c>
      <c r="O222" s="95"/>
      <c r="P222" s="96"/>
      <c r="Q222" s="97"/>
      <c r="R222" s="98"/>
    </row>
    <row r="223" customFormat="false" ht="23.1" hidden="false" customHeight="false" outlineLevel="0" collapsed="false">
      <c r="A223" s="88" t="n">
        <f aca="false">+A222+1</f>
        <v>212</v>
      </c>
      <c r="B223" s="140"/>
      <c r="C223" s="99" t="n">
        <v>7</v>
      </c>
      <c r="D223" s="145" t="s">
        <v>167</v>
      </c>
      <c r="E223" s="145" t="s">
        <v>159</v>
      </c>
      <c r="F223" s="145" t="s">
        <v>50</v>
      </c>
      <c r="G223" s="92"/>
      <c r="H223" s="93"/>
      <c r="I223" s="93"/>
      <c r="J223" s="93"/>
      <c r="K223" s="93"/>
      <c r="L223" s="93"/>
      <c r="M223" s="94"/>
      <c r="N223" s="95" t="n">
        <v>1</v>
      </c>
      <c r="O223" s="95"/>
      <c r="P223" s="96"/>
      <c r="Q223" s="97"/>
      <c r="R223" s="98"/>
    </row>
    <row r="224" customFormat="false" ht="23.1" hidden="false" customHeight="false" outlineLevel="0" collapsed="false">
      <c r="A224" s="88" t="n">
        <f aca="false">+A223+1</f>
        <v>213</v>
      </c>
      <c r="B224" s="140"/>
      <c r="C224" s="99" t="n">
        <v>7</v>
      </c>
      <c r="D224" s="145" t="s">
        <v>167</v>
      </c>
      <c r="E224" s="145" t="s">
        <v>159</v>
      </c>
      <c r="F224" s="145" t="s">
        <v>50</v>
      </c>
      <c r="G224" s="92"/>
      <c r="H224" s="93"/>
      <c r="I224" s="93"/>
      <c r="J224" s="93"/>
      <c r="K224" s="93"/>
      <c r="L224" s="93"/>
      <c r="M224" s="94"/>
      <c r="N224" s="95" t="n">
        <v>1</v>
      </c>
      <c r="O224" s="95"/>
      <c r="P224" s="96"/>
      <c r="Q224" s="97"/>
      <c r="R224" s="98"/>
    </row>
    <row r="225" customFormat="false" ht="23.1" hidden="false" customHeight="false" outlineLevel="0" collapsed="false">
      <c r="A225" s="88" t="n">
        <f aca="false">+A224+1</f>
        <v>214</v>
      </c>
      <c r="B225" s="140"/>
      <c r="C225" s="99" t="n">
        <v>7</v>
      </c>
      <c r="D225" s="145" t="s">
        <v>167</v>
      </c>
      <c r="E225" s="145" t="s">
        <v>159</v>
      </c>
      <c r="F225" s="145" t="s">
        <v>50</v>
      </c>
      <c r="G225" s="92"/>
      <c r="H225" s="93"/>
      <c r="I225" s="93"/>
      <c r="J225" s="93"/>
      <c r="K225" s="93"/>
      <c r="L225" s="93"/>
      <c r="M225" s="94"/>
      <c r="N225" s="95" t="n">
        <v>1</v>
      </c>
      <c r="O225" s="95"/>
      <c r="P225" s="96"/>
      <c r="Q225" s="97"/>
      <c r="R225" s="98"/>
    </row>
    <row r="226" customFormat="false" ht="23.1" hidden="false" customHeight="false" outlineLevel="0" collapsed="false">
      <c r="A226" s="88" t="n">
        <f aca="false">+A225+1</f>
        <v>215</v>
      </c>
      <c r="B226" s="140"/>
      <c r="C226" s="99" t="n">
        <v>7</v>
      </c>
      <c r="D226" s="145" t="s">
        <v>167</v>
      </c>
      <c r="E226" s="145" t="s">
        <v>159</v>
      </c>
      <c r="F226" s="145" t="s">
        <v>50</v>
      </c>
      <c r="G226" s="92"/>
      <c r="H226" s="93"/>
      <c r="I226" s="93"/>
      <c r="J226" s="93"/>
      <c r="K226" s="93"/>
      <c r="L226" s="93"/>
      <c r="M226" s="94"/>
      <c r="N226" s="95" t="n">
        <v>1</v>
      </c>
      <c r="O226" s="95"/>
      <c r="P226" s="96"/>
      <c r="Q226" s="97"/>
      <c r="R226" s="98"/>
    </row>
    <row r="227" customFormat="false" ht="23.1" hidden="false" customHeight="false" outlineLevel="0" collapsed="false">
      <c r="A227" s="88" t="n">
        <f aca="false">+A226+1</f>
        <v>216</v>
      </c>
      <c r="B227" s="140"/>
      <c r="C227" s="99" t="n">
        <v>7</v>
      </c>
      <c r="D227" s="145" t="s">
        <v>167</v>
      </c>
      <c r="E227" s="145" t="s">
        <v>159</v>
      </c>
      <c r="F227" s="145" t="s">
        <v>50</v>
      </c>
      <c r="G227" s="92"/>
      <c r="H227" s="93"/>
      <c r="I227" s="93"/>
      <c r="J227" s="93"/>
      <c r="K227" s="93"/>
      <c r="L227" s="93"/>
      <c r="M227" s="94"/>
      <c r="N227" s="95" t="n">
        <v>1</v>
      </c>
      <c r="O227" s="95"/>
      <c r="P227" s="96"/>
      <c r="Q227" s="97"/>
      <c r="R227" s="98"/>
    </row>
    <row r="228" customFormat="false" ht="23.1" hidden="false" customHeight="false" outlineLevel="0" collapsed="false">
      <c r="A228" s="88" t="n">
        <f aca="false">+A227+1</f>
        <v>217</v>
      </c>
      <c r="B228" s="140"/>
      <c r="C228" s="99" t="n">
        <v>7</v>
      </c>
      <c r="D228" s="145" t="s">
        <v>167</v>
      </c>
      <c r="E228" s="145" t="s">
        <v>159</v>
      </c>
      <c r="F228" s="145" t="s">
        <v>50</v>
      </c>
      <c r="G228" s="92"/>
      <c r="H228" s="93"/>
      <c r="I228" s="93"/>
      <c r="J228" s="93"/>
      <c r="K228" s="93"/>
      <c r="L228" s="93"/>
      <c r="M228" s="94"/>
      <c r="N228" s="95" t="n">
        <v>1</v>
      </c>
      <c r="O228" s="95"/>
      <c r="P228" s="96"/>
      <c r="Q228" s="97"/>
      <c r="R228" s="98"/>
    </row>
    <row r="229" customFormat="false" ht="23.1" hidden="false" customHeight="false" outlineLevel="0" collapsed="false">
      <c r="A229" s="88" t="n">
        <f aca="false">+A228+1</f>
        <v>218</v>
      </c>
      <c r="B229" s="140"/>
      <c r="C229" s="99" t="n">
        <v>7</v>
      </c>
      <c r="D229" s="145" t="s">
        <v>167</v>
      </c>
      <c r="E229" s="145" t="s">
        <v>159</v>
      </c>
      <c r="F229" s="145" t="s">
        <v>50</v>
      </c>
      <c r="G229" s="92"/>
      <c r="H229" s="93"/>
      <c r="I229" s="93"/>
      <c r="J229" s="93"/>
      <c r="K229" s="93"/>
      <c r="L229" s="93"/>
      <c r="M229" s="94"/>
      <c r="N229" s="95" t="n">
        <v>1</v>
      </c>
      <c r="O229" s="95"/>
      <c r="P229" s="96"/>
      <c r="Q229" s="97"/>
      <c r="R229" s="98"/>
    </row>
    <row r="230" customFormat="false" ht="23.1" hidden="false" customHeight="false" outlineLevel="0" collapsed="false">
      <c r="A230" s="88" t="n">
        <f aca="false">+A229+1</f>
        <v>219</v>
      </c>
      <c r="B230" s="140"/>
      <c r="C230" s="99" t="n">
        <v>7</v>
      </c>
      <c r="D230" s="145" t="s">
        <v>167</v>
      </c>
      <c r="E230" s="145" t="s">
        <v>159</v>
      </c>
      <c r="F230" s="145" t="s">
        <v>50</v>
      </c>
      <c r="G230" s="92"/>
      <c r="H230" s="93"/>
      <c r="I230" s="93"/>
      <c r="J230" s="93"/>
      <c r="K230" s="93"/>
      <c r="L230" s="93"/>
      <c r="M230" s="94"/>
      <c r="N230" s="95" t="n">
        <v>1</v>
      </c>
      <c r="O230" s="95"/>
      <c r="P230" s="96"/>
      <c r="Q230" s="97"/>
      <c r="R230" s="98"/>
    </row>
    <row r="231" customFormat="false" ht="23.1" hidden="false" customHeight="false" outlineLevel="0" collapsed="false">
      <c r="A231" s="88" t="n">
        <f aca="false">+A230+1</f>
        <v>220</v>
      </c>
      <c r="B231" s="140"/>
      <c r="C231" s="99" t="n">
        <v>7</v>
      </c>
      <c r="D231" s="145" t="s">
        <v>167</v>
      </c>
      <c r="E231" s="145" t="s">
        <v>159</v>
      </c>
      <c r="F231" s="145" t="s">
        <v>50</v>
      </c>
      <c r="G231" s="92"/>
      <c r="H231" s="93"/>
      <c r="I231" s="93"/>
      <c r="J231" s="93"/>
      <c r="K231" s="93"/>
      <c r="L231" s="93"/>
      <c r="M231" s="94"/>
      <c r="N231" s="95" t="n">
        <v>1</v>
      </c>
      <c r="O231" s="95"/>
      <c r="P231" s="96"/>
      <c r="Q231" s="97"/>
      <c r="R231" s="98"/>
    </row>
    <row r="232" customFormat="false" ht="23.1" hidden="false" customHeight="false" outlineLevel="0" collapsed="false">
      <c r="A232" s="88" t="n">
        <f aca="false">+A231+1</f>
        <v>221</v>
      </c>
      <c r="B232" s="140"/>
      <c r="C232" s="99" t="n">
        <v>7</v>
      </c>
      <c r="D232" s="145" t="s">
        <v>167</v>
      </c>
      <c r="E232" s="145" t="s">
        <v>159</v>
      </c>
      <c r="F232" s="145" t="s">
        <v>50</v>
      </c>
      <c r="G232" s="92"/>
      <c r="H232" s="93"/>
      <c r="I232" s="93"/>
      <c r="J232" s="93"/>
      <c r="K232" s="93"/>
      <c r="L232" s="93"/>
      <c r="M232" s="94"/>
      <c r="N232" s="95" t="n">
        <v>1</v>
      </c>
      <c r="O232" s="95"/>
      <c r="P232" s="96"/>
      <c r="Q232" s="97"/>
      <c r="R232" s="98"/>
    </row>
    <row r="233" customFormat="false" ht="23.1" hidden="false" customHeight="false" outlineLevel="0" collapsed="false">
      <c r="A233" s="88" t="n">
        <f aca="false">+A232+1</f>
        <v>222</v>
      </c>
      <c r="B233" s="140"/>
      <c r="C233" s="99" t="n">
        <v>7</v>
      </c>
      <c r="D233" s="145" t="s">
        <v>167</v>
      </c>
      <c r="E233" s="145" t="s">
        <v>159</v>
      </c>
      <c r="F233" s="145" t="s">
        <v>50</v>
      </c>
      <c r="G233" s="92"/>
      <c r="H233" s="93"/>
      <c r="I233" s="93"/>
      <c r="J233" s="93"/>
      <c r="K233" s="93"/>
      <c r="L233" s="93"/>
      <c r="M233" s="94"/>
      <c r="N233" s="95" t="n">
        <v>1</v>
      </c>
      <c r="O233" s="95"/>
      <c r="P233" s="96"/>
      <c r="Q233" s="97"/>
      <c r="R233" s="98"/>
    </row>
    <row r="234" customFormat="false" ht="23.1" hidden="false" customHeight="false" outlineLevel="0" collapsed="false">
      <c r="A234" s="88" t="n">
        <f aca="false">+A233+1</f>
        <v>223</v>
      </c>
      <c r="B234" s="140"/>
      <c r="C234" s="99" t="n">
        <v>7</v>
      </c>
      <c r="D234" s="145" t="s">
        <v>167</v>
      </c>
      <c r="E234" s="145" t="s">
        <v>159</v>
      </c>
      <c r="F234" s="145" t="s">
        <v>50</v>
      </c>
      <c r="G234" s="92"/>
      <c r="H234" s="93"/>
      <c r="I234" s="93"/>
      <c r="J234" s="93"/>
      <c r="K234" s="93"/>
      <c r="L234" s="93"/>
      <c r="M234" s="94"/>
      <c r="N234" s="95" t="n">
        <v>1</v>
      </c>
      <c r="O234" s="95"/>
      <c r="P234" s="96"/>
      <c r="Q234" s="97"/>
      <c r="R234" s="98"/>
    </row>
    <row r="235" customFormat="false" ht="23.1" hidden="false" customHeight="false" outlineLevel="0" collapsed="false">
      <c r="A235" s="88" t="n">
        <f aca="false">+A234+1</f>
        <v>224</v>
      </c>
      <c r="B235" s="140"/>
      <c r="C235" s="99" t="n">
        <v>7</v>
      </c>
      <c r="D235" s="145" t="s">
        <v>167</v>
      </c>
      <c r="E235" s="145" t="s">
        <v>159</v>
      </c>
      <c r="F235" s="145" t="s">
        <v>50</v>
      </c>
      <c r="G235" s="92"/>
      <c r="H235" s="93"/>
      <c r="I235" s="93"/>
      <c r="J235" s="93"/>
      <c r="K235" s="93"/>
      <c r="L235" s="93"/>
      <c r="M235" s="94"/>
      <c r="N235" s="95" t="n">
        <v>1</v>
      </c>
      <c r="O235" s="95"/>
      <c r="P235" s="96"/>
      <c r="Q235" s="97"/>
      <c r="R235" s="98"/>
    </row>
    <row r="236" customFormat="false" ht="23.1" hidden="false" customHeight="false" outlineLevel="0" collapsed="false">
      <c r="A236" s="88" t="n">
        <f aca="false">+A235+1</f>
        <v>225</v>
      </c>
      <c r="B236" s="140"/>
      <c r="C236" s="99" t="n">
        <v>7</v>
      </c>
      <c r="D236" s="145" t="s">
        <v>167</v>
      </c>
      <c r="E236" s="145" t="s">
        <v>159</v>
      </c>
      <c r="F236" s="145" t="s">
        <v>50</v>
      </c>
      <c r="G236" s="92"/>
      <c r="H236" s="93"/>
      <c r="I236" s="93"/>
      <c r="J236" s="93"/>
      <c r="K236" s="93"/>
      <c r="L236" s="93"/>
      <c r="M236" s="94"/>
      <c r="N236" s="95" t="n">
        <v>1</v>
      </c>
      <c r="O236" s="95"/>
      <c r="P236" s="96"/>
      <c r="Q236" s="97"/>
      <c r="R236" s="98"/>
    </row>
    <row r="237" customFormat="false" ht="23.1" hidden="false" customHeight="false" outlineLevel="0" collapsed="false">
      <c r="A237" s="88" t="n">
        <f aca="false">+A236+1</f>
        <v>226</v>
      </c>
      <c r="B237" s="140"/>
      <c r="C237" s="99" t="n">
        <v>7</v>
      </c>
      <c r="D237" s="145" t="s">
        <v>167</v>
      </c>
      <c r="E237" s="145" t="s">
        <v>159</v>
      </c>
      <c r="F237" s="145" t="s">
        <v>50</v>
      </c>
      <c r="G237" s="92"/>
      <c r="H237" s="93"/>
      <c r="I237" s="93"/>
      <c r="J237" s="93"/>
      <c r="K237" s="93"/>
      <c r="L237" s="93"/>
      <c r="M237" s="94"/>
      <c r="N237" s="95" t="n">
        <v>1</v>
      </c>
      <c r="O237" s="95"/>
      <c r="P237" s="96"/>
      <c r="Q237" s="97"/>
      <c r="R237" s="98"/>
    </row>
    <row r="238" customFormat="false" ht="23.1" hidden="false" customHeight="false" outlineLevel="0" collapsed="false">
      <c r="A238" s="88" t="n">
        <f aca="false">+A237+1</f>
        <v>227</v>
      </c>
      <c r="B238" s="140"/>
      <c r="C238" s="99" t="n">
        <v>7</v>
      </c>
      <c r="D238" s="145" t="s">
        <v>167</v>
      </c>
      <c r="E238" s="145" t="s">
        <v>159</v>
      </c>
      <c r="F238" s="145" t="s">
        <v>50</v>
      </c>
      <c r="G238" s="92"/>
      <c r="H238" s="93"/>
      <c r="I238" s="93"/>
      <c r="J238" s="93"/>
      <c r="K238" s="93"/>
      <c r="L238" s="93"/>
      <c r="M238" s="94"/>
      <c r="N238" s="95" t="n">
        <v>1</v>
      </c>
      <c r="O238" s="95"/>
      <c r="P238" s="96"/>
      <c r="Q238" s="97"/>
      <c r="R238" s="98"/>
    </row>
    <row r="239" customFormat="false" ht="23.1" hidden="false" customHeight="false" outlineLevel="0" collapsed="false">
      <c r="A239" s="88" t="n">
        <f aca="false">+A238+1</f>
        <v>228</v>
      </c>
      <c r="B239" s="140"/>
      <c r="C239" s="99" t="n">
        <v>7</v>
      </c>
      <c r="D239" s="145" t="s">
        <v>167</v>
      </c>
      <c r="E239" s="145" t="s">
        <v>159</v>
      </c>
      <c r="F239" s="145" t="s">
        <v>50</v>
      </c>
      <c r="G239" s="92"/>
      <c r="H239" s="93"/>
      <c r="I239" s="93"/>
      <c r="J239" s="93"/>
      <c r="K239" s="93"/>
      <c r="L239" s="93"/>
      <c r="M239" s="94"/>
      <c r="N239" s="95" t="n">
        <v>1</v>
      </c>
      <c r="O239" s="95"/>
      <c r="P239" s="96"/>
      <c r="Q239" s="97"/>
      <c r="R239" s="98"/>
    </row>
    <row r="240" customFormat="false" ht="23.1" hidden="false" customHeight="false" outlineLevel="0" collapsed="false">
      <c r="A240" s="88" t="n">
        <f aca="false">+A239+1</f>
        <v>229</v>
      </c>
      <c r="B240" s="140"/>
      <c r="C240" s="99" t="n">
        <v>7</v>
      </c>
      <c r="D240" s="145" t="s">
        <v>167</v>
      </c>
      <c r="E240" s="145" t="s">
        <v>159</v>
      </c>
      <c r="F240" s="145" t="s">
        <v>50</v>
      </c>
      <c r="G240" s="92"/>
      <c r="H240" s="93"/>
      <c r="I240" s="93"/>
      <c r="J240" s="93"/>
      <c r="K240" s="93"/>
      <c r="L240" s="93"/>
      <c r="M240" s="94"/>
      <c r="N240" s="95" t="n">
        <v>1</v>
      </c>
      <c r="O240" s="95"/>
      <c r="P240" s="96"/>
      <c r="Q240" s="97"/>
      <c r="R240" s="98"/>
    </row>
    <row r="241" customFormat="false" ht="23.1" hidden="false" customHeight="false" outlineLevel="0" collapsed="false">
      <c r="A241" s="88" t="n">
        <f aca="false">+A240+1</f>
        <v>230</v>
      </c>
      <c r="B241" s="140"/>
      <c r="C241" s="99" t="n">
        <v>7</v>
      </c>
      <c r="D241" s="145" t="s">
        <v>167</v>
      </c>
      <c r="E241" s="145" t="s">
        <v>159</v>
      </c>
      <c r="F241" s="145" t="s">
        <v>50</v>
      </c>
      <c r="G241" s="92"/>
      <c r="H241" s="93"/>
      <c r="I241" s="93"/>
      <c r="J241" s="93"/>
      <c r="K241" s="93"/>
      <c r="L241" s="93"/>
      <c r="M241" s="94"/>
      <c r="N241" s="95" t="n">
        <v>1</v>
      </c>
      <c r="O241" s="95"/>
      <c r="P241" s="96"/>
      <c r="Q241" s="97"/>
      <c r="R241" s="98"/>
    </row>
    <row r="242" customFormat="false" ht="23.1" hidden="false" customHeight="false" outlineLevel="0" collapsed="false">
      <c r="A242" s="88" t="n">
        <f aca="false">+A241+1</f>
        <v>231</v>
      </c>
      <c r="B242" s="140"/>
      <c r="C242" s="99" t="n">
        <v>7</v>
      </c>
      <c r="D242" s="145" t="s">
        <v>167</v>
      </c>
      <c r="E242" s="145" t="s">
        <v>159</v>
      </c>
      <c r="F242" s="145" t="s">
        <v>50</v>
      </c>
      <c r="G242" s="92"/>
      <c r="H242" s="93"/>
      <c r="I242" s="93"/>
      <c r="J242" s="93"/>
      <c r="K242" s="93"/>
      <c r="L242" s="93"/>
      <c r="M242" s="94"/>
      <c r="N242" s="95" t="n">
        <v>1</v>
      </c>
      <c r="O242" s="95"/>
      <c r="P242" s="96"/>
      <c r="Q242" s="97"/>
      <c r="R242" s="98"/>
    </row>
    <row r="243" customFormat="false" ht="23.1" hidden="false" customHeight="false" outlineLevel="0" collapsed="false">
      <c r="A243" s="88" t="n">
        <f aca="false">+A242+1</f>
        <v>232</v>
      </c>
      <c r="B243" s="140"/>
      <c r="C243" s="99" t="n">
        <v>7</v>
      </c>
      <c r="D243" s="145" t="s">
        <v>167</v>
      </c>
      <c r="E243" s="145" t="s">
        <v>159</v>
      </c>
      <c r="F243" s="145" t="s">
        <v>50</v>
      </c>
      <c r="G243" s="92"/>
      <c r="H243" s="93"/>
      <c r="I243" s="93"/>
      <c r="J243" s="93"/>
      <c r="K243" s="93"/>
      <c r="L243" s="93"/>
      <c r="M243" s="94"/>
      <c r="N243" s="95" t="n">
        <v>1</v>
      </c>
      <c r="O243" s="95"/>
      <c r="P243" s="96"/>
      <c r="Q243" s="97"/>
      <c r="R243" s="98"/>
    </row>
    <row r="244" customFormat="false" ht="23.1" hidden="false" customHeight="false" outlineLevel="0" collapsed="false">
      <c r="A244" s="88" t="n">
        <f aca="false">+A243+1</f>
        <v>233</v>
      </c>
      <c r="B244" s="140"/>
      <c r="C244" s="99" t="n">
        <v>7</v>
      </c>
      <c r="D244" s="145" t="s">
        <v>167</v>
      </c>
      <c r="E244" s="145" t="s">
        <v>159</v>
      </c>
      <c r="F244" s="145" t="s">
        <v>50</v>
      </c>
      <c r="G244" s="92"/>
      <c r="H244" s="93"/>
      <c r="I244" s="93"/>
      <c r="J244" s="93"/>
      <c r="K244" s="93"/>
      <c r="L244" s="93"/>
      <c r="M244" s="94"/>
      <c r="N244" s="95" t="n">
        <v>1</v>
      </c>
      <c r="O244" s="95"/>
      <c r="P244" s="96"/>
      <c r="Q244" s="97"/>
      <c r="R244" s="98"/>
    </row>
    <row r="245" customFormat="false" ht="23.1" hidden="false" customHeight="false" outlineLevel="0" collapsed="false">
      <c r="A245" s="88" t="n">
        <f aca="false">+A244+1</f>
        <v>234</v>
      </c>
      <c r="B245" s="140"/>
      <c r="C245" s="99" t="n">
        <v>7</v>
      </c>
      <c r="D245" s="145" t="s">
        <v>167</v>
      </c>
      <c r="E245" s="145" t="s">
        <v>159</v>
      </c>
      <c r="F245" s="145" t="s">
        <v>50</v>
      </c>
      <c r="G245" s="92"/>
      <c r="H245" s="93"/>
      <c r="I245" s="93"/>
      <c r="J245" s="93"/>
      <c r="K245" s="93"/>
      <c r="L245" s="93"/>
      <c r="M245" s="94"/>
      <c r="N245" s="95" t="n">
        <v>1</v>
      </c>
      <c r="O245" s="95"/>
      <c r="P245" s="96"/>
      <c r="Q245" s="97"/>
      <c r="R245" s="98"/>
    </row>
    <row r="246" customFormat="false" ht="23.1" hidden="false" customHeight="false" outlineLevel="0" collapsed="false">
      <c r="A246" s="88" t="n">
        <f aca="false">+A245+1</f>
        <v>235</v>
      </c>
      <c r="B246" s="140"/>
      <c r="C246" s="99" t="n">
        <v>7</v>
      </c>
      <c r="D246" s="145" t="s">
        <v>167</v>
      </c>
      <c r="E246" s="145" t="s">
        <v>159</v>
      </c>
      <c r="F246" s="145" t="s">
        <v>50</v>
      </c>
      <c r="G246" s="92"/>
      <c r="H246" s="93"/>
      <c r="I246" s="93"/>
      <c r="J246" s="93"/>
      <c r="K246" s="93"/>
      <c r="L246" s="93"/>
      <c r="M246" s="94"/>
      <c r="N246" s="95" t="n">
        <v>1</v>
      </c>
      <c r="O246" s="95"/>
      <c r="P246" s="96"/>
      <c r="Q246" s="97"/>
      <c r="R246" s="98"/>
    </row>
    <row r="247" customFormat="false" ht="23.1" hidden="false" customHeight="false" outlineLevel="0" collapsed="false">
      <c r="A247" s="88" t="n">
        <f aca="false">+A246+1</f>
        <v>236</v>
      </c>
      <c r="B247" s="140"/>
      <c r="C247" s="99" t="n">
        <v>7</v>
      </c>
      <c r="D247" s="145" t="s">
        <v>167</v>
      </c>
      <c r="E247" s="145" t="s">
        <v>159</v>
      </c>
      <c r="F247" s="145" t="s">
        <v>50</v>
      </c>
      <c r="G247" s="92"/>
      <c r="H247" s="93"/>
      <c r="I247" s="93"/>
      <c r="J247" s="93"/>
      <c r="K247" s="93"/>
      <c r="L247" s="93"/>
      <c r="M247" s="94"/>
      <c r="N247" s="95" t="n">
        <v>1</v>
      </c>
      <c r="O247" s="95"/>
      <c r="P247" s="96"/>
      <c r="Q247" s="97"/>
      <c r="R247" s="98"/>
    </row>
    <row r="248" customFormat="false" ht="23.1" hidden="false" customHeight="false" outlineLevel="0" collapsed="false">
      <c r="A248" s="88" t="n">
        <f aca="false">+A247+1</f>
        <v>237</v>
      </c>
      <c r="B248" s="140"/>
      <c r="C248" s="99" t="n">
        <v>7</v>
      </c>
      <c r="D248" s="145" t="s">
        <v>167</v>
      </c>
      <c r="E248" s="145" t="s">
        <v>159</v>
      </c>
      <c r="F248" s="145" t="s">
        <v>50</v>
      </c>
      <c r="G248" s="92"/>
      <c r="H248" s="93"/>
      <c r="I248" s="93"/>
      <c r="J248" s="93"/>
      <c r="K248" s="93"/>
      <c r="L248" s="93"/>
      <c r="M248" s="94"/>
      <c r="N248" s="95" t="n">
        <v>1</v>
      </c>
      <c r="O248" s="95"/>
      <c r="P248" s="96"/>
      <c r="Q248" s="97"/>
      <c r="R248" s="98"/>
    </row>
    <row r="249" customFormat="false" ht="23.1" hidden="false" customHeight="false" outlineLevel="0" collapsed="false">
      <c r="A249" s="88" t="n">
        <f aca="false">+A248+1</f>
        <v>238</v>
      </c>
      <c r="B249" s="140"/>
      <c r="C249" s="99" t="n">
        <v>7</v>
      </c>
      <c r="D249" s="145" t="s">
        <v>167</v>
      </c>
      <c r="E249" s="145" t="s">
        <v>159</v>
      </c>
      <c r="F249" s="145" t="s">
        <v>50</v>
      </c>
      <c r="G249" s="92"/>
      <c r="H249" s="93"/>
      <c r="I249" s="93"/>
      <c r="J249" s="93"/>
      <c r="K249" s="93"/>
      <c r="L249" s="93"/>
      <c r="M249" s="94"/>
      <c r="N249" s="95" t="n">
        <v>1</v>
      </c>
      <c r="O249" s="95"/>
      <c r="P249" s="96"/>
      <c r="Q249" s="97"/>
      <c r="R249" s="98"/>
    </row>
    <row r="250" customFormat="false" ht="23.1" hidden="false" customHeight="false" outlineLevel="0" collapsed="false">
      <c r="A250" s="88" t="n">
        <f aca="false">+A249+1</f>
        <v>239</v>
      </c>
      <c r="B250" s="140"/>
      <c r="C250" s="99" t="n">
        <v>7</v>
      </c>
      <c r="D250" s="145" t="s">
        <v>167</v>
      </c>
      <c r="E250" s="145" t="s">
        <v>159</v>
      </c>
      <c r="F250" s="145" t="s">
        <v>50</v>
      </c>
      <c r="G250" s="92"/>
      <c r="H250" s="93"/>
      <c r="I250" s="93"/>
      <c r="J250" s="93"/>
      <c r="K250" s="93"/>
      <c r="L250" s="93"/>
      <c r="M250" s="94"/>
      <c r="N250" s="95" t="n">
        <v>1</v>
      </c>
      <c r="O250" s="95"/>
      <c r="P250" s="96"/>
      <c r="Q250" s="97"/>
      <c r="R250" s="98"/>
    </row>
    <row r="251" customFormat="false" ht="23.1" hidden="false" customHeight="false" outlineLevel="0" collapsed="false">
      <c r="A251" s="88" t="n">
        <f aca="false">+A250+1</f>
        <v>240</v>
      </c>
      <c r="B251" s="140"/>
      <c r="C251" s="99" t="n">
        <v>7</v>
      </c>
      <c r="D251" s="145" t="s">
        <v>167</v>
      </c>
      <c r="E251" s="145" t="s">
        <v>159</v>
      </c>
      <c r="F251" s="145" t="s">
        <v>50</v>
      </c>
      <c r="G251" s="92"/>
      <c r="H251" s="93"/>
      <c r="I251" s="93"/>
      <c r="J251" s="93"/>
      <c r="K251" s="93"/>
      <c r="L251" s="93"/>
      <c r="M251" s="94"/>
      <c r="N251" s="95" t="n">
        <v>1</v>
      </c>
      <c r="O251" s="95"/>
      <c r="P251" s="96"/>
      <c r="Q251" s="97"/>
      <c r="R251" s="98"/>
    </row>
    <row r="252" customFormat="false" ht="23.1" hidden="false" customHeight="false" outlineLevel="0" collapsed="false">
      <c r="A252" s="88" t="n">
        <f aca="false">+A251+1</f>
        <v>241</v>
      </c>
      <c r="B252" s="140"/>
      <c r="C252" s="99" t="n">
        <v>7</v>
      </c>
      <c r="D252" s="145" t="s">
        <v>167</v>
      </c>
      <c r="E252" s="145" t="s">
        <v>159</v>
      </c>
      <c r="F252" s="145" t="s">
        <v>50</v>
      </c>
      <c r="G252" s="92"/>
      <c r="H252" s="93"/>
      <c r="I252" s="93"/>
      <c r="J252" s="93"/>
      <c r="K252" s="93"/>
      <c r="L252" s="93"/>
      <c r="M252" s="94"/>
      <c r="N252" s="95" t="n">
        <v>1</v>
      </c>
      <c r="O252" s="95"/>
      <c r="P252" s="96"/>
      <c r="Q252" s="97"/>
      <c r="R252" s="98"/>
    </row>
    <row r="253" customFormat="false" ht="23.1" hidden="false" customHeight="false" outlineLevel="0" collapsed="false">
      <c r="A253" s="88" t="n">
        <f aca="false">+A252+1</f>
        <v>242</v>
      </c>
      <c r="B253" s="140"/>
      <c r="C253" s="99" t="n">
        <v>7</v>
      </c>
      <c r="D253" s="145" t="s">
        <v>167</v>
      </c>
      <c r="E253" s="145" t="s">
        <v>159</v>
      </c>
      <c r="F253" s="145" t="s">
        <v>50</v>
      </c>
      <c r="G253" s="92"/>
      <c r="H253" s="93"/>
      <c r="I253" s="93"/>
      <c r="J253" s="93"/>
      <c r="K253" s="93"/>
      <c r="L253" s="93"/>
      <c r="M253" s="94"/>
      <c r="N253" s="95" t="n">
        <v>1</v>
      </c>
      <c r="O253" s="95"/>
      <c r="P253" s="96"/>
      <c r="Q253" s="97"/>
      <c r="R253" s="98"/>
    </row>
    <row r="254" customFormat="false" ht="23.1" hidden="false" customHeight="false" outlineLevel="0" collapsed="false">
      <c r="A254" s="88" t="n">
        <f aca="false">+A253+1</f>
        <v>243</v>
      </c>
      <c r="B254" s="140"/>
      <c r="C254" s="99" t="n">
        <v>7</v>
      </c>
      <c r="D254" s="145" t="s">
        <v>167</v>
      </c>
      <c r="E254" s="145" t="s">
        <v>159</v>
      </c>
      <c r="F254" s="145" t="s">
        <v>50</v>
      </c>
      <c r="G254" s="92"/>
      <c r="H254" s="93"/>
      <c r="I254" s="93"/>
      <c r="J254" s="93"/>
      <c r="K254" s="93"/>
      <c r="L254" s="93"/>
      <c r="M254" s="94"/>
      <c r="N254" s="95" t="n">
        <v>1</v>
      </c>
      <c r="O254" s="95"/>
      <c r="P254" s="96"/>
      <c r="Q254" s="97"/>
      <c r="R254" s="98"/>
    </row>
    <row r="255" customFormat="false" ht="23.1" hidden="false" customHeight="false" outlineLevel="0" collapsed="false">
      <c r="A255" s="88" t="n">
        <f aca="false">+A254+1</f>
        <v>244</v>
      </c>
      <c r="B255" s="140"/>
      <c r="C255" s="99" t="n">
        <v>7</v>
      </c>
      <c r="D255" s="145" t="s">
        <v>167</v>
      </c>
      <c r="E255" s="145" t="s">
        <v>159</v>
      </c>
      <c r="F255" s="145" t="s">
        <v>50</v>
      </c>
      <c r="G255" s="92"/>
      <c r="H255" s="93"/>
      <c r="I255" s="93"/>
      <c r="J255" s="93"/>
      <c r="K255" s="93"/>
      <c r="L255" s="93"/>
      <c r="M255" s="94"/>
      <c r="N255" s="95" t="n">
        <v>1</v>
      </c>
      <c r="O255" s="95"/>
      <c r="P255" s="96"/>
      <c r="Q255" s="97"/>
      <c r="R255" s="98"/>
    </row>
    <row r="256" customFormat="false" ht="23.1" hidden="false" customHeight="false" outlineLevel="0" collapsed="false">
      <c r="A256" s="88" t="n">
        <f aca="false">+A255+1</f>
        <v>245</v>
      </c>
      <c r="B256" s="140"/>
      <c r="C256" s="99" t="n">
        <v>7</v>
      </c>
      <c r="D256" s="145" t="s">
        <v>167</v>
      </c>
      <c r="E256" s="145" t="s">
        <v>159</v>
      </c>
      <c r="F256" s="145" t="s">
        <v>50</v>
      </c>
      <c r="G256" s="92"/>
      <c r="H256" s="93"/>
      <c r="I256" s="93"/>
      <c r="J256" s="93"/>
      <c r="K256" s="93"/>
      <c r="L256" s="93"/>
      <c r="M256" s="94"/>
      <c r="N256" s="95" t="n">
        <v>1</v>
      </c>
      <c r="O256" s="95"/>
      <c r="P256" s="96"/>
      <c r="Q256" s="97"/>
      <c r="R256" s="98"/>
    </row>
    <row r="257" customFormat="false" ht="23.1" hidden="false" customHeight="false" outlineLevel="0" collapsed="false">
      <c r="A257" s="88" t="n">
        <f aca="false">+A256+1</f>
        <v>246</v>
      </c>
      <c r="B257" s="140"/>
      <c r="C257" s="99" t="n">
        <v>7</v>
      </c>
      <c r="D257" s="145" t="s">
        <v>167</v>
      </c>
      <c r="E257" s="145" t="s">
        <v>159</v>
      </c>
      <c r="F257" s="145" t="s">
        <v>50</v>
      </c>
      <c r="G257" s="92"/>
      <c r="H257" s="93"/>
      <c r="I257" s="93"/>
      <c r="J257" s="93"/>
      <c r="K257" s="93"/>
      <c r="L257" s="93"/>
      <c r="M257" s="94"/>
      <c r="N257" s="95" t="n">
        <v>1</v>
      </c>
      <c r="O257" s="95"/>
      <c r="P257" s="96"/>
      <c r="Q257" s="97"/>
      <c r="R257" s="98"/>
    </row>
    <row r="258" customFormat="false" ht="23.1" hidden="false" customHeight="false" outlineLevel="0" collapsed="false">
      <c r="A258" s="88" t="n">
        <f aca="false">+A257+1</f>
        <v>247</v>
      </c>
      <c r="B258" s="140"/>
      <c r="C258" s="99" t="n">
        <v>7</v>
      </c>
      <c r="D258" s="145" t="s">
        <v>167</v>
      </c>
      <c r="E258" s="145" t="s">
        <v>159</v>
      </c>
      <c r="F258" s="145" t="s">
        <v>50</v>
      </c>
      <c r="G258" s="92"/>
      <c r="H258" s="93"/>
      <c r="I258" s="93"/>
      <c r="J258" s="93"/>
      <c r="K258" s="93"/>
      <c r="L258" s="93"/>
      <c r="M258" s="94"/>
      <c r="N258" s="95" t="n">
        <v>1</v>
      </c>
      <c r="O258" s="95"/>
      <c r="P258" s="96"/>
      <c r="Q258" s="97"/>
      <c r="R258" s="98"/>
    </row>
    <row r="259" customFormat="false" ht="23.1" hidden="false" customHeight="false" outlineLevel="0" collapsed="false">
      <c r="A259" s="88" t="n">
        <f aca="false">+A258+1</f>
        <v>248</v>
      </c>
      <c r="B259" s="140"/>
      <c r="C259" s="99" t="n">
        <v>7</v>
      </c>
      <c r="D259" s="145" t="s">
        <v>167</v>
      </c>
      <c r="E259" s="145" t="s">
        <v>159</v>
      </c>
      <c r="F259" s="145" t="s">
        <v>50</v>
      </c>
      <c r="G259" s="92"/>
      <c r="H259" s="93"/>
      <c r="I259" s="93"/>
      <c r="J259" s="93"/>
      <c r="K259" s="93"/>
      <c r="L259" s="93"/>
      <c r="M259" s="94"/>
      <c r="N259" s="95" t="n">
        <v>1</v>
      </c>
      <c r="O259" s="95"/>
      <c r="P259" s="96"/>
      <c r="Q259" s="97"/>
      <c r="R259" s="98"/>
    </row>
    <row r="260" customFormat="false" ht="23.1" hidden="false" customHeight="false" outlineLevel="0" collapsed="false">
      <c r="A260" s="88" t="n">
        <f aca="false">+A259+1</f>
        <v>249</v>
      </c>
      <c r="B260" s="140"/>
      <c r="C260" s="99" t="n">
        <v>7</v>
      </c>
      <c r="D260" s="145" t="s">
        <v>167</v>
      </c>
      <c r="E260" s="145" t="s">
        <v>159</v>
      </c>
      <c r="F260" s="145" t="s">
        <v>50</v>
      </c>
      <c r="G260" s="92"/>
      <c r="H260" s="93"/>
      <c r="I260" s="93"/>
      <c r="J260" s="93"/>
      <c r="K260" s="93"/>
      <c r="L260" s="93"/>
      <c r="M260" s="94"/>
      <c r="N260" s="95" t="n">
        <v>1</v>
      </c>
      <c r="O260" s="95"/>
      <c r="P260" s="96"/>
      <c r="Q260" s="97"/>
      <c r="R260" s="98"/>
    </row>
    <row r="261" customFormat="false" ht="23.1" hidden="false" customHeight="false" outlineLevel="0" collapsed="false">
      <c r="A261" s="88" t="n">
        <f aca="false">+A260+1</f>
        <v>250</v>
      </c>
      <c r="B261" s="140"/>
      <c r="C261" s="99" t="n">
        <v>7</v>
      </c>
      <c r="D261" s="145" t="s">
        <v>167</v>
      </c>
      <c r="E261" s="145" t="s">
        <v>159</v>
      </c>
      <c r="F261" s="145" t="s">
        <v>50</v>
      </c>
      <c r="G261" s="92"/>
      <c r="H261" s="93"/>
      <c r="I261" s="93"/>
      <c r="J261" s="93"/>
      <c r="K261" s="93"/>
      <c r="L261" s="93"/>
      <c r="M261" s="94"/>
      <c r="N261" s="95" t="n">
        <v>1</v>
      </c>
      <c r="O261" s="95"/>
      <c r="P261" s="96"/>
      <c r="Q261" s="97"/>
      <c r="R261" s="98"/>
    </row>
    <row r="262" customFormat="false" ht="23.1" hidden="false" customHeight="false" outlineLevel="0" collapsed="false">
      <c r="A262" s="88" t="n">
        <f aca="false">+A261+1</f>
        <v>251</v>
      </c>
      <c r="B262" s="140"/>
      <c r="C262" s="99" t="n">
        <v>7</v>
      </c>
      <c r="D262" s="145" t="s">
        <v>167</v>
      </c>
      <c r="E262" s="145" t="s">
        <v>159</v>
      </c>
      <c r="F262" s="145" t="s">
        <v>50</v>
      </c>
      <c r="G262" s="92"/>
      <c r="H262" s="93"/>
      <c r="I262" s="93"/>
      <c r="J262" s="93"/>
      <c r="K262" s="93"/>
      <c r="L262" s="93"/>
      <c r="M262" s="94"/>
      <c r="N262" s="95" t="n">
        <v>1</v>
      </c>
      <c r="O262" s="95"/>
      <c r="P262" s="96"/>
      <c r="Q262" s="97"/>
      <c r="R262" s="98"/>
    </row>
    <row r="263" customFormat="false" ht="23.1" hidden="false" customHeight="false" outlineLevel="0" collapsed="false">
      <c r="A263" s="88" t="n">
        <f aca="false">+A262+1</f>
        <v>252</v>
      </c>
      <c r="B263" s="140"/>
      <c r="C263" s="99" t="n">
        <v>7</v>
      </c>
      <c r="D263" s="145" t="s">
        <v>167</v>
      </c>
      <c r="E263" s="145" t="s">
        <v>159</v>
      </c>
      <c r="F263" s="145" t="s">
        <v>50</v>
      </c>
      <c r="G263" s="92"/>
      <c r="H263" s="93"/>
      <c r="I263" s="93"/>
      <c r="J263" s="93"/>
      <c r="K263" s="93"/>
      <c r="L263" s="93"/>
      <c r="M263" s="94"/>
      <c r="N263" s="95" t="n">
        <v>1</v>
      </c>
      <c r="O263" s="95"/>
      <c r="P263" s="96"/>
      <c r="Q263" s="97"/>
      <c r="R263" s="98"/>
    </row>
    <row r="264" customFormat="false" ht="23.1" hidden="false" customHeight="false" outlineLevel="0" collapsed="false">
      <c r="A264" s="88" t="n">
        <f aca="false">+A263+1</f>
        <v>253</v>
      </c>
      <c r="B264" s="140"/>
      <c r="C264" s="99" t="n">
        <v>7</v>
      </c>
      <c r="D264" s="145" t="s">
        <v>167</v>
      </c>
      <c r="E264" s="145" t="s">
        <v>159</v>
      </c>
      <c r="F264" s="145" t="s">
        <v>50</v>
      </c>
      <c r="G264" s="92"/>
      <c r="H264" s="93"/>
      <c r="I264" s="93"/>
      <c r="J264" s="93"/>
      <c r="K264" s="93"/>
      <c r="L264" s="93"/>
      <c r="M264" s="94"/>
      <c r="N264" s="95" t="n">
        <v>1</v>
      </c>
      <c r="O264" s="95"/>
      <c r="P264" s="96"/>
      <c r="Q264" s="97"/>
      <c r="R264" s="98"/>
    </row>
    <row r="265" customFormat="false" ht="23.1" hidden="false" customHeight="false" outlineLevel="0" collapsed="false">
      <c r="A265" s="88" t="n">
        <f aca="false">+A264+1</f>
        <v>254</v>
      </c>
      <c r="B265" s="140"/>
      <c r="C265" s="99" t="n">
        <v>7</v>
      </c>
      <c r="D265" s="145" t="s">
        <v>167</v>
      </c>
      <c r="E265" s="145" t="s">
        <v>159</v>
      </c>
      <c r="F265" s="145" t="s">
        <v>50</v>
      </c>
      <c r="G265" s="92"/>
      <c r="H265" s="93"/>
      <c r="I265" s="93"/>
      <c r="J265" s="93"/>
      <c r="K265" s="93"/>
      <c r="L265" s="93"/>
      <c r="M265" s="94"/>
      <c r="N265" s="95" t="n">
        <v>1</v>
      </c>
      <c r="O265" s="95"/>
      <c r="P265" s="96"/>
      <c r="Q265" s="97"/>
      <c r="R265" s="98"/>
    </row>
    <row r="266" customFormat="false" ht="23.1" hidden="false" customHeight="false" outlineLevel="0" collapsed="false">
      <c r="A266" s="88" t="n">
        <f aca="false">+A265+1</f>
        <v>255</v>
      </c>
      <c r="B266" s="140"/>
      <c r="C266" s="99" t="n">
        <v>7</v>
      </c>
      <c r="D266" s="145" t="s">
        <v>167</v>
      </c>
      <c r="E266" s="145" t="s">
        <v>159</v>
      </c>
      <c r="F266" s="145" t="s">
        <v>50</v>
      </c>
      <c r="G266" s="92"/>
      <c r="H266" s="93"/>
      <c r="I266" s="93"/>
      <c r="J266" s="93"/>
      <c r="K266" s="93"/>
      <c r="L266" s="93"/>
      <c r="M266" s="94"/>
      <c r="N266" s="95" t="n">
        <v>1</v>
      </c>
      <c r="O266" s="95"/>
      <c r="P266" s="96"/>
      <c r="Q266" s="97"/>
      <c r="R266" s="98"/>
    </row>
    <row r="267" customFormat="false" ht="23.1" hidden="false" customHeight="false" outlineLevel="0" collapsed="false">
      <c r="A267" s="88" t="n">
        <f aca="false">+A266+1</f>
        <v>256</v>
      </c>
      <c r="B267" s="140"/>
      <c r="C267" s="99" t="n">
        <v>7</v>
      </c>
      <c r="D267" s="145" t="s">
        <v>167</v>
      </c>
      <c r="E267" s="145" t="s">
        <v>159</v>
      </c>
      <c r="F267" s="145" t="s">
        <v>50</v>
      </c>
      <c r="G267" s="92"/>
      <c r="H267" s="93"/>
      <c r="I267" s="93"/>
      <c r="J267" s="93"/>
      <c r="K267" s="93"/>
      <c r="L267" s="93"/>
      <c r="M267" s="94"/>
      <c r="N267" s="95" t="n">
        <v>1</v>
      </c>
      <c r="O267" s="95"/>
      <c r="P267" s="96"/>
      <c r="Q267" s="97"/>
      <c r="R267" s="98"/>
    </row>
    <row r="268" customFormat="false" ht="23.1" hidden="false" customHeight="false" outlineLevel="0" collapsed="false">
      <c r="A268" s="88" t="n">
        <f aca="false">+A267+1</f>
        <v>257</v>
      </c>
      <c r="B268" s="140"/>
      <c r="C268" s="99" t="n">
        <v>7</v>
      </c>
      <c r="D268" s="145" t="s">
        <v>167</v>
      </c>
      <c r="E268" s="145" t="s">
        <v>159</v>
      </c>
      <c r="F268" s="145" t="s">
        <v>50</v>
      </c>
      <c r="G268" s="92"/>
      <c r="H268" s="93"/>
      <c r="I268" s="93"/>
      <c r="J268" s="93"/>
      <c r="K268" s="93"/>
      <c r="L268" s="93"/>
      <c r="M268" s="94"/>
      <c r="N268" s="95" t="n">
        <v>1</v>
      </c>
      <c r="O268" s="95"/>
      <c r="P268" s="96"/>
      <c r="Q268" s="97"/>
      <c r="R268" s="98"/>
    </row>
    <row r="269" customFormat="false" ht="23.1" hidden="false" customHeight="false" outlineLevel="0" collapsed="false">
      <c r="A269" s="88" t="n">
        <f aca="false">+A268+1</f>
        <v>258</v>
      </c>
      <c r="B269" s="140"/>
      <c r="C269" s="99" t="n">
        <v>7</v>
      </c>
      <c r="D269" s="145" t="s">
        <v>167</v>
      </c>
      <c r="E269" s="145" t="s">
        <v>159</v>
      </c>
      <c r="F269" s="145" t="s">
        <v>50</v>
      </c>
      <c r="G269" s="92"/>
      <c r="H269" s="93"/>
      <c r="I269" s="93"/>
      <c r="J269" s="93"/>
      <c r="K269" s="93"/>
      <c r="L269" s="93"/>
      <c r="M269" s="94"/>
      <c r="N269" s="95" t="n">
        <v>1</v>
      </c>
      <c r="O269" s="95"/>
      <c r="P269" s="96"/>
      <c r="Q269" s="97"/>
      <c r="R269" s="98"/>
    </row>
    <row r="270" customFormat="false" ht="23.1" hidden="false" customHeight="false" outlineLevel="0" collapsed="false">
      <c r="A270" s="88" t="n">
        <f aca="false">+A269+1</f>
        <v>259</v>
      </c>
      <c r="B270" s="140"/>
      <c r="C270" s="99" t="n">
        <v>7</v>
      </c>
      <c r="D270" s="145" t="s">
        <v>167</v>
      </c>
      <c r="E270" s="145" t="s">
        <v>159</v>
      </c>
      <c r="F270" s="145" t="s">
        <v>50</v>
      </c>
      <c r="G270" s="92"/>
      <c r="H270" s="93"/>
      <c r="I270" s="93"/>
      <c r="J270" s="93"/>
      <c r="K270" s="93"/>
      <c r="L270" s="93"/>
      <c r="M270" s="94"/>
      <c r="N270" s="95" t="n">
        <v>1</v>
      </c>
      <c r="O270" s="95"/>
      <c r="P270" s="96"/>
      <c r="Q270" s="97"/>
      <c r="R270" s="98"/>
    </row>
    <row r="271" customFormat="false" ht="23.1" hidden="false" customHeight="false" outlineLevel="0" collapsed="false">
      <c r="A271" s="88" t="n">
        <f aca="false">+A270+1</f>
        <v>260</v>
      </c>
      <c r="B271" s="140"/>
      <c r="C271" s="99" t="n">
        <v>7</v>
      </c>
      <c r="D271" s="145" t="s">
        <v>167</v>
      </c>
      <c r="E271" s="145" t="s">
        <v>159</v>
      </c>
      <c r="F271" s="145" t="s">
        <v>50</v>
      </c>
      <c r="G271" s="92"/>
      <c r="H271" s="93"/>
      <c r="I271" s="93"/>
      <c r="J271" s="93"/>
      <c r="K271" s="93"/>
      <c r="L271" s="93"/>
      <c r="M271" s="94"/>
      <c r="N271" s="95" t="n">
        <v>1</v>
      </c>
      <c r="O271" s="95"/>
      <c r="P271" s="96"/>
      <c r="Q271" s="97"/>
      <c r="R271" s="98"/>
    </row>
    <row r="272" customFormat="false" ht="23.1" hidden="false" customHeight="false" outlineLevel="0" collapsed="false">
      <c r="A272" s="88" t="n">
        <f aca="false">+A271+1</f>
        <v>261</v>
      </c>
      <c r="B272" s="140"/>
      <c r="C272" s="99" t="n">
        <v>7</v>
      </c>
      <c r="D272" s="145" t="s">
        <v>167</v>
      </c>
      <c r="E272" s="145" t="s">
        <v>159</v>
      </c>
      <c r="F272" s="145" t="s">
        <v>50</v>
      </c>
      <c r="G272" s="92"/>
      <c r="H272" s="93"/>
      <c r="I272" s="93"/>
      <c r="J272" s="93"/>
      <c r="K272" s="93"/>
      <c r="L272" s="93"/>
      <c r="M272" s="94"/>
      <c r="N272" s="95" t="n">
        <v>1</v>
      </c>
      <c r="O272" s="95"/>
      <c r="P272" s="96"/>
      <c r="Q272" s="97"/>
      <c r="R272" s="98"/>
    </row>
    <row r="273" customFormat="false" ht="23.1" hidden="false" customHeight="false" outlineLevel="0" collapsed="false">
      <c r="A273" s="88" t="n">
        <f aca="false">+A272+1</f>
        <v>262</v>
      </c>
      <c r="B273" s="140"/>
      <c r="C273" s="99" t="n">
        <v>7</v>
      </c>
      <c r="D273" s="145" t="s">
        <v>167</v>
      </c>
      <c r="E273" s="145" t="s">
        <v>159</v>
      </c>
      <c r="F273" s="145" t="s">
        <v>50</v>
      </c>
      <c r="G273" s="92"/>
      <c r="H273" s="93"/>
      <c r="I273" s="93"/>
      <c r="J273" s="93"/>
      <c r="K273" s="93"/>
      <c r="L273" s="93"/>
      <c r="M273" s="94"/>
      <c r="N273" s="95" t="n">
        <v>1</v>
      </c>
      <c r="O273" s="95"/>
      <c r="P273" s="96"/>
      <c r="Q273" s="97"/>
      <c r="R273" s="98"/>
    </row>
    <row r="274" customFormat="false" ht="23.1" hidden="false" customHeight="false" outlineLevel="0" collapsed="false">
      <c r="A274" s="88" t="n">
        <f aca="false">+A273+1</f>
        <v>263</v>
      </c>
      <c r="B274" s="140"/>
      <c r="C274" s="99" t="n">
        <v>7</v>
      </c>
      <c r="D274" s="145" t="s">
        <v>167</v>
      </c>
      <c r="E274" s="145" t="s">
        <v>159</v>
      </c>
      <c r="F274" s="145" t="s">
        <v>50</v>
      </c>
      <c r="G274" s="92"/>
      <c r="H274" s="93"/>
      <c r="I274" s="93"/>
      <c r="J274" s="93"/>
      <c r="K274" s="93"/>
      <c r="L274" s="93"/>
      <c r="M274" s="94"/>
      <c r="N274" s="95" t="n">
        <v>1</v>
      </c>
      <c r="O274" s="95"/>
      <c r="P274" s="96"/>
      <c r="Q274" s="97"/>
      <c r="R274" s="98"/>
    </row>
    <row r="275" customFormat="false" ht="23.1" hidden="false" customHeight="false" outlineLevel="0" collapsed="false">
      <c r="A275" s="88" t="n">
        <f aca="false">+A274+1</f>
        <v>264</v>
      </c>
      <c r="B275" s="140"/>
      <c r="C275" s="99" t="n">
        <v>7</v>
      </c>
      <c r="D275" s="145" t="s">
        <v>167</v>
      </c>
      <c r="E275" s="145" t="s">
        <v>159</v>
      </c>
      <c r="F275" s="145" t="s">
        <v>50</v>
      </c>
      <c r="G275" s="92"/>
      <c r="H275" s="93"/>
      <c r="I275" s="93"/>
      <c r="J275" s="93"/>
      <c r="K275" s="93"/>
      <c r="L275" s="93"/>
      <c r="M275" s="94"/>
      <c r="N275" s="95" t="n">
        <v>1</v>
      </c>
      <c r="O275" s="95"/>
      <c r="P275" s="96"/>
      <c r="Q275" s="97"/>
      <c r="R275" s="98"/>
    </row>
    <row r="276" customFormat="false" ht="23.1" hidden="false" customHeight="false" outlineLevel="0" collapsed="false">
      <c r="A276" s="88" t="n">
        <f aca="false">+A275+1</f>
        <v>265</v>
      </c>
      <c r="B276" s="140"/>
      <c r="C276" s="99" t="n">
        <v>7</v>
      </c>
      <c r="D276" s="145" t="s">
        <v>167</v>
      </c>
      <c r="E276" s="145" t="s">
        <v>159</v>
      </c>
      <c r="F276" s="145" t="s">
        <v>50</v>
      </c>
      <c r="G276" s="92"/>
      <c r="H276" s="93"/>
      <c r="I276" s="93"/>
      <c r="J276" s="93"/>
      <c r="K276" s="93"/>
      <c r="L276" s="93"/>
      <c r="M276" s="94"/>
      <c r="N276" s="95" t="n">
        <v>1</v>
      </c>
      <c r="O276" s="95"/>
      <c r="P276" s="96"/>
      <c r="Q276" s="97"/>
      <c r="R276" s="98"/>
    </row>
    <row r="277" customFormat="false" ht="23.1" hidden="false" customHeight="false" outlineLevel="0" collapsed="false">
      <c r="A277" s="88" t="n">
        <f aca="false">+A276+1</f>
        <v>266</v>
      </c>
      <c r="B277" s="140"/>
      <c r="C277" s="99" t="n">
        <v>7</v>
      </c>
      <c r="D277" s="145" t="s">
        <v>167</v>
      </c>
      <c r="E277" s="145" t="s">
        <v>159</v>
      </c>
      <c r="F277" s="145" t="s">
        <v>50</v>
      </c>
      <c r="G277" s="92"/>
      <c r="H277" s="93"/>
      <c r="I277" s="93"/>
      <c r="J277" s="93"/>
      <c r="K277" s="93"/>
      <c r="L277" s="93"/>
      <c r="M277" s="94"/>
      <c r="N277" s="95" t="n">
        <v>1</v>
      </c>
      <c r="O277" s="95"/>
      <c r="P277" s="96"/>
      <c r="Q277" s="97"/>
      <c r="R277" s="98"/>
    </row>
    <row r="278" customFormat="false" ht="23.1" hidden="false" customHeight="false" outlineLevel="0" collapsed="false">
      <c r="A278" s="88" t="n">
        <f aca="false">+A277+1</f>
        <v>267</v>
      </c>
      <c r="B278" s="140"/>
      <c r="C278" s="99" t="n">
        <v>7</v>
      </c>
      <c r="D278" s="145" t="s">
        <v>167</v>
      </c>
      <c r="E278" s="145" t="s">
        <v>159</v>
      </c>
      <c r="F278" s="145" t="s">
        <v>50</v>
      </c>
      <c r="G278" s="92"/>
      <c r="H278" s="93"/>
      <c r="I278" s="93"/>
      <c r="J278" s="93"/>
      <c r="K278" s="93"/>
      <c r="L278" s="93"/>
      <c r="M278" s="94"/>
      <c r="N278" s="95" t="n">
        <v>1</v>
      </c>
      <c r="O278" s="95"/>
      <c r="P278" s="96"/>
      <c r="Q278" s="97"/>
      <c r="R278" s="98"/>
    </row>
    <row r="279" customFormat="false" ht="23.1" hidden="false" customHeight="false" outlineLevel="0" collapsed="false">
      <c r="A279" s="88" t="n">
        <f aca="false">+A278+1</f>
        <v>268</v>
      </c>
      <c r="B279" s="140"/>
      <c r="C279" s="99" t="n">
        <v>7</v>
      </c>
      <c r="D279" s="145" t="s">
        <v>167</v>
      </c>
      <c r="E279" s="145" t="s">
        <v>159</v>
      </c>
      <c r="F279" s="145" t="s">
        <v>50</v>
      </c>
      <c r="G279" s="92"/>
      <c r="H279" s="93"/>
      <c r="I279" s="93"/>
      <c r="J279" s="93"/>
      <c r="K279" s="93"/>
      <c r="L279" s="93"/>
      <c r="M279" s="94"/>
      <c r="N279" s="95" t="n">
        <v>1</v>
      </c>
      <c r="O279" s="95"/>
      <c r="P279" s="96"/>
      <c r="Q279" s="97"/>
      <c r="R279" s="98"/>
    </row>
    <row r="280" customFormat="false" ht="23.1" hidden="false" customHeight="false" outlineLevel="0" collapsed="false">
      <c r="A280" s="88" t="n">
        <f aca="false">+A279+1</f>
        <v>269</v>
      </c>
      <c r="B280" s="140"/>
      <c r="C280" s="99" t="n">
        <v>7</v>
      </c>
      <c r="D280" s="145" t="s">
        <v>167</v>
      </c>
      <c r="E280" s="145" t="s">
        <v>159</v>
      </c>
      <c r="F280" s="145" t="s">
        <v>50</v>
      </c>
      <c r="G280" s="92"/>
      <c r="H280" s="93"/>
      <c r="I280" s="93"/>
      <c r="J280" s="93"/>
      <c r="K280" s="93"/>
      <c r="L280" s="93"/>
      <c r="M280" s="94"/>
      <c r="N280" s="95" t="n">
        <v>1</v>
      </c>
      <c r="O280" s="95"/>
      <c r="P280" s="96"/>
      <c r="Q280" s="97"/>
      <c r="R280" s="98"/>
    </row>
    <row r="281" customFormat="false" ht="23.1" hidden="false" customHeight="false" outlineLevel="0" collapsed="false">
      <c r="A281" s="88" t="n">
        <f aca="false">+A280+1</f>
        <v>270</v>
      </c>
      <c r="B281" s="140"/>
      <c r="C281" s="99" t="n">
        <v>7</v>
      </c>
      <c r="D281" s="145" t="s">
        <v>167</v>
      </c>
      <c r="E281" s="145" t="s">
        <v>159</v>
      </c>
      <c r="F281" s="145" t="s">
        <v>50</v>
      </c>
      <c r="G281" s="92"/>
      <c r="H281" s="93"/>
      <c r="I281" s="93"/>
      <c r="J281" s="93"/>
      <c r="K281" s="93"/>
      <c r="L281" s="93"/>
      <c r="M281" s="94"/>
      <c r="N281" s="95" t="n">
        <v>1</v>
      </c>
      <c r="O281" s="95"/>
      <c r="P281" s="96"/>
      <c r="Q281" s="97"/>
      <c r="R281" s="98"/>
    </row>
    <row r="282" customFormat="false" ht="23.1" hidden="false" customHeight="false" outlineLevel="0" collapsed="false">
      <c r="A282" s="88" t="n">
        <f aca="false">+A281+1</f>
        <v>271</v>
      </c>
      <c r="B282" s="140"/>
      <c r="C282" s="99" t="n">
        <v>7</v>
      </c>
      <c r="D282" s="145" t="s">
        <v>167</v>
      </c>
      <c r="E282" s="145" t="s">
        <v>159</v>
      </c>
      <c r="F282" s="145" t="s">
        <v>50</v>
      </c>
      <c r="G282" s="92"/>
      <c r="H282" s="93"/>
      <c r="I282" s="93"/>
      <c r="J282" s="93"/>
      <c r="K282" s="93"/>
      <c r="L282" s="93"/>
      <c r="M282" s="94"/>
      <c r="N282" s="95" t="n">
        <v>1</v>
      </c>
      <c r="O282" s="95"/>
      <c r="P282" s="96"/>
      <c r="Q282" s="97"/>
      <c r="R282" s="98"/>
    </row>
    <row r="283" customFormat="false" ht="23.1" hidden="false" customHeight="false" outlineLevel="0" collapsed="false">
      <c r="A283" s="88" t="n">
        <f aca="false">+A282+1</f>
        <v>272</v>
      </c>
      <c r="B283" s="140"/>
      <c r="C283" s="99" t="n">
        <v>7</v>
      </c>
      <c r="D283" s="145" t="s">
        <v>167</v>
      </c>
      <c r="E283" s="145" t="s">
        <v>159</v>
      </c>
      <c r="F283" s="145" t="s">
        <v>50</v>
      </c>
      <c r="G283" s="92"/>
      <c r="H283" s="93"/>
      <c r="I283" s="93"/>
      <c r="J283" s="93"/>
      <c r="K283" s="93"/>
      <c r="L283" s="93"/>
      <c r="M283" s="94"/>
      <c r="N283" s="95" t="n">
        <v>1</v>
      </c>
      <c r="O283" s="95"/>
      <c r="P283" s="96"/>
      <c r="Q283" s="97"/>
      <c r="R283" s="98"/>
    </row>
    <row r="284" customFormat="false" ht="23.1" hidden="false" customHeight="false" outlineLevel="0" collapsed="false">
      <c r="A284" s="88" t="n">
        <f aca="false">+A283+1</f>
        <v>273</v>
      </c>
      <c r="B284" s="140"/>
      <c r="C284" s="99" t="n">
        <v>7</v>
      </c>
      <c r="D284" s="145" t="s">
        <v>167</v>
      </c>
      <c r="E284" s="145" t="s">
        <v>159</v>
      </c>
      <c r="F284" s="145" t="s">
        <v>50</v>
      </c>
      <c r="G284" s="92"/>
      <c r="H284" s="93"/>
      <c r="I284" s="93"/>
      <c r="J284" s="93"/>
      <c r="K284" s="93"/>
      <c r="L284" s="93"/>
      <c r="M284" s="94"/>
      <c r="N284" s="95" t="n">
        <v>1</v>
      </c>
      <c r="O284" s="95"/>
      <c r="P284" s="96"/>
      <c r="Q284" s="97"/>
      <c r="R284" s="98"/>
    </row>
    <row r="285" customFormat="false" ht="23.1" hidden="false" customHeight="false" outlineLevel="0" collapsed="false">
      <c r="A285" s="88" t="n">
        <f aca="false">+A284+1</f>
        <v>274</v>
      </c>
      <c r="B285" s="140"/>
      <c r="C285" s="99" t="n">
        <v>7</v>
      </c>
      <c r="D285" s="145" t="s">
        <v>167</v>
      </c>
      <c r="E285" s="145" t="s">
        <v>159</v>
      </c>
      <c r="F285" s="145" t="s">
        <v>50</v>
      </c>
      <c r="G285" s="92"/>
      <c r="H285" s="93"/>
      <c r="I285" s="93"/>
      <c r="J285" s="93"/>
      <c r="K285" s="93"/>
      <c r="L285" s="93"/>
      <c r="M285" s="94"/>
      <c r="N285" s="95" t="n">
        <v>1</v>
      </c>
      <c r="O285" s="95"/>
      <c r="P285" s="96"/>
      <c r="Q285" s="97"/>
      <c r="R285" s="98"/>
    </row>
    <row r="286" customFormat="false" ht="23.1" hidden="false" customHeight="false" outlineLevel="0" collapsed="false">
      <c r="A286" s="88" t="n">
        <f aca="false">+A285+1</f>
        <v>275</v>
      </c>
      <c r="B286" s="140"/>
      <c r="C286" s="99" t="n">
        <v>7</v>
      </c>
      <c r="D286" s="145" t="s">
        <v>167</v>
      </c>
      <c r="E286" s="145" t="s">
        <v>159</v>
      </c>
      <c r="F286" s="145" t="s">
        <v>50</v>
      </c>
      <c r="G286" s="92"/>
      <c r="H286" s="93"/>
      <c r="I286" s="93"/>
      <c r="J286" s="93"/>
      <c r="K286" s="93"/>
      <c r="L286" s="93"/>
      <c r="M286" s="94"/>
      <c r="N286" s="95" t="n">
        <v>1</v>
      </c>
      <c r="O286" s="95"/>
      <c r="P286" s="96"/>
      <c r="Q286" s="97"/>
      <c r="R286" s="98"/>
    </row>
    <row r="287" customFormat="false" ht="23.1" hidden="false" customHeight="false" outlineLevel="0" collapsed="false">
      <c r="A287" s="88" t="n">
        <f aca="false">+A286+1</f>
        <v>276</v>
      </c>
      <c r="B287" s="140"/>
      <c r="C287" s="99" t="n">
        <v>7</v>
      </c>
      <c r="D287" s="145" t="s">
        <v>167</v>
      </c>
      <c r="E287" s="145" t="s">
        <v>159</v>
      </c>
      <c r="F287" s="145" t="s">
        <v>50</v>
      </c>
      <c r="G287" s="92"/>
      <c r="H287" s="93"/>
      <c r="I287" s="93"/>
      <c r="J287" s="93"/>
      <c r="K287" s="93"/>
      <c r="L287" s="93"/>
      <c r="M287" s="94"/>
      <c r="N287" s="95" t="n">
        <v>1</v>
      </c>
      <c r="O287" s="95"/>
      <c r="P287" s="96"/>
      <c r="Q287" s="97"/>
      <c r="R287" s="98"/>
    </row>
    <row r="288" customFormat="false" ht="23.1" hidden="false" customHeight="false" outlineLevel="0" collapsed="false">
      <c r="A288" s="88" t="n">
        <f aca="false">+A287+1</f>
        <v>277</v>
      </c>
      <c r="B288" s="140"/>
      <c r="C288" s="99" t="n">
        <v>7</v>
      </c>
      <c r="D288" s="145" t="s">
        <v>167</v>
      </c>
      <c r="E288" s="145" t="s">
        <v>159</v>
      </c>
      <c r="F288" s="145" t="s">
        <v>50</v>
      </c>
      <c r="G288" s="92"/>
      <c r="H288" s="93"/>
      <c r="I288" s="93"/>
      <c r="J288" s="93"/>
      <c r="K288" s="93"/>
      <c r="L288" s="93"/>
      <c r="M288" s="94"/>
      <c r="N288" s="95" t="n">
        <v>1</v>
      </c>
      <c r="O288" s="95"/>
      <c r="P288" s="96"/>
      <c r="Q288" s="97"/>
      <c r="R288" s="98"/>
    </row>
    <row r="289" customFormat="false" ht="23.1" hidden="false" customHeight="false" outlineLevel="0" collapsed="false">
      <c r="A289" s="88" t="n">
        <f aca="false">+A288+1</f>
        <v>278</v>
      </c>
      <c r="B289" s="140"/>
      <c r="C289" s="99" t="n">
        <v>7</v>
      </c>
      <c r="D289" s="145" t="s">
        <v>167</v>
      </c>
      <c r="E289" s="145" t="s">
        <v>159</v>
      </c>
      <c r="F289" s="145" t="s">
        <v>50</v>
      </c>
      <c r="G289" s="92"/>
      <c r="H289" s="93"/>
      <c r="I289" s="93"/>
      <c r="J289" s="93"/>
      <c r="K289" s="93"/>
      <c r="L289" s="93"/>
      <c r="M289" s="94"/>
      <c r="N289" s="95" t="n">
        <v>1</v>
      </c>
      <c r="O289" s="95"/>
      <c r="P289" s="96"/>
      <c r="Q289" s="97"/>
      <c r="R289" s="98"/>
    </row>
    <row r="290" customFormat="false" ht="23.1" hidden="false" customHeight="false" outlineLevel="0" collapsed="false">
      <c r="A290" s="88" t="n">
        <f aca="false">+A289+1</f>
        <v>279</v>
      </c>
      <c r="B290" s="140"/>
      <c r="C290" s="99" t="n">
        <v>7</v>
      </c>
      <c r="D290" s="145" t="s">
        <v>167</v>
      </c>
      <c r="E290" s="145" t="s">
        <v>159</v>
      </c>
      <c r="F290" s="145" t="s">
        <v>50</v>
      </c>
      <c r="G290" s="92"/>
      <c r="H290" s="93"/>
      <c r="I290" s="93"/>
      <c r="J290" s="93"/>
      <c r="K290" s="93"/>
      <c r="L290" s="93"/>
      <c r="M290" s="94"/>
      <c r="N290" s="95" t="n">
        <v>1</v>
      </c>
      <c r="O290" s="95"/>
      <c r="P290" s="96"/>
      <c r="Q290" s="97"/>
      <c r="R290" s="98"/>
    </row>
    <row r="291" customFormat="false" ht="23.1" hidden="false" customHeight="false" outlineLevel="0" collapsed="false">
      <c r="A291" s="88" t="n">
        <f aca="false">+A290+1</f>
        <v>280</v>
      </c>
      <c r="B291" s="140"/>
      <c r="C291" s="99" t="n">
        <v>7</v>
      </c>
      <c r="D291" s="145" t="s">
        <v>167</v>
      </c>
      <c r="E291" s="145" t="s">
        <v>159</v>
      </c>
      <c r="F291" s="145" t="s">
        <v>50</v>
      </c>
      <c r="G291" s="92"/>
      <c r="H291" s="93"/>
      <c r="I291" s="93"/>
      <c r="J291" s="93"/>
      <c r="K291" s="93"/>
      <c r="L291" s="93"/>
      <c r="M291" s="94"/>
      <c r="N291" s="95" t="n">
        <v>1</v>
      </c>
      <c r="O291" s="95"/>
      <c r="P291" s="96"/>
      <c r="Q291" s="97"/>
      <c r="R291" s="98"/>
    </row>
    <row r="292" customFormat="false" ht="23.1" hidden="false" customHeight="false" outlineLevel="0" collapsed="false">
      <c r="A292" s="88" t="n">
        <f aca="false">+A291+1</f>
        <v>281</v>
      </c>
      <c r="B292" s="140"/>
      <c r="C292" s="99" t="n">
        <v>7</v>
      </c>
      <c r="D292" s="145" t="s">
        <v>167</v>
      </c>
      <c r="E292" s="145" t="s">
        <v>159</v>
      </c>
      <c r="F292" s="145" t="s">
        <v>50</v>
      </c>
      <c r="G292" s="92"/>
      <c r="H292" s="93"/>
      <c r="I292" s="93"/>
      <c r="J292" s="93"/>
      <c r="K292" s="93"/>
      <c r="L292" s="93"/>
      <c r="M292" s="94"/>
      <c r="N292" s="95" t="n">
        <v>1</v>
      </c>
      <c r="O292" s="95"/>
      <c r="P292" s="96"/>
      <c r="Q292" s="97"/>
      <c r="R292" s="98"/>
    </row>
    <row r="293" customFormat="false" ht="23.1" hidden="false" customHeight="false" outlineLevel="0" collapsed="false">
      <c r="A293" s="88" t="n">
        <f aca="false">+A292+1</f>
        <v>282</v>
      </c>
      <c r="B293" s="140"/>
      <c r="C293" s="99" t="n">
        <v>7</v>
      </c>
      <c r="D293" s="145" t="s">
        <v>167</v>
      </c>
      <c r="E293" s="145" t="s">
        <v>159</v>
      </c>
      <c r="F293" s="145" t="s">
        <v>50</v>
      </c>
      <c r="G293" s="92"/>
      <c r="H293" s="93"/>
      <c r="I293" s="93"/>
      <c r="J293" s="93"/>
      <c r="K293" s="93"/>
      <c r="L293" s="93"/>
      <c r="M293" s="94"/>
      <c r="N293" s="95" t="n">
        <v>1</v>
      </c>
      <c r="O293" s="95"/>
      <c r="P293" s="96"/>
      <c r="Q293" s="97"/>
      <c r="R293" s="98"/>
    </row>
    <row r="294" customFormat="false" ht="23.1" hidden="false" customHeight="false" outlineLevel="0" collapsed="false">
      <c r="A294" s="88" t="n">
        <f aca="false">+A293+1</f>
        <v>283</v>
      </c>
      <c r="B294" s="140"/>
      <c r="C294" s="99" t="n">
        <v>7</v>
      </c>
      <c r="D294" s="145" t="s">
        <v>167</v>
      </c>
      <c r="E294" s="145" t="s">
        <v>159</v>
      </c>
      <c r="F294" s="145" t="s">
        <v>50</v>
      </c>
      <c r="G294" s="92"/>
      <c r="H294" s="93"/>
      <c r="I294" s="93"/>
      <c r="J294" s="93"/>
      <c r="K294" s="93"/>
      <c r="L294" s="93"/>
      <c r="M294" s="94"/>
      <c r="N294" s="95" t="n">
        <v>1</v>
      </c>
      <c r="O294" s="95"/>
      <c r="P294" s="96"/>
      <c r="Q294" s="97"/>
      <c r="R294" s="98"/>
    </row>
    <row r="295" customFormat="false" ht="23.1" hidden="false" customHeight="false" outlineLevel="0" collapsed="false">
      <c r="A295" s="88" t="n">
        <f aca="false">+A294+1</f>
        <v>284</v>
      </c>
      <c r="B295" s="140"/>
      <c r="C295" s="99" t="n">
        <v>7</v>
      </c>
      <c r="D295" s="145" t="s">
        <v>167</v>
      </c>
      <c r="E295" s="145" t="s">
        <v>159</v>
      </c>
      <c r="F295" s="145" t="s">
        <v>50</v>
      </c>
      <c r="G295" s="92"/>
      <c r="H295" s="93"/>
      <c r="I295" s="93"/>
      <c r="J295" s="93"/>
      <c r="K295" s="93"/>
      <c r="L295" s="93"/>
      <c r="M295" s="94"/>
      <c r="N295" s="95" t="n">
        <v>1</v>
      </c>
      <c r="O295" s="95"/>
      <c r="P295" s="96"/>
      <c r="Q295" s="97"/>
      <c r="R295" s="98"/>
    </row>
    <row r="296" customFormat="false" ht="23.1" hidden="false" customHeight="false" outlineLevel="0" collapsed="false">
      <c r="A296" s="88" t="n">
        <f aca="false">+A295+1</f>
        <v>285</v>
      </c>
      <c r="B296" s="140"/>
      <c r="C296" s="99" t="n">
        <v>7</v>
      </c>
      <c r="D296" s="145" t="s">
        <v>167</v>
      </c>
      <c r="E296" s="145" t="s">
        <v>159</v>
      </c>
      <c r="F296" s="145" t="s">
        <v>50</v>
      </c>
      <c r="G296" s="92"/>
      <c r="H296" s="93"/>
      <c r="I296" s="93"/>
      <c r="J296" s="93"/>
      <c r="K296" s="93"/>
      <c r="L296" s="93"/>
      <c r="M296" s="94"/>
      <c r="N296" s="95" t="n">
        <v>1</v>
      </c>
      <c r="O296" s="95"/>
      <c r="P296" s="96"/>
      <c r="Q296" s="97"/>
      <c r="R296" s="98"/>
    </row>
    <row r="297" customFormat="false" ht="23.1" hidden="false" customHeight="false" outlineLevel="0" collapsed="false">
      <c r="A297" s="88" t="n">
        <f aca="false">+A296+1</f>
        <v>286</v>
      </c>
      <c r="B297" s="140"/>
      <c r="C297" s="99" t="n">
        <v>7</v>
      </c>
      <c r="D297" s="145" t="s">
        <v>167</v>
      </c>
      <c r="E297" s="145" t="s">
        <v>159</v>
      </c>
      <c r="F297" s="145" t="s">
        <v>50</v>
      </c>
      <c r="G297" s="92"/>
      <c r="H297" s="93"/>
      <c r="I297" s="93"/>
      <c r="J297" s="93"/>
      <c r="K297" s="93"/>
      <c r="L297" s="93"/>
      <c r="M297" s="94"/>
      <c r="N297" s="95" t="n">
        <v>1</v>
      </c>
      <c r="O297" s="95"/>
      <c r="P297" s="96"/>
      <c r="Q297" s="97"/>
      <c r="R297" s="98"/>
    </row>
    <row r="298" customFormat="false" ht="23.1" hidden="false" customHeight="false" outlineLevel="0" collapsed="false">
      <c r="A298" s="88" t="n">
        <f aca="false">+A297+1</f>
        <v>287</v>
      </c>
      <c r="B298" s="140"/>
      <c r="C298" s="99" t="n">
        <v>7</v>
      </c>
      <c r="D298" s="145" t="s">
        <v>167</v>
      </c>
      <c r="E298" s="145" t="s">
        <v>159</v>
      </c>
      <c r="F298" s="145" t="s">
        <v>50</v>
      </c>
      <c r="G298" s="92"/>
      <c r="H298" s="93"/>
      <c r="I298" s="93"/>
      <c r="J298" s="93"/>
      <c r="K298" s="93"/>
      <c r="L298" s="93"/>
      <c r="M298" s="94"/>
      <c r="N298" s="95" t="n">
        <v>1</v>
      </c>
      <c r="O298" s="95"/>
      <c r="P298" s="96"/>
      <c r="Q298" s="97"/>
      <c r="R298" s="98"/>
    </row>
    <row r="299" customFormat="false" ht="23.1" hidden="false" customHeight="false" outlineLevel="0" collapsed="false">
      <c r="A299" s="88" t="n">
        <f aca="false">+A298+1</f>
        <v>288</v>
      </c>
      <c r="B299" s="140"/>
      <c r="C299" s="99" t="n">
        <v>7</v>
      </c>
      <c r="D299" s="145" t="s">
        <v>167</v>
      </c>
      <c r="E299" s="145" t="s">
        <v>159</v>
      </c>
      <c r="F299" s="145" t="s">
        <v>50</v>
      </c>
      <c r="G299" s="92"/>
      <c r="H299" s="93"/>
      <c r="I299" s="93"/>
      <c r="J299" s="93"/>
      <c r="K299" s="93"/>
      <c r="L299" s="93"/>
      <c r="M299" s="94"/>
      <c r="N299" s="95" t="n">
        <v>1</v>
      </c>
      <c r="O299" s="95"/>
      <c r="P299" s="96"/>
      <c r="Q299" s="97"/>
      <c r="R299" s="98"/>
    </row>
    <row r="300" customFormat="false" ht="23.1" hidden="false" customHeight="false" outlineLevel="0" collapsed="false">
      <c r="A300" s="88" t="n">
        <f aca="false">+A299+1</f>
        <v>289</v>
      </c>
      <c r="B300" s="140"/>
      <c r="C300" s="99" t="n">
        <v>7</v>
      </c>
      <c r="D300" s="145" t="s">
        <v>167</v>
      </c>
      <c r="E300" s="145" t="s">
        <v>159</v>
      </c>
      <c r="F300" s="145" t="s">
        <v>50</v>
      </c>
      <c r="G300" s="92"/>
      <c r="H300" s="93"/>
      <c r="I300" s="93"/>
      <c r="J300" s="93"/>
      <c r="K300" s="93"/>
      <c r="L300" s="93"/>
      <c r="M300" s="94"/>
      <c r="N300" s="95" t="n">
        <v>1</v>
      </c>
      <c r="O300" s="95"/>
      <c r="P300" s="96"/>
      <c r="Q300" s="97"/>
      <c r="R300" s="98"/>
    </row>
    <row r="301" customFormat="false" ht="23.1" hidden="false" customHeight="false" outlineLevel="0" collapsed="false">
      <c r="A301" s="88" t="n">
        <f aca="false">+A300+1</f>
        <v>290</v>
      </c>
      <c r="B301" s="140"/>
      <c r="C301" s="99" t="n">
        <v>7</v>
      </c>
      <c r="D301" s="145" t="s">
        <v>167</v>
      </c>
      <c r="E301" s="145" t="s">
        <v>159</v>
      </c>
      <c r="F301" s="145" t="s">
        <v>50</v>
      </c>
      <c r="G301" s="92"/>
      <c r="H301" s="93"/>
      <c r="I301" s="93"/>
      <c r="J301" s="93"/>
      <c r="K301" s="93"/>
      <c r="L301" s="93"/>
      <c r="M301" s="94"/>
      <c r="N301" s="95" t="n">
        <v>1</v>
      </c>
      <c r="O301" s="95"/>
      <c r="P301" s="96"/>
      <c r="Q301" s="97"/>
      <c r="R301" s="98"/>
    </row>
    <row r="302" customFormat="false" ht="23.1" hidden="false" customHeight="false" outlineLevel="0" collapsed="false">
      <c r="A302" s="88" t="n">
        <f aca="false">+A301+1</f>
        <v>291</v>
      </c>
      <c r="B302" s="140"/>
      <c r="C302" s="99" t="n">
        <v>7</v>
      </c>
      <c r="D302" s="145" t="s">
        <v>167</v>
      </c>
      <c r="E302" s="145" t="s">
        <v>159</v>
      </c>
      <c r="F302" s="145" t="s">
        <v>50</v>
      </c>
      <c r="G302" s="92"/>
      <c r="H302" s="93"/>
      <c r="I302" s="93"/>
      <c r="J302" s="93"/>
      <c r="K302" s="93"/>
      <c r="L302" s="93"/>
      <c r="M302" s="94"/>
      <c r="N302" s="95" t="n">
        <v>1</v>
      </c>
      <c r="O302" s="95"/>
      <c r="P302" s="96"/>
      <c r="Q302" s="97"/>
      <c r="R302" s="98"/>
    </row>
    <row r="303" customFormat="false" ht="23.1" hidden="false" customHeight="false" outlineLevel="0" collapsed="false">
      <c r="A303" s="88" t="n">
        <f aca="false">+A302+1</f>
        <v>292</v>
      </c>
      <c r="B303" s="140"/>
      <c r="C303" s="99" t="n">
        <v>7</v>
      </c>
      <c r="D303" s="145" t="s">
        <v>167</v>
      </c>
      <c r="E303" s="145" t="s">
        <v>159</v>
      </c>
      <c r="F303" s="145" t="s">
        <v>50</v>
      </c>
      <c r="G303" s="92"/>
      <c r="H303" s="93"/>
      <c r="I303" s="93"/>
      <c r="J303" s="93"/>
      <c r="K303" s="93"/>
      <c r="L303" s="93"/>
      <c r="M303" s="94"/>
      <c r="N303" s="95" t="n">
        <v>1</v>
      </c>
      <c r="O303" s="95"/>
      <c r="P303" s="96"/>
      <c r="Q303" s="97"/>
      <c r="R303" s="98"/>
    </row>
    <row r="304" customFormat="false" ht="23.1" hidden="false" customHeight="false" outlineLevel="0" collapsed="false">
      <c r="A304" s="88" t="n">
        <f aca="false">+A303+1</f>
        <v>293</v>
      </c>
      <c r="B304" s="140"/>
      <c r="C304" s="99" t="n">
        <v>7</v>
      </c>
      <c r="D304" s="145" t="s">
        <v>167</v>
      </c>
      <c r="E304" s="145" t="s">
        <v>159</v>
      </c>
      <c r="F304" s="145" t="s">
        <v>50</v>
      </c>
      <c r="G304" s="92"/>
      <c r="H304" s="93"/>
      <c r="I304" s="93"/>
      <c r="J304" s="93"/>
      <c r="K304" s="93"/>
      <c r="L304" s="93"/>
      <c r="M304" s="94"/>
      <c r="N304" s="95" t="n">
        <v>1</v>
      </c>
      <c r="O304" s="95"/>
      <c r="P304" s="96"/>
      <c r="Q304" s="97"/>
      <c r="R304" s="98"/>
    </row>
    <row r="305" customFormat="false" ht="23.1" hidden="false" customHeight="false" outlineLevel="0" collapsed="false">
      <c r="A305" s="88" t="n">
        <f aca="false">+A304+1</f>
        <v>294</v>
      </c>
      <c r="B305" s="140"/>
      <c r="C305" s="99" t="n">
        <v>7</v>
      </c>
      <c r="D305" s="145" t="s">
        <v>167</v>
      </c>
      <c r="E305" s="145" t="s">
        <v>159</v>
      </c>
      <c r="F305" s="145" t="s">
        <v>50</v>
      </c>
      <c r="G305" s="92"/>
      <c r="H305" s="93"/>
      <c r="I305" s="93"/>
      <c r="J305" s="93"/>
      <c r="K305" s="93"/>
      <c r="L305" s="93"/>
      <c r="M305" s="94"/>
      <c r="N305" s="95" t="n">
        <v>1</v>
      </c>
      <c r="O305" s="95"/>
      <c r="P305" s="96"/>
      <c r="Q305" s="97"/>
      <c r="R305" s="98"/>
    </row>
    <row r="306" customFormat="false" ht="23.1" hidden="false" customHeight="false" outlineLevel="0" collapsed="false">
      <c r="A306" s="88" t="n">
        <f aca="false">+A305+1</f>
        <v>295</v>
      </c>
      <c r="B306" s="140"/>
      <c r="C306" s="99" t="n">
        <v>7</v>
      </c>
      <c r="D306" s="145" t="s">
        <v>167</v>
      </c>
      <c r="E306" s="145" t="s">
        <v>159</v>
      </c>
      <c r="F306" s="145" t="s">
        <v>50</v>
      </c>
      <c r="G306" s="92"/>
      <c r="H306" s="93"/>
      <c r="I306" s="93"/>
      <c r="J306" s="93"/>
      <c r="K306" s="93"/>
      <c r="L306" s="93"/>
      <c r="M306" s="94"/>
      <c r="N306" s="95" t="n">
        <v>1</v>
      </c>
      <c r="O306" s="95"/>
      <c r="P306" s="96"/>
      <c r="Q306" s="97"/>
      <c r="R306" s="98"/>
    </row>
    <row r="307" customFormat="false" ht="23.1" hidden="false" customHeight="false" outlineLevel="0" collapsed="false">
      <c r="A307" s="88" t="n">
        <f aca="false">+A306+1</f>
        <v>296</v>
      </c>
      <c r="B307" s="140"/>
      <c r="C307" s="99" t="n">
        <v>7</v>
      </c>
      <c r="D307" s="145" t="s">
        <v>167</v>
      </c>
      <c r="E307" s="145" t="s">
        <v>159</v>
      </c>
      <c r="F307" s="145" t="s">
        <v>50</v>
      </c>
      <c r="G307" s="92"/>
      <c r="H307" s="93"/>
      <c r="I307" s="93"/>
      <c r="J307" s="93"/>
      <c r="K307" s="93"/>
      <c r="L307" s="93"/>
      <c r="M307" s="94"/>
      <c r="N307" s="95" t="n">
        <v>1</v>
      </c>
      <c r="O307" s="95"/>
      <c r="P307" s="96"/>
      <c r="Q307" s="97"/>
      <c r="R307" s="98"/>
    </row>
    <row r="308" customFormat="false" ht="23.1" hidden="false" customHeight="false" outlineLevel="0" collapsed="false">
      <c r="A308" s="88" t="n">
        <f aca="false">+A307+1</f>
        <v>297</v>
      </c>
      <c r="B308" s="140"/>
      <c r="C308" s="99" t="n">
        <v>7</v>
      </c>
      <c r="D308" s="145" t="s">
        <v>167</v>
      </c>
      <c r="E308" s="145" t="s">
        <v>159</v>
      </c>
      <c r="F308" s="145" t="s">
        <v>50</v>
      </c>
      <c r="G308" s="92"/>
      <c r="H308" s="93"/>
      <c r="I308" s="93"/>
      <c r="J308" s="93"/>
      <c r="K308" s="93"/>
      <c r="L308" s="93"/>
      <c r="M308" s="94"/>
      <c r="N308" s="95" t="n">
        <v>1</v>
      </c>
      <c r="O308" s="95"/>
      <c r="P308" s="96"/>
      <c r="Q308" s="97"/>
      <c r="R308" s="98"/>
    </row>
    <row r="309" customFormat="false" ht="23.1" hidden="false" customHeight="false" outlineLevel="0" collapsed="false">
      <c r="A309" s="88" t="n">
        <f aca="false">+A308+1</f>
        <v>298</v>
      </c>
      <c r="B309" s="140"/>
      <c r="C309" s="99" t="n">
        <v>7</v>
      </c>
      <c r="D309" s="145" t="s">
        <v>167</v>
      </c>
      <c r="E309" s="145" t="s">
        <v>159</v>
      </c>
      <c r="F309" s="145" t="s">
        <v>50</v>
      </c>
      <c r="G309" s="92"/>
      <c r="H309" s="93"/>
      <c r="I309" s="93"/>
      <c r="J309" s="93"/>
      <c r="K309" s="93"/>
      <c r="L309" s="93"/>
      <c r="M309" s="94"/>
      <c r="N309" s="95" t="n">
        <v>1</v>
      </c>
      <c r="O309" s="95"/>
      <c r="P309" s="96"/>
      <c r="Q309" s="97"/>
      <c r="R309" s="98"/>
    </row>
    <row r="310" customFormat="false" ht="23.1" hidden="false" customHeight="false" outlineLevel="0" collapsed="false">
      <c r="A310" s="88" t="n">
        <f aca="false">+A309+1</f>
        <v>299</v>
      </c>
      <c r="B310" s="140"/>
      <c r="C310" s="99" t="n">
        <v>7</v>
      </c>
      <c r="D310" s="145" t="s">
        <v>167</v>
      </c>
      <c r="E310" s="145" t="s">
        <v>159</v>
      </c>
      <c r="F310" s="145" t="s">
        <v>50</v>
      </c>
      <c r="G310" s="92"/>
      <c r="H310" s="93"/>
      <c r="I310" s="93"/>
      <c r="J310" s="93"/>
      <c r="K310" s="93"/>
      <c r="L310" s="93"/>
      <c r="M310" s="94"/>
      <c r="N310" s="95" t="n">
        <v>1</v>
      </c>
      <c r="O310" s="95"/>
      <c r="P310" s="96"/>
      <c r="Q310" s="97"/>
      <c r="R310" s="98"/>
    </row>
    <row r="311" customFormat="false" ht="23.1" hidden="false" customHeight="false" outlineLevel="0" collapsed="false">
      <c r="A311" s="88" t="n">
        <f aca="false">+A134+1</f>
        <v>124</v>
      </c>
      <c r="B311" s="140"/>
      <c r="C311" s="99" t="n">
        <v>7</v>
      </c>
      <c r="D311" s="145" t="s">
        <v>168</v>
      </c>
      <c r="E311" s="145" t="s">
        <v>159</v>
      </c>
      <c r="F311" s="145" t="s">
        <v>50</v>
      </c>
      <c r="G311" s="93"/>
      <c r="H311" s="93"/>
      <c r="I311" s="93"/>
      <c r="J311" s="92"/>
      <c r="K311" s="93"/>
      <c r="L311" s="93"/>
      <c r="M311" s="94"/>
      <c r="N311" s="95" t="n">
        <v>1</v>
      </c>
      <c r="O311" s="95"/>
      <c r="P311" s="96"/>
      <c r="Q311" s="97"/>
      <c r="R311" s="98"/>
    </row>
    <row r="312" customFormat="false" ht="20" hidden="false" customHeight="false" outlineLevel="0" collapsed="false">
      <c r="A312" s="45"/>
      <c r="B312" s="45"/>
      <c r="C312" s="45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7"/>
      <c r="O312" s="147"/>
      <c r="Q312" s="146"/>
      <c r="R312" s="146"/>
    </row>
    <row r="313" s="148" customFormat="true" ht="18.65" hidden="false" customHeight="true" outlineLevel="0" collapsed="false">
      <c r="D313" s="149"/>
      <c r="E313" s="149"/>
      <c r="F313" s="149"/>
      <c r="N313" s="150" t="s">
        <v>169</v>
      </c>
      <c r="O313" s="151"/>
      <c r="P313" s="152" t="n">
        <f aca="false">COUNTA(N12:N311)</f>
        <v>300</v>
      </c>
      <c r="Q313" s="149"/>
      <c r="R313" s="149"/>
    </row>
    <row r="314" s="148" customFormat="true" ht="18.65" hidden="false" customHeight="true" outlineLevel="0" collapsed="false">
      <c r="D314" s="57"/>
      <c r="E314" s="149"/>
      <c r="F314" s="149"/>
      <c r="N314" s="150" t="s">
        <v>170</v>
      </c>
      <c r="O314" s="151"/>
      <c r="P314" s="152" t="n">
        <f aca="false">SUM(P12:P311)</f>
        <v>0</v>
      </c>
      <c r="Q314" s="149"/>
      <c r="R314" s="149" t="s">
        <v>96</v>
      </c>
    </row>
    <row r="315" s="148" customFormat="true" ht="18.65" hidden="false" customHeight="true" outlineLevel="0" collapsed="false">
      <c r="D315" s="57"/>
      <c r="E315" s="149"/>
      <c r="F315" s="149"/>
      <c r="N315" s="150" t="s">
        <v>171</v>
      </c>
      <c r="O315" s="151"/>
      <c r="P315" s="153" t="n">
        <f aca="false">+P314/P313</f>
        <v>0</v>
      </c>
      <c r="Q315" s="149"/>
      <c r="R315" s="149"/>
    </row>
    <row r="316" customFormat="false" ht="18.65" hidden="false" customHeight="true" outlineLevel="0" collapsed="false">
      <c r="A316" s="148"/>
      <c r="D316" s="70"/>
      <c r="N316" s="150" t="s">
        <v>172</v>
      </c>
      <c r="O316" s="151"/>
      <c r="P316" s="153" t="n">
        <v>0.8</v>
      </c>
    </row>
    <row r="317" customFormat="false" ht="20" hidden="false" customHeight="false" outlineLevel="0" collapsed="false">
      <c r="A317" s="148"/>
      <c r="D317" s="70" t="s">
        <v>173</v>
      </c>
      <c r="E317" s="70"/>
      <c r="F317" s="70"/>
      <c r="G317" s="70"/>
      <c r="H317" s="70"/>
      <c r="I317" s="70"/>
      <c r="J317" s="70"/>
      <c r="K317" s="70"/>
    </row>
    <row r="318" customFormat="false" ht="20" hidden="false" customHeight="false" outlineLevel="0" collapsed="false">
      <c r="A318" s="148"/>
    </row>
    <row r="319" s="148" customFormat="true" ht="22.5" hidden="false" customHeight="true" outlineLevel="0" collapsed="false">
      <c r="B319" s="154" t="s">
        <v>99</v>
      </c>
      <c r="C319" s="155"/>
      <c r="D319" s="156" t="s">
        <v>113</v>
      </c>
      <c r="E319" s="156" t="s">
        <v>78</v>
      </c>
      <c r="F319" s="156"/>
      <c r="G319" s="156" t="s">
        <v>174</v>
      </c>
      <c r="H319" s="156"/>
      <c r="I319" s="156"/>
      <c r="J319" s="156"/>
      <c r="K319" s="156"/>
      <c r="L319" s="156"/>
      <c r="M319" s="156" t="s">
        <v>79</v>
      </c>
      <c r="N319" s="156"/>
      <c r="O319" s="157" t="s">
        <v>175</v>
      </c>
      <c r="P319" s="157"/>
      <c r="Q319" s="157"/>
      <c r="R319" s="157"/>
    </row>
    <row r="320" s="148" customFormat="true" ht="22.5" hidden="false" customHeight="true" outlineLevel="0" collapsed="false">
      <c r="B320" s="136" t="n">
        <v>1</v>
      </c>
      <c r="C320" s="136"/>
      <c r="D320" s="136" t="str">
        <f aca="false">+T2</f>
        <v>Falta o Falla de Equipos</v>
      </c>
      <c r="E320" s="136" t="n">
        <f aca="false">+U2</f>
        <v>0</v>
      </c>
      <c r="F320" s="136"/>
      <c r="G320" s="158" t="e">
        <f aca="false">+M320</f>
        <v>#DIV/0!</v>
      </c>
      <c r="H320" s="158"/>
      <c r="I320" s="158"/>
      <c r="J320" s="158"/>
      <c r="K320" s="158"/>
      <c r="L320" s="158"/>
      <c r="M320" s="159" t="e">
        <f aca="false">+E320/$E$329</f>
        <v>#DIV/0!</v>
      </c>
      <c r="N320" s="159"/>
      <c r="O320" s="160"/>
      <c r="P320" s="161"/>
      <c r="Q320" s="161"/>
      <c r="R320" s="162"/>
    </row>
    <row r="321" s="148" customFormat="true" ht="22.5" hidden="false" customHeight="true" outlineLevel="0" collapsed="false">
      <c r="B321" s="96" t="n">
        <v>2</v>
      </c>
      <c r="C321" s="96"/>
      <c r="D321" s="96" t="str">
        <f aca="false">+T3</f>
        <v>Falta Mano de Obra</v>
      </c>
      <c r="E321" s="136" t="n">
        <f aca="false">+U3</f>
        <v>0</v>
      </c>
      <c r="F321" s="136"/>
      <c r="G321" s="163" t="e">
        <f aca="false">+G320+M321</f>
        <v>#DIV/0!</v>
      </c>
      <c r="H321" s="163"/>
      <c r="I321" s="163"/>
      <c r="J321" s="163"/>
      <c r="K321" s="163"/>
      <c r="L321" s="163"/>
      <c r="M321" s="164" t="e">
        <f aca="false">+E321/$E$329</f>
        <v>#DIV/0!</v>
      </c>
      <c r="N321" s="164"/>
      <c r="O321" s="165"/>
      <c r="P321" s="166"/>
      <c r="Q321" s="166"/>
      <c r="R321" s="167"/>
    </row>
    <row r="322" s="148" customFormat="true" ht="22.5" hidden="false" customHeight="true" outlineLevel="0" collapsed="false">
      <c r="B322" s="96" t="n">
        <v>3</v>
      </c>
      <c r="C322" s="96"/>
      <c r="D322" s="96" t="str">
        <f aca="false">+T4</f>
        <v>Falta de Materiales</v>
      </c>
      <c r="E322" s="136" t="n">
        <f aca="false">+U4</f>
        <v>0</v>
      </c>
      <c r="F322" s="136"/>
      <c r="G322" s="163" t="e">
        <f aca="false">+G321+M322</f>
        <v>#DIV/0!</v>
      </c>
      <c r="H322" s="163"/>
      <c r="I322" s="163"/>
      <c r="J322" s="163"/>
      <c r="K322" s="163"/>
      <c r="L322" s="163"/>
      <c r="M322" s="164" t="e">
        <f aca="false">+E322/$E$329</f>
        <v>#DIV/0!</v>
      </c>
      <c r="N322" s="164"/>
      <c r="O322" s="165"/>
      <c r="P322" s="166"/>
      <c r="Q322" s="166"/>
      <c r="R322" s="167"/>
    </row>
    <row r="323" s="148" customFormat="true" ht="22.5" hidden="false" customHeight="true" outlineLevel="0" collapsed="false">
      <c r="B323" s="96" t="n">
        <v>4</v>
      </c>
      <c r="C323" s="96"/>
      <c r="D323" s="96" t="str">
        <f aca="false">+T5</f>
        <v>Falla de Subcontratistas</v>
      </c>
      <c r="E323" s="136" t="n">
        <f aca="false">+U5</f>
        <v>0</v>
      </c>
      <c r="F323" s="136"/>
      <c r="G323" s="163" t="e">
        <f aca="false">+G322+M323</f>
        <v>#DIV/0!</v>
      </c>
      <c r="H323" s="163"/>
      <c r="I323" s="163"/>
      <c r="J323" s="163"/>
      <c r="K323" s="163"/>
      <c r="L323" s="163"/>
      <c r="M323" s="164" t="e">
        <f aca="false">+E323/$E$329</f>
        <v>#DIV/0!</v>
      </c>
      <c r="N323" s="164"/>
      <c r="O323" s="165"/>
      <c r="P323" s="166"/>
      <c r="Q323" s="166"/>
      <c r="R323" s="167"/>
    </row>
    <row r="324" s="148" customFormat="true" ht="22.5" hidden="false" customHeight="true" outlineLevel="0" collapsed="false">
      <c r="B324" s="96" t="n">
        <v>5</v>
      </c>
      <c r="C324" s="96"/>
      <c r="D324" s="96" t="str">
        <f aca="false">+T6</f>
        <v>Eventos no programables (clima, despachos, etc.)</v>
      </c>
      <c r="E324" s="136" t="n">
        <f aca="false">+U6</f>
        <v>0</v>
      </c>
      <c r="F324" s="136"/>
      <c r="G324" s="163" t="e">
        <f aca="false">+G323+M324</f>
        <v>#DIV/0!</v>
      </c>
      <c r="H324" s="163"/>
      <c r="I324" s="163"/>
      <c r="J324" s="163"/>
      <c r="K324" s="163"/>
      <c r="L324" s="163"/>
      <c r="M324" s="164" t="e">
        <f aca="false">+E324/$E$329</f>
        <v>#DIV/0!</v>
      </c>
      <c r="N324" s="164"/>
      <c r="O324" s="165"/>
      <c r="P324" s="166"/>
      <c r="Q324" s="166"/>
      <c r="R324" s="167"/>
    </row>
    <row r="325" s="148" customFormat="true" ht="22.5" hidden="false" customHeight="true" outlineLevel="0" collapsed="false">
      <c r="B325" s="96" t="n">
        <v>6</v>
      </c>
      <c r="C325" s="96"/>
      <c r="D325" s="96" t="str">
        <f aca="false">+T7</f>
        <v>Falla de Programación</v>
      </c>
      <c r="E325" s="136" t="n">
        <f aca="false">+U7</f>
        <v>0</v>
      </c>
      <c r="F325" s="136"/>
      <c r="G325" s="163" t="e">
        <f aca="false">+G324+M325</f>
        <v>#DIV/0!</v>
      </c>
      <c r="H325" s="163"/>
      <c r="I325" s="163"/>
      <c r="J325" s="163"/>
      <c r="K325" s="163"/>
      <c r="L325" s="163"/>
      <c r="M325" s="164" t="e">
        <f aca="false">+E325/$E$329</f>
        <v>#DIV/0!</v>
      </c>
      <c r="N325" s="164"/>
      <c r="O325" s="165" t="s">
        <v>96</v>
      </c>
      <c r="P325" s="166"/>
      <c r="Q325" s="166"/>
      <c r="R325" s="167"/>
    </row>
    <row r="326" s="148" customFormat="true" ht="22.5" hidden="false" customHeight="true" outlineLevel="0" collapsed="false">
      <c r="B326" s="96" t="n">
        <v>7</v>
      </c>
      <c r="C326" s="96"/>
      <c r="D326" s="96" t="str">
        <f aca="false">+T8</f>
        <v>Cambio de Activ. Por el JT o AO</v>
      </c>
      <c r="E326" s="136" t="n">
        <f aca="false">+U8</f>
        <v>0</v>
      </c>
      <c r="F326" s="136"/>
      <c r="G326" s="163" t="e">
        <f aca="false">+G325+M326</f>
        <v>#DIV/0!</v>
      </c>
      <c r="H326" s="163"/>
      <c r="I326" s="163"/>
      <c r="J326" s="163"/>
      <c r="K326" s="163"/>
      <c r="L326" s="163"/>
      <c r="M326" s="164" t="e">
        <f aca="false">+E326/$E$329</f>
        <v>#DIV/0!</v>
      </c>
      <c r="N326" s="164"/>
      <c r="O326" s="165"/>
      <c r="P326" s="166"/>
      <c r="Q326" s="166"/>
      <c r="R326" s="167"/>
    </row>
    <row r="327" s="148" customFormat="true" ht="22.5" hidden="false" customHeight="true" outlineLevel="0" collapsed="false">
      <c r="B327" s="96" t="n">
        <v>8</v>
      </c>
      <c r="C327" s="96"/>
      <c r="D327" s="96" t="str">
        <f aca="false">+T9</f>
        <v>Indefinición de Proyecto o Diseño</v>
      </c>
      <c r="E327" s="136" t="n">
        <f aca="false">+U9</f>
        <v>0</v>
      </c>
      <c r="F327" s="136"/>
      <c r="G327" s="163" t="e">
        <f aca="false">+G326+M327</f>
        <v>#DIV/0!</v>
      </c>
      <c r="H327" s="163"/>
      <c r="I327" s="163"/>
      <c r="J327" s="163"/>
      <c r="K327" s="163"/>
      <c r="L327" s="163"/>
      <c r="M327" s="164" t="e">
        <f aca="false">+E327/$E$329</f>
        <v>#DIV/0!</v>
      </c>
      <c r="N327" s="164"/>
      <c r="O327" s="165"/>
      <c r="P327" s="166"/>
      <c r="Q327" s="166"/>
      <c r="R327" s="167"/>
    </row>
    <row r="328" s="148" customFormat="true" ht="22.5" hidden="false" customHeight="true" outlineLevel="0" collapsed="false">
      <c r="B328" s="96" t="n">
        <v>9</v>
      </c>
      <c r="C328" s="96"/>
      <c r="D328" s="96" t="str">
        <f aca="false">+T10</f>
        <v>Mala Ejecucion</v>
      </c>
      <c r="E328" s="136" t="n">
        <f aca="false">+U10</f>
        <v>0</v>
      </c>
      <c r="F328" s="136"/>
      <c r="G328" s="163" t="e">
        <f aca="false">+G327+M328</f>
        <v>#DIV/0!</v>
      </c>
      <c r="H328" s="163"/>
      <c r="I328" s="163"/>
      <c r="J328" s="163"/>
      <c r="K328" s="163"/>
      <c r="L328" s="163"/>
      <c r="M328" s="164" t="e">
        <f aca="false">+E328/$E$329</f>
        <v>#DIV/0!</v>
      </c>
      <c r="N328" s="164"/>
      <c r="O328" s="165"/>
      <c r="P328" s="166"/>
      <c r="Q328" s="166"/>
      <c r="R328" s="167"/>
    </row>
    <row r="329" s="45" customFormat="true" ht="15" hidden="false" customHeight="true" outlineLevel="0" collapsed="false">
      <c r="B329" s="44"/>
      <c r="C329" s="44"/>
      <c r="E329" s="149" t="n">
        <f aca="false">SUM(E320:E328)</f>
        <v>0</v>
      </c>
      <c r="F329" s="149"/>
      <c r="G329" s="168"/>
      <c r="H329" s="168"/>
      <c r="I329" s="168"/>
      <c r="J329" s="168"/>
      <c r="K329" s="168"/>
      <c r="L329" s="168"/>
      <c r="M329" s="44"/>
    </row>
  </sheetData>
  <mergeCells count="49">
    <mergeCell ref="N2:O2"/>
    <mergeCell ref="P2:R2"/>
    <mergeCell ref="B3:G4"/>
    <mergeCell ref="H3:J4"/>
    <mergeCell ref="N3:O3"/>
    <mergeCell ref="P3:R3"/>
    <mergeCell ref="N4:O4"/>
    <mergeCell ref="P4:R4"/>
    <mergeCell ref="N5:O5"/>
    <mergeCell ref="P5:R5"/>
    <mergeCell ref="B8:B9"/>
    <mergeCell ref="G8:I8"/>
    <mergeCell ref="J8:M8"/>
    <mergeCell ref="N8:P8"/>
    <mergeCell ref="G9:M9"/>
    <mergeCell ref="A10:A11"/>
    <mergeCell ref="C10:C11"/>
    <mergeCell ref="D10:D11"/>
    <mergeCell ref="E10:E11"/>
    <mergeCell ref="F10:F11"/>
    <mergeCell ref="N10:O10"/>
    <mergeCell ref="P10:P11"/>
    <mergeCell ref="Q10:Q11"/>
    <mergeCell ref="R10:R11"/>
    <mergeCell ref="B12:B57"/>
    <mergeCell ref="B58:B66"/>
    <mergeCell ref="B67:B72"/>
    <mergeCell ref="B73:B311"/>
    <mergeCell ref="G319:L319"/>
    <mergeCell ref="M319:N319"/>
    <mergeCell ref="O319:R319"/>
    <mergeCell ref="G320:L320"/>
    <mergeCell ref="M320:N320"/>
    <mergeCell ref="G321:L321"/>
    <mergeCell ref="M321:N321"/>
    <mergeCell ref="G322:L322"/>
    <mergeCell ref="M322:N322"/>
    <mergeCell ref="G323:L323"/>
    <mergeCell ref="M323:N323"/>
    <mergeCell ref="G324:L324"/>
    <mergeCell ref="M324:N324"/>
    <mergeCell ref="G325:L325"/>
    <mergeCell ref="M325:N325"/>
    <mergeCell ref="G326:L326"/>
    <mergeCell ref="M326:N326"/>
    <mergeCell ref="G327:L327"/>
    <mergeCell ref="M327:N327"/>
    <mergeCell ref="G328:L328"/>
    <mergeCell ref="M328:N328"/>
  </mergeCells>
  <dataValidations count="1">
    <dataValidation allowBlank="true" errorStyle="stop" operator="between" showDropDown="false" showErrorMessage="true" showInputMessage="true" sqref="Q12:Q311" type="list">
      <formula1>#ref!</formula1>
      <formula2>0</formula2>
    </dataValidation>
  </dataValidation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AB809"/>
  <sheetViews>
    <sheetView showFormulas="false" showGridLines="true" showRowColHeaders="true" showZeros="true" rightToLeft="false" tabSelected="false" showOutlineSymbols="true" defaultGridColor="true" view="normal" topLeftCell="A6" colorId="64" zoomScale="70" zoomScaleNormal="70" zoomScalePageLayoutView="100" workbookViewId="0">
      <selection pane="topLeft" activeCell="Q10" activeCellId="0" sqref="Q10"/>
    </sheetView>
  </sheetViews>
  <sheetFormatPr defaultColWidth="14.453125" defaultRowHeight="15" zeroHeight="false" outlineLevelRow="0" outlineLevelCol="0"/>
  <cols>
    <col collapsed="false" customWidth="true" hidden="false" outlineLevel="0" max="1" min="1" style="169" width="6"/>
    <col collapsed="false" customWidth="true" hidden="false" outlineLevel="0" max="2" min="2" style="169" width="19.73"/>
    <col collapsed="false" customWidth="true" hidden="false" outlineLevel="0" max="3" min="3" style="169" width="24"/>
    <col collapsed="false" customWidth="true" hidden="false" outlineLevel="0" max="4" min="4" style="169" width="28.45"/>
    <col collapsed="false" customWidth="true" hidden="false" outlineLevel="0" max="5" min="5" style="169" width="36.82"/>
    <col collapsed="false" customWidth="true" hidden="false" outlineLevel="0" max="6" min="6" style="169" width="24.54"/>
    <col collapsed="false" customWidth="true" hidden="false" outlineLevel="0" max="7" min="7" style="169" width="46.27"/>
    <col collapsed="false" customWidth="true" hidden="false" outlineLevel="0" max="8" min="8" style="169" width="19.27"/>
    <col collapsed="false" customWidth="true" hidden="false" outlineLevel="0" max="9" min="9" style="169" width="19.54"/>
    <col collapsed="false" customWidth="true" hidden="false" outlineLevel="0" max="10" min="10" style="169" width="25.82"/>
    <col collapsed="false" customWidth="true" hidden="false" outlineLevel="0" max="11" min="11" style="169" width="20"/>
    <col collapsed="false" customWidth="true" hidden="false" outlineLevel="0" max="12" min="12" style="169" width="16.54"/>
    <col collapsed="false" customWidth="true" hidden="false" outlineLevel="0" max="28" min="13" style="169" width="10.54"/>
    <col collapsed="false" customWidth="false" hidden="false" outlineLevel="0" max="16384" min="29" style="169" width="14.45"/>
  </cols>
  <sheetData>
    <row r="1" customFormat="false" ht="15" hidden="false" customHeight="false" outlineLevel="0" collapsed="false">
      <c r="A1" s="170"/>
      <c r="B1" s="171"/>
      <c r="E1" s="170"/>
      <c r="F1" s="170"/>
      <c r="G1" s="170"/>
      <c r="H1" s="170"/>
      <c r="I1" s="170"/>
      <c r="J1" s="170"/>
      <c r="K1" s="170"/>
      <c r="L1" s="170"/>
    </row>
    <row r="2" customFormat="false" ht="15" hidden="false" customHeight="false" outlineLevel="0" collapsed="false">
      <c r="A2" s="170"/>
      <c r="E2" s="172"/>
      <c r="J2" s="170"/>
      <c r="K2" s="170"/>
      <c r="L2" s="170"/>
    </row>
    <row r="3" customFormat="false" ht="15" hidden="false" customHeight="false" outlineLevel="0" collapsed="false">
      <c r="A3" s="170"/>
      <c r="E3" s="173"/>
      <c r="J3" s="170"/>
      <c r="K3" s="170"/>
      <c r="L3" s="170"/>
    </row>
    <row r="4" customFormat="false" ht="15" hidden="false" customHeight="false" outlineLevel="0" collapsed="false">
      <c r="A4" s="170"/>
      <c r="E4" s="170"/>
      <c r="F4" s="170"/>
      <c r="G4" s="170"/>
      <c r="H4" s="170"/>
      <c r="I4" s="170"/>
      <c r="J4" s="170"/>
      <c r="K4" s="170"/>
      <c r="L4" s="170"/>
    </row>
    <row r="5" customFormat="false" ht="15" hidden="false" customHeight="false" outlineLevel="0" collapsed="false">
      <c r="A5" s="170"/>
      <c r="B5" s="170"/>
      <c r="C5" s="170"/>
      <c r="E5" s="170"/>
      <c r="F5" s="170"/>
      <c r="G5" s="170"/>
      <c r="H5" s="170"/>
      <c r="I5" s="170"/>
      <c r="J5" s="170"/>
      <c r="K5" s="170"/>
      <c r="L5" s="170"/>
    </row>
    <row r="6" customFormat="false" ht="22.05" hidden="false" customHeight="false" outlineLevel="0" collapsed="false">
      <c r="A6" s="170"/>
      <c r="B6" s="174" t="s">
        <v>176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</row>
    <row r="7" customFormat="false" ht="17.35" hidden="false" customHeight="false" outlineLevel="0" collapsed="false">
      <c r="A7" s="175"/>
      <c r="B7" s="176"/>
      <c r="C7" s="176"/>
      <c r="D7" s="176"/>
      <c r="E7" s="170"/>
      <c r="F7" s="170"/>
      <c r="G7" s="170"/>
      <c r="H7" s="170"/>
      <c r="I7" s="170"/>
      <c r="J7" s="170"/>
      <c r="K7" s="170"/>
      <c r="L7" s="170"/>
    </row>
    <row r="8" customFormat="false" ht="28.35" hidden="false" customHeight="false" outlineLevel="0" collapsed="false">
      <c r="A8" s="170"/>
      <c r="B8" s="177" t="s">
        <v>101</v>
      </c>
      <c r="C8" s="178" t="s">
        <v>177</v>
      </c>
      <c r="D8" s="177" t="s">
        <v>100</v>
      </c>
      <c r="E8" s="177" t="s">
        <v>178</v>
      </c>
      <c r="F8" s="177" t="s">
        <v>179</v>
      </c>
      <c r="G8" s="177" t="s">
        <v>180</v>
      </c>
      <c r="H8" s="177" t="s">
        <v>181</v>
      </c>
      <c r="I8" s="177" t="s">
        <v>76</v>
      </c>
      <c r="J8" s="178" t="s">
        <v>182</v>
      </c>
      <c r="K8" s="178" t="s">
        <v>183</v>
      </c>
      <c r="L8" s="177" t="s">
        <v>184</v>
      </c>
    </row>
    <row r="9" customFormat="false" ht="36.65" hidden="false" customHeight="true" outlineLevel="0" collapsed="false">
      <c r="A9" s="170"/>
      <c r="B9" s="179" t="s">
        <v>185</v>
      </c>
      <c r="C9" s="180" t="n">
        <v>45863</v>
      </c>
      <c r="D9" s="179" t="s">
        <v>144</v>
      </c>
      <c r="E9" s="181" t="s">
        <v>186</v>
      </c>
      <c r="F9" s="179" t="s">
        <v>187</v>
      </c>
      <c r="G9" s="181" t="s">
        <v>188</v>
      </c>
      <c r="H9" s="181" t="s">
        <v>189</v>
      </c>
      <c r="I9" s="181" t="s">
        <v>55</v>
      </c>
      <c r="J9" s="180" t="n">
        <v>45864</v>
      </c>
      <c r="K9" s="182"/>
      <c r="L9" s="20"/>
    </row>
    <row r="10" customFormat="false" ht="36.65" hidden="false" customHeight="true" outlineLevel="0" collapsed="false">
      <c r="A10" s="170"/>
      <c r="B10" s="179" t="s">
        <v>190</v>
      </c>
      <c r="C10" s="180" t="n">
        <v>45863</v>
      </c>
      <c r="D10" s="179" t="s">
        <v>191</v>
      </c>
      <c r="E10" s="181" t="s">
        <v>192</v>
      </c>
      <c r="F10" s="179" t="s">
        <v>193</v>
      </c>
      <c r="G10" s="181" t="s">
        <v>194</v>
      </c>
      <c r="H10" s="181" t="s">
        <v>189</v>
      </c>
      <c r="I10" s="181" t="s">
        <v>20</v>
      </c>
      <c r="J10" s="180" t="n">
        <v>45866</v>
      </c>
      <c r="K10" s="182"/>
      <c r="L10" s="20"/>
    </row>
    <row r="11" customFormat="false" ht="36.65" hidden="false" customHeight="true" outlineLevel="0" collapsed="false">
      <c r="A11" s="170"/>
      <c r="B11" s="179" t="s">
        <v>195</v>
      </c>
      <c r="C11" s="180" t="n">
        <v>45985</v>
      </c>
      <c r="D11" s="179" t="s">
        <v>144</v>
      </c>
      <c r="E11" s="181" t="s">
        <v>196</v>
      </c>
      <c r="F11" s="179" t="s">
        <v>197</v>
      </c>
      <c r="G11" s="181" t="s">
        <v>198</v>
      </c>
      <c r="H11" s="181" t="s">
        <v>189</v>
      </c>
      <c r="I11" s="181" t="s">
        <v>26</v>
      </c>
      <c r="J11" s="180" t="n">
        <v>45989</v>
      </c>
      <c r="K11" s="182"/>
      <c r="L11" s="20"/>
    </row>
    <row r="12" customFormat="false" ht="36.65" hidden="false" customHeight="true" outlineLevel="0" collapsed="false">
      <c r="A12" s="170"/>
      <c r="B12" s="179" t="s">
        <v>199</v>
      </c>
      <c r="C12" s="180" t="n">
        <v>45985</v>
      </c>
      <c r="D12" s="179" t="s">
        <v>137</v>
      </c>
      <c r="E12" s="181" t="s">
        <v>200</v>
      </c>
      <c r="F12" s="179" t="s">
        <v>201</v>
      </c>
      <c r="G12" s="181" t="s">
        <v>202</v>
      </c>
      <c r="H12" s="181" t="s">
        <v>189</v>
      </c>
      <c r="I12" s="181" t="s">
        <v>20</v>
      </c>
      <c r="J12" s="180" t="n">
        <v>45988</v>
      </c>
      <c r="K12" s="182"/>
      <c r="L12" s="20"/>
    </row>
    <row r="13" customFormat="false" ht="27" hidden="false" customHeight="true" outlineLevel="0" collapsed="false">
      <c r="A13" s="170"/>
      <c r="B13" s="170"/>
      <c r="C13" s="183"/>
      <c r="D13" s="170"/>
      <c r="E13" s="184"/>
      <c r="F13" s="170"/>
      <c r="G13" s="184"/>
      <c r="H13" s="184"/>
      <c r="I13" s="184"/>
      <c r="J13" s="183"/>
      <c r="K13" s="185"/>
      <c r="L13" s="186"/>
    </row>
    <row r="14" customFormat="false" ht="25" hidden="false" customHeight="true" outlineLevel="0" collapsed="false">
      <c r="A14" s="170"/>
      <c r="B14" s="170"/>
      <c r="C14" s="183"/>
      <c r="D14" s="170"/>
      <c r="E14" s="184"/>
      <c r="F14" s="170"/>
      <c r="G14" s="184"/>
      <c r="H14" s="184"/>
      <c r="I14" s="184"/>
      <c r="J14" s="183"/>
      <c r="K14" s="185"/>
      <c r="L14" s="186"/>
    </row>
    <row r="15" customFormat="false" ht="21.65" hidden="false" customHeight="true" outlineLevel="0" collapsed="false">
      <c r="A15" s="170"/>
      <c r="B15" s="170"/>
      <c r="C15" s="183"/>
      <c r="D15" s="170"/>
      <c r="E15" s="184"/>
      <c r="F15" s="170"/>
      <c r="G15" s="184"/>
      <c r="H15" s="184"/>
      <c r="I15" s="184"/>
      <c r="J15" s="183"/>
      <c r="K15" s="185"/>
      <c r="L15" s="186"/>
    </row>
    <row r="16" customFormat="false" ht="21.65" hidden="false" customHeight="true" outlineLevel="0" collapsed="false">
      <c r="A16" s="170"/>
      <c r="B16" s="170"/>
      <c r="C16" s="183"/>
      <c r="D16" s="170"/>
      <c r="E16" s="184"/>
      <c r="F16" s="170"/>
      <c r="G16" s="184"/>
      <c r="H16" s="184"/>
      <c r="I16" s="184"/>
      <c r="J16" s="183"/>
      <c r="K16" s="185"/>
      <c r="L16" s="186"/>
    </row>
    <row r="17" customFormat="false" ht="21.65" hidden="false" customHeight="true" outlineLevel="0" collapsed="false">
      <c r="A17" s="170"/>
      <c r="B17" s="170"/>
      <c r="C17" s="183"/>
      <c r="D17" s="170"/>
      <c r="E17" s="184"/>
      <c r="F17" s="170"/>
      <c r="G17" s="184"/>
      <c r="H17" s="184"/>
      <c r="I17" s="184"/>
      <c r="J17" s="183"/>
      <c r="K17" s="185"/>
      <c r="L17" s="186"/>
    </row>
    <row r="18" customFormat="false" ht="21.65" hidden="false" customHeight="true" outlineLevel="0" collapsed="false">
      <c r="A18" s="170"/>
      <c r="B18" s="170"/>
      <c r="C18" s="183"/>
      <c r="D18" s="170"/>
      <c r="E18" s="184"/>
      <c r="F18" s="170"/>
      <c r="G18" s="184"/>
      <c r="H18" s="184"/>
      <c r="I18" s="184"/>
      <c r="J18" s="183"/>
      <c r="K18" s="185"/>
      <c r="L18" s="186"/>
    </row>
    <row r="19" customFormat="false" ht="21.65" hidden="false" customHeight="true" outlineLevel="0" collapsed="false">
      <c r="A19" s="170"/>
      <c r="B19" s="170"/>
      <c r="C19" s="183"/>
      <c r="D19" s="170"/>
      <c r="E19" s="184"/>
      <c r="F19" s="170"/>
      <c r="G19" s="184"/>
      <c r="H19" s="184"/>
      <c r="I19" s="184"/>
      <c r="J19" s="183"/>
      <c r="K19" s="185"/>
      <c r="L19" s="186"/>
    </row>
    <row r="20" customFormat="false" ht="21.65" hidden="false" customHeight="true" outlineLevel="0" collapsed="false">
      <c r="A20" s="170"/>
      <c r="B20" s="170"/>
      <c r="C20" s="183"/>
      <c r="D20" s="170"/>
      <c r="E20" s="184"/>
      <c r="F20" s="170"/>
      <c r="G20" s="184"/>
      <c r="H20" s="184"/>
      <c r="I20" s="184"/>
      <c r="J20" s="183"/>
      <c r="K20" s="185"/>
      <c r="L20" s="186"/>
    </row>
    <row r="21" customFormat="false" ht="21.65" hidden="false" customHeight="true" outlineLevel="0" collapsed="false">
      <c r="A21" s="170"/>
      <c r="B21" s="170"/>
      <c r="C21" s="183"/>
      <c r="D21" s="170"/>
      <c r="E21" s="184"/>
      <c r="F21" s="170"/>
      <c r="G21" s="184"/>
      <c r="H21" s="184"/>
      <c r="I21" s="184"/>
      <c r="J21" s="183"/>
      <c r="K21" s="185"/>
      <c r="L21" s="186"/>
    </row>
    <row r="22" customFormat="false" ht="21.65" hidden="false" customHeight="true" outlineLevel="0" collapsed="false">
      <c r="A22" s="170"/>
      <c r="B22" s="170"/>
      <c r="C22" s="183"/>
      <c r="D22" s="170"/>
      <c r="E22" s="184"/>
      <c r="F22" s="170"/>
      <c r="G22" s="184"/>
      <c r="H22" s="184"/>
      <c r="I22" s="184"/>
      <c r="J22" s="183"/>
      <c r="K22" s="185"/>
      <c r="L22" s="186"/>
    </row>
    <row r="23" customFormat="false" ht="21.65" hidden="false" customHeight="true" outlineLevel="0" collapsed="false">
      <c r="A23" s="170"/>
      <c r="B23" s="170"/>
      <c r="C23" s="183"/>
      <c r="D23" s="170"/>
      <c r="E23" s="184"/>
      <c r="F23" s="170"/>
      <c r="G23" s="184"/>
      <c r="H23" s="184"/>
      <c r="I23" s="184"/>
      <c r="J23" s="183"/>
      <c r="K23" s="185"/>
      <c r="L23" s="186"/>
    </row>
    <row r="24" customFormat="false" ht="21.65" hidden="false" customHeight="true" outlineLevel="0" collapsed="false">
      <c r="A24" s="170"/>
      <c r="B24" s="170"/>
      <c r="C24" s="183"/>
      <c r="D24" s="170"/>
      <c r="E24" s="184"/>
      <c r="F24" s="170"/>
      <c r="G24" s="184"/>
      <c r="H24" s="184"/>
      <c r="I24" s="184"/>
      <c r="J24" s="183"/>
      <c r="K24" s="185"/>
      <c r="L24" s="186"/>
    </row>
    <row r="25" customFormat="false" ht="21.65" hidden="false" customHeight="true" outlineLevel="0" collapsed="false">
      <c r="A25" s="170"/>
      <c r="B25" s="170"/>
      <c r="C25" s="183"/>
      <c r="D25" s="170"/>
      <c r="E25" s="184"/>
      <c r="F25" s="170"/>
      <c r="G25" s="184"/>
      <c r="H25" s="184"/>
      <c r="I25" s="184"/>
      <c r="J25" s="183"/>
      <c r="K25" s="185"/>
      <c r="L25" s="186"/>
    </row>
    <row r="26" customFormat="false" ht="21.65" hidden="false" customHeight="true" outlineLevel="0" collapsed="false">
      <c r="A26" s="170"/>
      <c r="B26" s="170"/>
      <c r="C26" s="183"/>
      <c r="D26" s="170"/>
      <c r="E26" s="184"/>
      <c r="F26" s="170"/>
      <c r="G26" s="184"/>
      <c r="H26" s="184"/>
      <c r="I26" s="184"/>
      <c r="J26" s="183"/>
      <c r="K26" s="185"/>
      <c r="L26" s="186"/>
    </row>
    <row r="27" customFormat="false" ht="21.65" hidden="false" customHeight="true" outlineLevel="0" collapsed="false">
      <c r="A27" s="170"/>
      <c r="B27" s="170"/>
      <c r="C27" s="183"/>
      <c r="D27" s="170"/>
      <c r="E27" s="184"/>
      <c r="F27" s="170"/>
      <c r="G27" s="184"/>
      <c r="H27" s="184"/>
      <c r="I27" s="184"/>
      <c r="J27" s="183"/>
      <c r="K27" s="185"/>
      <c r="L27" s="186"/>
    </row>
    <row r="28" customFormat="false" ht="21.65" hidden="false" customHeight="true" outlineLevel="0" collapsed="false">
      <c r="A28" s="170"/>
      <c r="B28" s="170"/>
      <c r="C28" s="183"/>
      <c r="D28" s="170"/>
      <c r="E28" s="184"/>
      <c r="F28" s="170"/>
      <c r="G28" s="184"/>
      <c r="H28" s="184"/>
      <c r="I28" s="184"/>
      <c r="J28" s="183"/>
      <c r="K28" s="185"/>
      <c r="L28" s="186"/>
    </row>
    <row r="29" customFormat="false" ht="21.65" hidden="false" customHeight="true" outlineLevel="0" collapsed="false">
      <c r="A29" s="170"/>
      <c r="B29" s="170"/>
      <c r="C29" s="183"/>
      <c r="D29" s="170"/>
      <c r="E29" s="184"/>
      <c r="F29" s="170"/>
      <c r="G29" s="184"/>
      <c r="H29" s="184"/>
      <c r="I29" s="184"/>
      <c r="J29" s="183"/>
      <c r="K29" s="185"/>
      <c r="L29" s="186"/>
    </row>
    <row r="30" customFormat="false" ht="21.65" hidden="false" customHeight="true" outlineLevel="0" collapsed="false">
      <c r="A30" s="170"/>
      <c r="B30" s="170"/>
      <c r="C30" s="183"/>
      <c r="D30" s="170"/>
      <c r="E30" s="184"/>
      <c r="F30" s="170"/>
      <c r="G30" s="184"/>
      <c r="H30" s="184"/>
      <c r="I30" s="184"/>
      <c r="J30" s="183"/>
      <c r="K30" s="185"/>
      <c r="L30" s="186"/>
    </row>
    <row r="31" customFormat="false" ht="21.65" hidden="false" customHeight="true" outlineLevel="0" collapsed="false">
      <c r="A31" s="170"/>
      <c r="B31" s="170"/>
      <c r="C31" s="183"/>
      <c r="D31" s="170"/>
      <c r="E31" s="184"/>
      <c r="F31" s="170"/>
      <c r="G31" s="184"/>
      <c r="H31" s="184"/>
      <c r="I31" s="184"/>
      <c r="J31" s="183"/>
      <c r="K31" s="185"/>
      <c r="L31" s="186"/>
    </row>
    <row r="32" customFormat="false" ht="21.65" hidden="false" customHeight="true" outlineLevel="0" collapsed="false">
      <c r="A32" s="170"/>
      <c r="B32" s="170"/>
      <c r="C32" s="183"/>
      <c r="D32" s="170"/>
      <c r="E32" s="184"/>
      <c r="F32" s="170"/>
      <c r="G32" s="184"/>
      <c r="H32" s="184"/>
      <c r="I32" s="184"/>
      <c r="J32" s="183"/>
      <c r="K32" s="185"/>
      <c r="L32" s="186"/>
    </row>
    <row r="33" customFormat="false" ht="21.65" hidden="false" customHeight="true" outlineLevel="0" collapsed="false">
      <c r="A33" s="170"/>
      <c r="B33" s="170"/>
      <c r="C33" s="183"/>
      <c r="D33" s="170"/>
      <c r="E33" s="184"/>
      <c r="F33" s="170"/>
      <c r="G33" s="184"/>
      <c r="H33" s="184"/>
      <c r="I33" s="184"/>
      <c r="J33" s="183"/>
      <c r="K33" s="185"/>
      <c r="L33" s="186"/>
    </row>
    <row r="34" customFormat="false" ht="21.65" hidden="false" customHeight="true" outlineLevel="0" collapsed="false">
      <c r="A34" s="170"/>
      <c r="B34" s="170"/>
      <c r="C34" s="183"/>
      <c r="D34" s="170"/>
      <c r="E34" s="184"/>
      <c r="F34" s="170"/>
      <c r="G34" s="184"/>
      <c r="H34" s="184"/>
      <c r="I34" s="184"/>
      <c r="J34" s="183"/>
      <c r="K34" s="185"/>
      <c r="L34" s="186"/>
    </row>
    <row r="35" customFormat="false" ht="21.65" hidden="false" customHeight="true" outlineLevel="0" collapsed="false">
      <c r="A35" s="170"/>
      <c r="B35" s="170"/>
      <c r="C35" s="183"/>
      <c r="D35" s="170"/>
      <c r="E35" s="184"/>
      <c r="F35" s="170"/>
      <c r="G35" s="184"/>
      <c r="H35" s="184"/>
      <c r="I35" s="184"/>
      <c r="J35" s="183"/>
      <c r="K35" s="185"/>
      <c r="L35" s="186"/>
    </row>
    <row r="36" customFormat="false" ht="21.65" hidden="false" customHeight="true" outlineLevel="0" collapsed="false">
      <c r="A36" s="170"/>
      <c r="B36" s="170"/>
      <c r="C36" s="183"/>
      <c r="D36" s="170"/>
      <c r="E36" s="184"/>
      <c r="F36" s="170"/>
      <c r="G36" s="184"/>
      <c r="H36" s="184"/>
      <c r="I36" s="184"/>
      <c r="J36" s="183"/>
      <c r="K36" s="185"/>
      <c r="L36" s="186"/>
    </row>
    <row r="37" customFormat="false" ht="21.65" hidden="false" customHeight="true" outlineLevel="0" collapsed="false">
      <c r="A37" s="170"/>
      <c r="B37" s="170"/>
      <c r="C37" s="183"/>
      <c r="D37" s="170"/>
      <c r="E37" s="184"/>
      <c r="F37" s="170"/>
      <c r="G37" s="184"/>
      <c r="H37" s="184"/>
      <c r="I37" s="184"/>
      <c r="J37" s="183"/>
      <c r="K37" s="185"/>
      <c r="L37" s="186"/>
    </row>
    <row r="38" customFormat="false" ht="21.65" hidden="false" customHeight="true" outlineLevel="0" collapsed="false">
      <c r="A38" s="170"/>
      <c r="B38" s="170"/>
      <c r="C38" s="183"/>
      <c r="D38" s="170"/>
      <c r="E38" s="184"/>
      <c r="F38" s="170"/>
      <c r="G38" s="184"/>
      <c r="H38" s="184"/>
      <c r="I38" s="184"/>
      <c r="J38" s="183"/>
      <c r="K38" s="185"/>
      <c r="L38" s="186"/>
    </row>
    <row r="39" customFormat="false" ht="21.65" hidden="false" customHeight="true" outlineLevel="0" collapsed="false">
      <c r="A39" s="170"/>
      <c r="B39" s="170"/>
      <c r="C39" s="183"/>
      <c r="D39" s="170"/>
      <c r="E39" s="184"/>
      <c r="F39" s="170"/>
      <c r="G39" s="184"/>
      <c r="H39" s="184"/>
      <c r="I39" s="184"/>
      <c r="J39" s="183"/>
      <c r="K39" s="185"/>
      <c r="L39" s="186"/>
    </row>
    <row r="40" customFormat="false" ht="21.65" hidden="false" customHeight="true" outlineLevel="0" collapsed="false">
      <c r="A40" s="170"/>
      <c r="B40" s="170"/>
      <c r="C40" s="183"/>
      <c r="D40" s="170"/>
      <c r="E40" s="184"/>
      <c r="F40" s="170"/>
      <c r="G40" s="184"/>
      <c r="H40" s="184"/>
      <c r="I40" s="184"/>
      <c r="J40" s="183"/>
      <c r="K40" s="185"/>
      <c r="L40" s="186"/>
    </row>
    <row r="41" customFormat="false" ht="21.65" hidden="false" customHeight="true" outlineLevel="0" collapsed="false">
      <c r="A41" s="170"/>
      <c r="B41" s="170"/>
      <c r="C41" s="183"/>
      <c r="D41" s="170"/>
      <c r="E41" s="184"/>
      <c r="F41" s="170"/>
      <c r="G41" s="184"/>
      <c r="H41" s="184"/>
      <c r="I41" s="184"/>
      <c r="J41" s="183"/>
      <c r="K41" s="185"/>
      <c r="L41" s="186"/>
    </row>
    <row r="42" customFormat="false" ht="21.65" hidden="false" customHeight="true" outlineLevel="0" collapsed="false">
      <c r="A42" s="170"/>
      <c r="B42" s="170"/>
      <c r="C42" s="183"/>
      <c r="D42" s="170"/>
      <c r="E42" s="184"/>
      <c r="F42" s="170"/>
      <c r="G42" s="184"/>
      <c r="H42" s="184"/>
      <c r="I42" s="184"/>
      <c r="J42" s="183"/>
      <c r="K42" s="185"/>
      <c r="L42" s="186"/>
    </row>
    <row r="43" customFormat="false" ht="21.65" hidden="false" customHeight="true" outlineLevel="0" collapsed="false">
      <c r="A43" s="170"/>
      <c r="B43" s="170"/>
      <c r="C43" s="183"/>
      <c r="D43" s="170"/>
      <c r="E43" s="184"/>
      <c r="F43" s="170"/>
      <c r="G43" s="184"/>
      <c r="H43" s="184"/>
      <c r="I43" s="184"/>
      <c r="J43" s="183"/>
      <c r="K43" s="185"/>
      <c r="L43" s="186"/>
    </row>
    <row r="44" customFormat="false" ht="21.65" hidden="false" customHeight="true" outlineLevel="0" collapsed="false">
      <c r="A44" s="170"/>
      <c r="B44" s="170"/>
      <c r="C44" s="183"/>
      <c r="D44" s="170"/>
      <c r="E44" s="184"/>
      <c r="F44" s="170"/>
      <c r="G44" s="184"/>
      <c r="H44" s="184"/>
      <c r="I44" s="184"/>
      <c r="J44" s="183"/>
      <c r="K44" s="185"/>
      <c r="L44" s="186"/>
    </row>
    <row r="45" customFormat="false" ht="21.65" hidden="false" customHeight="true" outlineLevel="0" collapsed="false">
      <c r="A45" s="170"/>
      <c r="B45" s="170"/>
      <c r="C45" s="183"/>
      <c r="D45" s="170"/>
      <c r="E45" s="184"/>
      <c r="F45" s="170"/>
      <c r="G45" s="184"/>
      <c r="H45" s="184"/>
      <c r="I45" s="184"/>
      <c r="J45" s="183"/>
      <c r="K45" s="185"/>
      <c r="L45" s="186"/>
    </row>
    <row r="46" customFormat="false" ht="21.65" hidden="false" customHeight="true" outlineLevel="0" collapsed="false">
      <c r="A46" s="170"/>
      <c r="B46" s="170"/>
      <c r="C46" s="183"/>
      <c r="D46" s="170"/>
      <c r="E46" s="184"/>
      <c r="F46" s="170"/>
      <c r="G46" s="184"/>
      <c r="H46" s="184"/>
      <c r="I46" s="184"/>
      <c r="J46" s="183"/>
      <c r="K46" s="185"/>
      <c r="L46" s="186"/>
    </row>
    <row r="47" customFormat="false" ht="21.65" hidden="false" customHeight="true" outlineLevel="0" collapsed="false">
      <c r="A47" s="170"/>
      <c r="B47" s="170"/>
      <c r="C47" s="183"/>
      <c r="D47" s="170"/>
      <c r="E47" s="184"/>
      <c r="F47" s="170"/>
      <c r="G47" s="184"/>
      <c r="H47" s="184"/>
      <c r="I47" s="184"/>
      <c r="J47" s="183"/>
      <c r="K47" s="185"/>
      <c r="L47" s="186"/>
    </row>
    <row r="48" customFormat="false" ht="21.65" hidden="false" customHeight="true" outlineLevel="0" collapsed="false">
      <c r="A48" s="170"/>
      <c r="B48" s="170"/>
      <c r="C48" s="183"/>
      <c r="D48" s="170"/>
      <c r="E48" s="184"/>
      <c r="F48" s="170"/>
      <c r="G48" s="184"/>
      <c r="H48" s="184"/>
      <c r="I48" s="184"/>
      <c r="J48" s="183"/>
      <c r="K48" s="185"/>
      <c r="L48" s="186"/>
    </row>
    <row r="49" customFormat="false" ht="21.65" hidden="false" customHeight="true" outlineLevel="0" collapsed="false">
      <c r="A49" s="170"/>
      <c r="B49" s="170"/>
      <c r="C49" s="183"/>
      <c r="D49" s="170"/>
      <c r="E49" s="184"/>
      <c r="F49" s="170"/>
      <c r="G49" s="184"/>
      <c r="H49" s="184"/>
      <c r="I49" s="184"/>
      <c r="J49" s="183"/>
      <c r="K49" s="185"/>
      <c r="L49" s="186"/>
    </row>
    <row r="50" customFormat="false" ht="21.65" hidden="false" customHeight="true" outlineLevel="0" collapsed="false">
      <c r="A50" s="170"/>
      <c r="B50" s="170"/>
      <c r="C50" s="183"/>
      <c r="D50" s="170"/>
      <c r="E50" s="184"/>
      <c r="F50" s="170"/>
      <c r="G50" s="184"/>
      <c r="H50" s="184"/>
      <c r="I50" s="184"/>
      <c r="J50" s="183"/>
      <c r="K50" s="185"/>
      <c r="L50" s="186"/>
    </row>
    <row r="51" customFormat="false" ht="21.65" hidden="false" customHeight="true" outlineLevel="0" collapsed="false">
      <c r="A51" s="170"/>
      <c r="B51" s="170"/>
      <c r="C51" s="183"/>
      <c r="D51" s="170"/>
      <c r="E51" s="184"/>
      <c r="F51" s="170"/>
      <c r="G51" s="184"/>
      <c r="H51" s="184"/>
      <c r="I51" s="184"/>
      <c r="J51" s="183"/>
      <c r="K51" s="185"/>
      <c r="L51" s="186"/>
    </row>
    <row r="52" customFormat="false" ht="21.65" hidden="false" customHeight="true" outlineLevel="0" collapsed="false">
      <c r="A52" s="170"/>
      <c r="B52" s="170"/>
      <c r="C52" s="183"/>
      <c r="D52" s="170"/>
      <c r="E52" s="184"/>
      <c r="F52" s="170"/>
      <c r="G52" s="184"/>
      <c r="H52" s="184"/>
      <c r="I52" s="184"/>
      <c r="J52" s="183"/>
      <c r="K52" s="185"/>
      <c r="L52" s="186"/>
    </row>
    <row r="53" customFormat="false" ht="21.65" hidden="false" customHeight="true" outlineLevel="0" collapsed="false">
      <c r="A53" s="170"/>
      <c r="B53" s="170"/>
      <c r="C53" s="183"/>
      <c r="D53" s="170"/>
      <c r="E53" s="184"/>
      <c r="F53" s="170"/>
      <c r="G53" s="184"/>
      <c r="H53" s="184"/>
      <c r="I53" s="184"/>
      <c r="J53" s="183"/>
      <c r="K53" s="185"/>
      <c r="L53" s="186"/>
    </row>
    <row r="54" customFormat="false" ht="21.65" hidden="false" customHeight="true" outlineLevel="0" collapsed="false">
      <c r="A54" s="170"/>
      <c r="B54" s="170"/>
      <c r="C54" s="183"/>
      <c r="D54" s="170"/>
      <c r="E54" s="184"/>
      <c r="F54" s="170"/>
      <c r="G54" s="184"/>
      <c r="H54" s="184"/>
      <c r="I54" s="184"/>
      <c r="J54" s="183"/>
      <c r="K54" s="185"/>
      <c r="L54" s="186"/>
    </row>
    <row r="55" customFormat="false" ht="21.65" hidden="false" customHeight="true" outlineLevel="0" collapsed="false">
      <c r="A55" s="170"/>
      <c r="B55" s="170"/>
      <c r="C55" s="183"/>
      <c r="D55" s="170"/>
      <c r="E55" s="184"/>
      <c r="F55" s="170"/>
      <c r="G55" s="184"/>
      <c r="H55" s="184"/>
      <c r="I55" s="184"/>
      <c r="J55" s="183"/>
      <c r="K55" s="185"/>
      <c r="L55" s="186"/>
    </row>
    <row r="56" customFormat="false" ht="21.65" hidden="false" customHeight="true" outlineLevel="0" collapsed="false">
      <c r="A56" s="170"/>
      <c r="B56" s="170"/>
      <c r="C56" s="183"/>
      <c r="D56" s="170"/>
      <c r="E56" s="184"/>
      <c r="F56" s="170"/>
      <c r="G56" s="184"/>
      <c r="H56" s="184"/>
      <c r="I56" s="184"/>
      <c r="J56" s="183"/>
      <c r="K56" s="185"/>
      <c r="L56" s="186"/>
    </row>
    <row r="57" customFormat="false" ht="21.65" hidden="false" customHeight="true" outlineLevel="0" collapsed="false">
      <c r="A57" s="170"/>
      <c r="B57" s="170"/>
      <c r="C57" s="183"/>
      <c r="D57" s="170"/>
      <c r="E57" s="184"/>
      <c r="F57" s="170"/>
      <c r="G57" s="184"/>
      <c r="H57" s="184"/>
      <c r="I57" s="184"/>
      <c r="J57" s="183"/>
      <c r="K57" s="185"/>
      <c r="L57" s="186"/>
    </row>
    <row r="58" customFormat="false" ht="21.65" hidden="false" customHeight="true" outlineLevel="0" collapsed="false">
      <c r="A58" s="170"/>
      <c r="B58" s="170"/>
      <c r="C58" s="183"/>
      <c r="D58" s="170"/>
      <c r="E58" s="184"/>
      <c r="F58" s="170"/>
      <c r="G58" s="184"/>
      <c r="H58" s="184"/>
      <c r="I58" s="184"/>
      <c r="J58" s="183"/>
      <c r="K58" s="185"/>
      <c r="L58" s="186"/>
    </row>
    <row r="59" customFormat="false" ht="21.65" hidden="false" customHeight="true" outlineLevel="0" collapsed="false">
      <c r="A59" s="170"/>
      <c r="B59" s="170"/>
      <c r="C59" s="183"/>
      <c r="D59" s="170"/>
      <c r="E59" s="184"/>
      <c r="F59" s="170"/>
      <c r="G59" s="184"/>
      <c r="H59" s="184"/>
      <c r="I59" s="184"/>
      <c r="J59" s="183"/>
      <c r="K59" s="185"/>
      <c r="L59" s="186"/>
    </row>
    <row r="60" customFormat="false" ht="21.65" hidden="false" customHeight="true" outlineLevel="0" collapsed="false">
      <c r="A60" s="170"/>
      <c r="B60" s="170"/>
      <c r="C60" s="183"/>
      <c r="D60" s="170"/>
      <c r="E60" s="184"/>
      <c r="F60" s="170"/>
      <c r="G60" s="184"/>
      <c r="H60" s="184"/>
      <c r="I60" s="184"/>
      <c r="J60" s="183"/>
      <c r="K60" s="185"/>
      <c r="L60" s="186"/>
    </row>
    <row r="61" customFormat="false" ht="21.65" hidden="false" customHeight="true" outlineLevel="0" collapsed="false">
      <c r="A61" s="170"/>
      <c r="B61" s="170"/>
      <c r="C61" s="183"/>
      <c r="D61" s="170"/>
      <c r="E61" s="184"/>
      <c r="F61" s="170"/>
      <c r="G61" s="184"/>
      <c r="H61" s="184"/>
      <c r="I61" s="184"/>
      <c r="J61" s="183"/>
      <c r="K61" s="185"/>
      <c r="L61" s="186"/>
    </row>
    <row r="62" customFormat="false" ht="21.65" hidden="false" customHeight="true" outlineLevel="0" collapsed="false">
      <c r="A62" s="170"/>
      <c r="B62" s="170"/>
      <c r="C62" s="183"/>
      <c r="D62" s="170"/>
      <c r="E62" s="184"/>
      <c r="F62" s="170"/>
      <c r="G62" s="184"/>
      <c r="H62" s="184"/>
      <c r="I62" s="184"/>
      <c r="J62" s="183"/>
      <c r="K62" s="185"/>
      <c r="L62" s="186"/>
    </row>
    <row r="63" customFormat="false" ht="21.65" hidden="false" customHeight="true" outlineLevel="0" collapsed="false">
      <c r="A63" s="170"/>
      <c r="B63" s="170"/>
      <c r="C63" s="183"/>
      <c r="D63" s="170"/>
      <c r="E63" s="184"/>
      <c r="F63" s="170"/>
      <c r="G63" s="184"/>
      <c r="H63" s="184"/>
      <c r="I63" s="184"/>
      <c r="J63" s="183"/>
      <c r="K63" s="185"/>
      <c r="L63" s="186"/>
    </row>
    <row r="64" customFormat="false" ht="21.65" hidden="false" customHeight="true" outlineLevel="0" collapsed="false">
      <c r="A64" s="170"/>
      <c r="B64" s="170"/>
      <c r="C64" s="183"/>
      <c r="D64" s="170"/>
      <c r="E64" s="184"/>
      <c r="F64" s="170"/>
      <c r="G64" s="184"/>
      <c r="H64" s="184"/>
      <c r="I64" s="184"/>
      <c r="J64" s="183"/>
      <c r="K64" s="185"/>
      <c r="L64" s="186"/>
    </row>
    <row r="65" customFormat="false" ht="21.65" hidden="false" customHeight="true" outlineLevel="0" collapsed="false">
      <c r="A65" s="170"/>
      <c r="B65" s="170"/>
      <c r="C65" s="183"/>
      <c r="D65" s="170"/>
      <c r="E65" s="184"/>
      <c r="F65" s="170"/>
      <c r="G65" s="184"/>
      <c r="H65" s="184"/>
      <c r="I65" s="184"/>
      <c r="J65" s="183"/>
      <c r="K65" s="185"/>
      <c r="L65" s="186"/>
    </row>
    <row r="66" customFormat="false" ht="21.65" hidden="false" customHeight="true" outlineLevel="0" collapsed="false">
      <c r="A66" s="170"/>
      <c r="B66" s="170"/>
      <c r="C66" s="183"/>
      <c r="D66" s="170"/>
      <c r="E66" s="184"/>
      <c r="F66" s="170"/>
      <c r="G66" s="184"/>
      <c r="H66" s="184"/>
      <c r="I66" s="184"/>
      <c r="J66" s="183"/>
      <c r="K66" s="185"/>
      <c r="L66" s="186"/>
    </row>
    <row r="67" customFormat="false" ht="21.65" hidden="false" customHeight="true" outlineLevel="0" collapsed="false">
      <c r="A67" s="170"/>
      <c r="B67" s="170"/>
      <c r="C67" s="183"/>
      <c r="D67" s="170"/>
      <c r="E67" s="184"/>
      <c r="F67" s="170"/>
      <c r="G67" s="184"/>
      <c r="H67" s="184"/>
      <c r="I67" s="184"/>
      <c r="J67" s="183"/>
      <c r="K67" s="185"/>
      <c r="L67" s="186"/>
    </row>
    <row r="69" customFormat="false" ht="15.75" hidden="false" customHeight="true" outlineLevel="0" collapsed="false">
      <c r="A69" s="170"/>
      <c r="B69" s="170"/>
      <c r="C69" s="170"/>
      <c r="E69" s="170"/>
      <c r="F69" s="170"/>
      <c r="G69" s="170"/>
      <c r="H69" s="170"/>
      <c r="I69" s="170"/>
      <c r="J69" s="170"/>
      <c r="K69" s="170"/>
      <c r="L69" s="170"/>
    </row>
    <row r="70" customFormat="false" ht="28.5" hidden="false" customHeight="true" outlineLevel="0" collapsed="false">
      <c r="A70" s="170"/>
      <c r="B70" s="174" t="s">
        <v>203</v>
      </c>
      <c r="C70" s="174"/>
      <c r="D70" s="174"/>
      <c r="E70" s="174"/>
      <c r="F70" s="174"/>
      <c r="G70" s="174"/>
      <c r="H70" s="174"/>
      <c r="I70" s="174"/>
      <c r="J70" s="174"/>
      <c r="K70" s="174"/>
      <c r="L70" s="174"/>
    </row>
    <row r="71" customFormat="false" ht="15.75" hidden="false" customHeight="true" outlineLevel="0" collapsed="false">
      <c r="A71" s="170"/>
      <c r="B71" s="176"/>
      <c r="C71" s="176"/>
      <c r="D71" s="176"/>
      <c r="E71" s="170"/>
      <c r="F71" s="170"/>
      <c r="G71" s="170"/>
      <c r="H71" s="170"/>
      <c r="I71" s="170"/>
      <c r="J71" s="170"/>
      <c r="K71" s="170"/>
      <c r="L71" s="170"/>
    </row>
    <row r="72" customFormat="false" ht="28.35" hidden="false" customHeight="false" outlineLevel="0" collapsed="false">
      <c r="A72" s="170"/>
      <c r="B72" s="187" t="s">
        <v>101</v>
      </c>
      <c r="C72" s="188" t="s">
        <v>177</v>
      </c>
      <c r="D72" s="189" t="s">
        <v>100</v>
      </c>
      <c r="E72" s="189" t="s">
        <v>178</v>
      </c>
      <c r="F72" s="189" t="s">
        <v>179</v>
      </c>
      <c r="G72" s="189" t="s">
        <v>180</v>
      </c>
      <c r="H72" s="189" t="s">
        <v>181</v>
      </c>
      <c r="I72" s="189" t="s">
        <v>76</v>
      </c>
      <c r="J72" s="188" t="s">
        <v>182</v>
      </c>
      <c r="K72" s="188" t="s">
        <v>183</v>
      </c>
      <c r="L72" s="190" t="s">
        <v>184</v>
      </c>
    </row>
    <row r="73" customFormat="false" ht="28.35" hidden="false" customHeight="false" outlineLevel="0" collapsed="false">
      <c r="A73" s="170" t="n">
        <v>1</v>
      </c>
      <c r="B73" s="179" t="s">
        <v>204</v>
      </c>
      <c r="C73" s="180" t="n">
        <v>45726</v>
      </c>
      <c r="D73" s="179" t="s">
        <v>205</v>
      </c>
      <c r="E73" s="179" t="s">
        <v>206</v>
      </c>
      <c r="F73" s="179" t="s">
        <v>207</v>
      </c>
      <c r="G73" s="181" t="s">
        <v>208</v>
      </c>
      <c r="H73" s="181" t="s">
        <v>189</v>
      </c>
      <c r="I73" s="179" t="s">
        <v>14</v>
      </c>
      <c r="J73" s="182" t="n">
        <v>45726</v>
      </c>
      <c r="K73" s="182" t="n">
        <v>45726</v>
      </c>
      <c r="L73" s="20" t="n">
        <v>1</v>
      </c>
    </row>
    <row r="74" customFormat="false" ht="28.35" hidden="false" customHeight="false" outlineLevel="0" collapsed="false">
      <c r="A74" s="170" t="n">
        <f aca="false">+A73+1</f>
        <v>2</v>
      </c>
      <c r="B74" s="179" t="s">
        <v>209</v>
      </c>
      <c r="C74" s="180" t="n">
        <v>45726</v>
      </c>
      <c r="D74" s="179" t="s">
        <v>205</v>
      </c>
      <c r="E74" s="179" t="s">
        <v>210</v>
      </c>
      <c r="F74" s="179" t="s">
        <v>211</v>
      </c>
      <c r="G74" s="181" t="s">
        <v>212</v>
      </c>
      <c r="H74" s="181" t="s">
        <v>189</v>
      </c>
      <c r="I74" s="179" t="s">
        <v>213</v>
      </c>
      <c r="J74" s="182" t="n">
        <v>45728</v>
      </c>
      <c r="K74" s="182" t="n">
        <v>45730</v>
      </c>
      <c r="L74" s="20" t="n">
        <v>1</v>
      </c>
    </row>
    <row r="75" customFormat="false" ht="28.35" hidden="false" customHeight="false" outlineLevel="0" collapsed="false">
      <c r="A75" s="170" t="n">
        <f aca="false">+A74+1</f>
        <v>3</v>
      </c>
      <c r="B75" s="179" t="s">
        <v>214</v>
      </c>
      <c r="C75" s="180" t="n">
        <v>45726</v>
      </c>
      <c r="D75" s="179" t="s">
        <v>205</v>
      </c>
      <c r="E75" s="179" t="s">
        <v>215</v>
      </c>
      <c r="F75" s="179" t="s">
        <v>216</v>
      </c>
      <c r="G75" s="181" t="s">
        <v>217</v>
      </c>
      <c r="H75" s="181" t="s">
        <v>189</v>
      </c>
      <c r="I75" s="179" t="s">
        <v>218</v>
      </c>
      <c r="J75" s="182" t="n">
        <v>45731</v>
      </c>
      <c r="K75" s="182" t="n">
        <v>45731</v>
      </c>
      <c r="L75" s="20" t="n">
        <v>1</v>
      </c>
    </row>
    <row r="76" customFormat="false" ht="28.35" hidden="false" customHeight="false" outlineLevel="0" collapsed="false">
      <c r="A76" s="170" t="n">
        <f aca="false">+A75+1</f>
        <v>4</v>
      </c>
      <c r="B76" s="179" t="s">
        <v>219</v>
      </c>
      <c r="C76" s="180" t="n">
        <v>45726</v>
      </c>
      <c r="D76" s="179" t="s">
        <v>205</v>
      </c>
      <c r="E76" s="179" t="s">
        <v>220</v>
      </c>
      <c r="F76" s="179" t="s">
        <v>216</v>
      </c>
      <c r="G76" s="181" t="s">
        <v>221</v>
      </c>
      <c r="H76" s="181" t="s">
        <v>189</v>
      </c>
      <c r="I76" s="179" t="s">
        <v>20</v>
      </c>
      <c r="J76" s="182" t="n">
        <v>45726</v>
      </c>
      <c r="K76" s="182" t="s">
        <v>222</v>
      </c>
      <c r="L76" s="20" t="n">
        <v>1</v>
      </c>
    </row>
    <row r="77" customFormat="false" ht="28.35" hidden="false" customHeight="false" outlineLevel="0" collapsed="false">
      <c r="A77" s="170" t="n">
        <f aca="false">+A76+1</f>
        <v>5</v>
      </c>
      <c r="B77" s="179" t="s">
        <v>223</v>
      </c>
      <c r="C77" s="180" t="n">
        <v>45726</v>
      </c>
      <c r="D77" s="179" t="s">
        <v>205</v>
      </c>
      <c r="E77" s="179" t="s">
        <v>210</v>
      </c>
      <c r="F77" s="179" t="s">
        <v>216</v>
      </c>
      <c r="G77" s="181" t="s">
        <v>224</v>
      </c>
      <c r="H77" s="181" t="s">
        <v>189</v>
      </c>
      <c r="I77" s="179" t="s">
        <v>20</v>
      </c>
      <c r="J77" s="182" t="n">
        <v>45726</v>
      </c>
      <c r="K77" s="182" t="n">
        <v>45726</v>
      </c>
      <c r="L77" s="20" t="n">
        <v>1</v>
      </c>
    </row>
    <row r="78" customFormat="false" ht="28.35" hidden="false" customHeight="false" outlineLevel="0" collapsed="false">
      <c r="A78" s="170" t="n">
        <f aca="false">+A77+1</f>
        <v>6</v>
      </c>
      <c r="B78" s="179" t="s">
        <v>225</v>
      </c>
      <c r="C78" s="180" t="n">
        <v>45726</v>
      </c>
      <c r="D78" s="179" t="s">
        <v>205</v>
      </c>
      <c r="E78" s="179" t="s">
        <v>226</v>
      </c>
      <c r="F78" s="179" t="s">
        <v>216</v>
      </c>
      <c r="G78" s="181" t="s">
        <v>227</v>
      </c>
      <c r="H78" s="181" t="s">
        <v>189</v>
      </c>
      <c r="I78" s="179" t="s">
        <v>14</v>
      </c>
      <c r="J78" s="182" t="n">
        <v>45726</v>
      </c>
      <c r="K78" s="182" t="n">
        <v>45727</v>
      </c>
      <c r="L78" s="20" t="n">
        <v>1</v>
      </c>
    </row>
    <row r="79" customFormat="false" ht="28.35" hidden="false" customHeight="false" outlineLevel="0" collapsed="false">
      <c r="A79" s="170" t="n">
        <f aca="false">+A78+1</f>
        <v>7</v>
      </c>
      <c r="B79" s="179" t="s">
        <v>214</v>
      </c>
      <c r="C79" s="180" t="n">
        <v>45726</v>
      </c>
      <c r="D79" s="179" t="s">
        <v>205</v>
      </c>
      <c r="E79" s="179" t="s">
        <v>228</v>
      </c>
      <c r="F79" s="179" t="s">
        <v>229</v>
      </c>
      <c r="G79" s="181" t="s">
        <v>230</v>
      </c>
      <c r="H79" s="181" t="s">
        <v>189</v>
      </c>
      <c r="I79" s="179" t="s">
        <v>231</v>
      </c>
      <c r="J79" s="182" t="n">
        <v>45727</v>
      </c>
      <c r="K79" s="182" t="n">
        <v>45727</v>
      </c>
      <c r="L79" s="20" t="n">
        <v>1</v>
      </c>
    </row>
    <row r="80" customFormat="false" ht="28.35" hidden="false" customHeight="false" outlineLevel="0" collapsed="false">
      <c r="A80" s="170" t="n">
        <f aca="false">+A79+1</f>
        <v>8</v>
      </c>
      <c r="B80" s="179" t="s">
        <v>232</v>
      </c>
      <c r="C80" s="180" t="n">
        <v>45726</v>
      </c>
      <c r="D80" s="179" t="s">
        <v>205</v>
      </c>
      <c r="E80" s="179" t="s">
        <v>226</v>
      </c>
      <c r="F80" s="179" t="s">
        <v>216</v>
      </c>
      <c r="G80" s="181" t="s">
        <v>233</v>
      </c>
      <c r="H80" s="181" t="s">
        <v>189</v>
      </c>
      <c r="I80" s="179" t="s">
        <v>55</v>
      </c>
      <c r="J80" s="182" t="n">
        <v>45727</v>
      </c>
      <c r="K80" s="182" t="n">
        <v>45728</v>
      </c>
      <c r="L80" s="20" t="n">
        <v>1</v>
      </c>
    </row>
    <row r="81" customFormat="false" ht="28.35" hidden="false" customHeight="false" outlineLevel="0" collapsed="false">
      <c r="A81" s="170" t="n">
        <f aca="false">+A80+1</f>
        <v>9</v>
      </c>
      <c r="B81" s="179" t="s">
        <v>214</v>
      </c>
      <c r="C81" s="180" t="n">
        <v>45726</v>
      </c>
      <c r="D81" s="179" t="s">
        <v>234</v>
      </c>
      <c r="E81" s="179" t="s">
        <v>235</v>
      </c>
      <c r="F81" s="179" t="s">
        <v>216</v>
      </c>
      <c r="G81" s="181" t="s">
        <v>236</v>
      </c>
      <c r="H81" s="181" t="s">
        <v>189</v>
      </c>
      <c r="I81" s="179" t="s">
        <v>55</v>
      </c>
      <c r="J81" s="182" t="n">
        <v>45736</v>
      </c>
      <c r="K81" s="182" t="n">
        <v>45728</v>
      </c>
      <c r="L81" s="20" t="n">
        <v>1</v>
      </c>
    </row>
    <row r="82" customFormat="false" ht="28.35" hidden="false" customHeight="false" outlineLevel="0" collapsed="false">
      <c r="A82" s="170" t="n">
        <f aca="false">+A81+1</f>
        <v>10</v>
      </c>
      <c r="B82" s="179" t="s">
        <v>214</v>
      </c>
      <c r="C82" s="180" t="n">
        <v>45726</v>
      </c>
      <c r="D82" s="179" t="s">
        <v>144</v>
      </c>
      <c r="E82" s="179" t="s">
        <v>237</v>
      </c>
      <c r="F82" s="179" t="s">
        <v>216</v>
      </c>
      <c r="G82" s="181" t="s">
        <v>238</v>
      </c>
      <c r="H82" s="181" t="s">
        <v>189</v>
      </c>
      <c r="I82" s="179" t="s">
        <v>14</v>
      </c>
      <c r="J82" s="182" t="n">
        <v>45727</v>
      </c>
      <c r="K82" s="182" t="n">
        <v>45727</v>
      </c>
      <c r="L82" s="20" t="n">
        <v>1</v>
      </c>
    </row>
    <row r="83" customFormat="false" ht="28.35" hidden="false" customHeight="false" outlineLevel="0" collapsed="false">
      <c r="A83" s="170" t="n">
        <f aca="false">+A82+1</f>
        <v>11</v>
      </c>
      <c r="B83" s="179" t="s">
        <v>225</v>
      </c>
      <c r="C83" s="180" t="n">
        <v>45726</v>
      </c>
      <c r="D83" s="179" t="s">
        <v>205</v>
      </c>
      <c r="E83" s="179" t="s">
        <v>226</v>
      </c>
      <c r="F83" s="179" t="s">
        <v>216</v>
      </c>
      <c r="G83" s="181" t="s">
        <v>239</v>
      </c>
      <c r="H83" s="181" t="s">
        <v>189</v>
      </c>
      <c r="I83" s="179" t="s">
        <v>55</v>
      </c>
      <c r="J83" s="182" t="n">
        <v>45736</v>
      </c>
      <c r="K83" s="182" t="n">
        <v>45736</v>
      </c>
      <c r="L83" s="20" t="n">
        <v>1</v>
      </c>
    </row>
    <row r="84" customFormat="false" ht="28.35" hidden="false" customHeight="false" outlineLevel="0" collapsed="false">
      <c r="A84" s="170" t="n">
        <f aca="false">+A83+1</f>
        <v>12</v>
      </c>
      <c r="B84" s="179" t="s">
        <v>225</v>
      </c>
      <c r="C84" s="180" t="n">
        <v>45726</v>
      </c>
      <c r="D84" s="179" t="s">
        <v>205</v>
      </c>
      <c r="E84" s="179" t="s">
        <v>226</v>
      </c>
      <c r="F84" s="179" t="s">
        <v>216</v>
      </c>
      <c r="G84" s="181" t="s">
        <v>240</v>
      </c>
      <c r="H84" s="181" t="s">
        <v>189</v>
      </c>
      <c r="I84" s="179" t="s">
        <v>38</v>
      </c>
      <c r="J84" s="182" t="n">
        <v>45728</v>
      </c>
      <c r="K84" s="182" t="n">
        <v>45728</v>
      </c>
      <c r="L84" s="20" t="n">
        <v>1</v>
      </c>
    </row>
    <row r="85" customFormat="false" ht="28.35" hidden="false" customHeight="false" outlineLevel="0" collapsed="false">
      <c r="A85" s="170" t="n">
        <f aca="false">+A84+1</f>
        <v>13</v>
      </c>
      <c r="B85" s="179" t="s">
        <v>241</v>
      </c>
      <c r="C85" s="180" t="n">
        <v>45726</v>
      </c>
      <c r="D85" s="179" t="s">
        <v>205</v>
      </c>
      <c r="E85" s="179" t="s">
        <v>206</v>
      </c>
      <c r="F85" s="179" t="s">
        <v>211</v>
      </c>
      <c r="G85" s="181" t="s">
        <v>242</v>
      </c>
      <c r="H85" s="181" t="s">
        <v>189</v>
      </c>
      <c r="I85" s="179" t="s">
        <v>14</v>
      </c>
      <c r="J85" s="182" t="n">
        <v>45727</v>
      </c>
      <c r="K85" s="182" t="n">
        <v>45727</v>
      </c>
      <c r="L85" s="20" t="n">
        <v>1</v>
      </c>
    </row>
    <row r="86" customFormat="false" ht="28.35" hidden="false" customHeight="false" outlineLevel="0" collapsed="false">
      <c r="A86" s="170" t="n">
        <f aca="false">+A85+1</f>
        <v>14</v>
      </c>
      <c r="B86" s="179" t="s">
        <v>204</v>
      </c>
      <c r="C86" s="180" t="n">
        <v>45726</v>
      </c>
      <c r="D86" s="179" t="s">
        <v>205</v>
      </c>
      <c r="E86" s="179" t="s">
        <v>206</v>
      </c>
      <c r="F86" s="179" t="s">
        <v>211</v>
      </c>
      <c r="G86" s="181" t="s">
        <v>243</v>
      </c>
      <c r="H86" s="181" t="s">
        <v>189</v>
      </c>
      <c r="I86" s="181" t="s">
        <v>50</v>
      </c>
      <c r="J86" s="182" t="n">
        <v>45733</v>
      </c>
      <c r="K86" s="182" t="n">
        <v>45733</v>
      </c>
      <c r="L86" s="20" t="n">
        <v>1</v>
      </c>
    </row>
    <row r="87" customFormat="false" ht="28.35" hidden="false" customHeight="false" outlineLevel="0" collapsed="false">
      <c r="A87" s="170" t="n">
        <f aca="false">+A86+1</f>
        <v>15</v>
      </c>
      <c r="B87" s="179" t="s">
        <v>214</v>
      </c>
      <c r="C87" s="180" t="n">
        <v>45726</v>
      </c>
      <c r="D87" s="179" t="s">
        <v>205</v>
      </c>
      <c r="E87" s="179" t="s">
        <v>215</v>
      </c>
      <c r="F87" s="179" t="s">
        <v>216</v>
      </c>
      <c r="G87" s="181" t="s">
        <v>217</v>
      </c>
      <c r="H87" s="181" t="s">
        <v>189</v>
      </c>
      <c r="I87" s="181" t="s">
        <v>218</v>
      </c>
      <c r="J87" s="182" t="n">
        <v>45733</v>
      </c>
      <c r="K87" s="182" t="n">
        <v>45737</v>
      </c>
      <c r="L87" s="20" t="n">
        <v>1</v>
      </c>
    </row>
    <row r="88" customFormat="false" ht="28.35" hidden="false" customHeight="false" outlineLevel="0" collapsed="false">
      <c r="A88" s="170" t="n">
        <f aca="false">+A87+1</f>
        <v>16</v>
      </c>
      <c r="B88" s="179" t="s">
        <v>232</v>
      </c>
      <c r="C88" s="180" t="n">
        <v>45726</v>
      </c>
      <c r="D88" s="179" t="s">
        <v>205</v>
      </c>
      <c r="E88" s="179" t="s">
        <v>226</v>
      </c>
      <c r="F88" s="179" t="s">
        <v>216</v>
      </c>
      <c r="G88" s="181" t="s">
        <v>233</v>
      </c>
      <c r="H88" s="181" t="s">
        <v>189</v>
      </c>
      <c r="I88" s="181" t="s">
        <v>244</v>
      </c>
      <c r="J88" s="182" t="n">
        <v>45733</v>
      </c>
      <c r="K88" s="182" t="n">
        <v>45735</v>
      </c>
      <c r="L88" s="20" t="n">
        <v>1</v>
      </c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</row>
    <row r="89" customFormat="false" ht="28.35" hidden="false" customHeight="false" outlineLevel="0" collapsed="false">
      <c r="A89" s="170" t="n">
        <f aca="false">+A88+1</f>
        <v>17</v>
      </c>
      <c r="B89" s="179" t="s">
        <v>241</v>
      </c>
      <c r="C89" s="180" t="n">
        <v>45733</v>
      </c>
      <c r="D89" s="179" t="s">
        <v>205</v>
      </c>
      <c r="E89" s="179" t="s">
        <v>206</v>
      </c>
      <c r="F89" s="179" t="s">
        <v>211</v>
      </c>
      <c r="G89" s="181" t="s">
        <v>245</v>
      </c>
      <c r="H89" s="181" t="s">
        <v>189</v>
      </c>
      <c r="I89" s="181" t="s">
        <v>14</v>
      </c>
      <c r="J89" s="182" t="n">
        <v>45733</v>
      </c>
      <c r="K89" s="182" t="n">
        <v>45737</v>
      </c>
      <c r="L89" s="20" t="n">
        <v>1</v>
      </c>
    </row>
    <row r="90" customFormat="false" ht="28.35" hidden="false" customHeight="false" outlineLevel="0" collapsed="false">
      <c r="A90" s="170" t="n">
        <f aca="false">+A89+1</f>
        <v>18</v>
      </c>
      <c r="B90" s="179" t="s">
        <v>241</v>
      </c>
      <c r="C90" s="180" t="n">
        <v>45733</v>
      </c>
      <c r="D90" s="179" t="s">
        <v>205</v>
      </c>
      <c r="E90" s="179" t="s">
        <v>246</v>
      </c>
      <c r="F90" s="179" t="s">
        <v>211</v>
      </c>
      <c r="G90" s="181" t="s">
        <v>247</v>
      </c>
      <c r="H90" s="181" t="s">
        <v>189</v>
      </c>
      <c r="I90" s="181" t="s">
        <v>44</v>
      </c>
      <c r="J90" s="182" t="n">
        <v>45734</v>
      </c>
      <c r="K90" s="182" t="n">
        <v>45735</v>
      </c>
      <c r="L90" s="20" t="n">
        <v>1</v>
      </c>
    </row>
    <row r="91" customFormat="false" ht="28.35" hidden="false" customHeight="false" outlineLevel="0" collapsed="false">
      <c r="A91" s="170" t="n">
        <f aca="false">+A90+1</f>
        <v>19</v>
      </c>
      <c r="B91" s="179" t="s">
        <v>241</v>
      </c>
      <c r="C91" s="180" t="n">
        <v>45733</v>
      </c>
      <c r="D91" s="179" t="s">
        <v>205</v>
      </c>
      <c r="E91" s="179" t="s">
        <v>246</v>
      </c>
      <c r="F91" s="179" t="s">
        <v>211</v>
      </c>
      <c r="G91" s="181" t="s">
        <v>248</v>
      </c>
      <c r="H91" s="181" t="s">
        <v>189</v>
      </c>
      <c r="I91" s="181" t="s">
        <v>249</v>
      </c>
      <c r="J91" s="182" t="n">
        <v>45734</v>
      </c>
      <c r="K91" s="182" t="n">
        <v>45737</v>
      </c>
      <c r="L91" s="20" t="n">
        <v>1</v>
      </c>
    </row>
    <row r="92" customFormat="false" ht="28.35" hidden="false" customHeight="false" outlineLevel="0" collapsed="false">
      <c r="A92" s="170" t="n">
        <f aca="false">+A91+1</f>
        <v>20</v>
      </c>
      <c r="B92" s="179" t="s">
        <v>250</v>
      </c>
      <c r="C92" s="180" t="n">
        <v>45733</v>
      </c>
      <c r="D92" s="179" t="s">
        <v>205</v>
      </c>
      <c r="E92" s="179" t="s">
        <v>251</v>
      </c>
      <c r="F92" s="179" t="s">
        <v>187</v>
      </c>
      <c r="G92" s="181" t="s">
        <v>252</v>
      </c>
      <c r="H92" s="181" t="s">
        <v>189</v>
      </c>
      <c r="I92" s="181" t="s">
        <v>38</v>
      </c>
      <c r="J92" s="182" t="n">
        <v>45733</v>
      </c>
      <c r="K92" s="182" t="n">
        <v>45734</v>
      </c>
      <c r="L92" s="20" t="n">
        <v>1</v>
      </c>
    </row>
    <row r="93" customFormat="false" ht="28.35" hidden="false" customHeight="false" outlineLevel="0" collapsed="false">
      <c r="A93" s="170" t="n">
        <f aca="false">+A92+1</f>
        <v>21</v>
      </c>
      <c r="B93" s="179" t="s">
        <v>253</v>
      </c>
      <c r="C93" s="180" t="n">
        <v>45733</v>
      </c>
      <c r="D93" s="179" t="s">
        <v>205</v>
      </c>
      <c r="E93" s="179" t="s">
        <v>254</v>
      </c>
      <c r="F93" s="179" t="s">
        <v>216</v>
      </c>
      <c r="G93" s="181" t="s">
        <v>255</v>
      </c>
      <c r="H93" s="181" t="s">
        <v>189</v>
      </c>
      <c r="I93" s="181" t="s">
        <v>14</v>
      </c>
      <c r="J93" s="182" t="n">
        <v>45733</v>
      </c>
      <c r="K93" s="182" t="n">
        <v>45734</v>
      </c>
      <c r="L93" s="20" t="n">
        <v>1</v>
      </c>
    </row>
    <row r="94" customFormat="false" ht="28.35" hidden="false" customHeight="false" outlineLevel="0" collapsed="false">
      <c r="A94" s="170" t="n">
        <f aca="false">+A93+1</f>
        <v>22</v>
      </c>
      <c r="B94" s="179" t="s">
        <v>214</v>
      </c>
      <c r="C94" s="180" t="n">
        <v>45733</v>
      </c>
      <c r="D94" s="179" t="s">
        <v>205</v>
      </c>
      <c r="E94" s="179" t="s">
        <v>256</v>
      </c>
      <c r="F94" s="179" t="s">
        <v>229</v>
      </c>
      <c r="G94" s="181" t="s">
        <v>257</v>
      </c>
      <c r="H94" s="181" t="s">
        <v>189</v>
      </c>
      <c r="I94" s="181" t="s">
        <v>258</v>
      </c>
      <c r="J94" s="182" t="n">
        <v>45733</v>
      </c>
      <c r="K94" s="182" t="n">
        <v>45734</v>
      </c>
      <c r="L94" s="20" t="n">
        <v>1</v>
      </c>
    </row>
    <row r="95" customFormat="false" ht="28.35" hidden="false" customHeight="false" outlineLevel="0" collapsed="false">
      <c r="A95" s="170" t="n">
        <f aca="false">+A94+1</f>
        <v>23</v>
      </c>
      <c r="B95" s="179" t="s">
        <v>214</v>
      </c>
      <c r="C95" s="180" t="n">
        <v>45733</v>
      </c>
      <c r="D95" s="179" t="s">
        <v>205</v>
      </c>
      <c r="E95" s="179" t="s">
        <v>259</v>
      </c>
      <c r="F95" s="179" t="s">
        <v>229</v>
      </c>
      <c r="G95" s="181" t="s">
        <v>260</v>
      </c>
      <c r="H95" s="181" t="s">
        <v>189</v>
      </c>
      <c r="I95" s="181" t="s">
        <v>261</v>
      </c>
      <c r="J95" s="182" t="n">
        <v>45733</v>
      </c>
      <c r="K95" s="182" t="n">
        <v>45733</v>
      </c>
      <c r="L95" s="20" t="n">
        <v>1</v>
      </c>
    </row>
    <row r="96" customFormat="false" ht="28.35" hidden="false" customHeight="false" outlineLevel="0" collapsed="false">
      <c r="A96" s="170" t="n">
        <f aca="false">+A95+1</f>
        <v>24</v>
      </c>
      <c r="B96" s="179" t="s">
        <v>225</v>
      </c>
      <c r="C96" s="180" t="n">
        <v>45733</v>
      </c>
      <c r="D96" s="179" t="s">
        <v>205</v>
      </c>
      <c r="E96" s="179" t="s">
        <v>262</v>
      </c>
      <c r="F96" s="179" t="s">
        <v>211</v>
      </c>
      <c r="G96" s="181" t="s">
        <v>263</v>
      </c>
      <c r="H96" s="181" t="s">
        <v>189</v>
      </c>
      <c r="I96" s="181" t="s">
        <v>264</v>
      </c>
      <c r="J96" s="182" t="n">
        <v>45733</v>
      </c>
      <c r="K96" s="182" t="n">
        <v>45737</v>
      </c>
      <c r="L96" s="20" t="n">
        <v>1</v>
      </c>
    </row>
    <row r="97" customFormat="false" ht="28.35" hidden="false" customHeight="false" outlineLevel="0" collapsed="false">
      <c r="A97" s="170" t="n">
        <f aca="false">+A96+1</f>
        <v>25</v>
      </c>
      <c r="B97" s="179" t="s">
        <v>232</v>
      </c>
      <c r="C97" s="180" t="n">
        <v>45733</v>
      </c>
      <c r="D97" s="179" t="s">
        <v>205</v>
      </c>
      <c r="E97" s="181" t="s">
        <v>265</v>
      </c>
      <c r="F97" s="179" t="s">
        <v>216</v>
      </c>
      <c r="G97" s="181" t="s">
        <v>266</v>
      </c>
      <c r="H97" s="181" t="s">
        <v>189</v>
      </c>
      <c r="I97" s="181" t="s">
        <v>20</v>
      </c>
      <c r="J97" s="182" t="n">
        <v>45733</v>
      </c>
      <c r="K97" s="182" t="n">
        <v>45733</v>
      </c>
      <c r="L97" s="20" t="n">
        <v>1</v>
      </c>
    </row>
    <row r="98" customFormat="false" ht="36.65" hidden="false" customHeight="true" outlineLevel="0" collapsed="false">
      <c r="A98" s="170" t="n">
        <f aca="false">+A97+1</f>
        <v>26</v>
      </c>
      <c r="B98" s="179" t="s">
        <v>214</v>
      </c>
      <c r="C98" s="180" t="n">
        <v>45733</v>
      </c>
      <c r="D98" s="179" t="s">
        <v>205</v>
      </c>
      <c r="E98" s="181" t="s">
        <v>267</v>
      </c>
      <c r="F98" s="179" t="s">
        <v>268</v>
      </c>
      <c r="G98" s="181" t="s">
        <v>269</v>
      </c>
      <c r="H98" s="181" t="s">
        <v>189</v>
      </c>
      <c r="I98" s="181" t="s">
        <v>20</v>
      </c>
      <c r="J98" s="182" t="n">
        <v>45735</v>
      </c>
      <c r="K98" s="182" t="n">
        <v>45775</v>
      </c>
      <c r="L98" s="20" t="n">
        <v>1</v>
      </c>
    </row>
    <row r="99" customFormat="false" ht="36.65" hidden="false" customHeight="true" outlineLevel="0" collapsed="false">
      <c r="A99" s="170" t="n">
        <f aca="false">+A98+1</f>
        <v>27</v>
      </c>
      <c r="B99" s="179" t="s">
        <v>241</v>
      </c>
      <c r="C99" s="180" t="n">
        <v>45740</v>
      </c>
      <c r="D99" s="179" t="s">
        <v>205</v>
      </c>
      <c r="E99" s="181" t="s">
        <v>270</v>
      </c>
      <c r="F99" s="179" t="s">
        <v>187</v>
      </c>
      <c r="G99" s="181" t="s">
        <v>271</v>
      </c>
      <c r="H99" s="181" t="s">
        <v>189</v>
      </c>
      <c r="I99" s="181" t="s">
        <v>213</v>
      </c>
      <c r="J99" s="182" t="n">
        <v>45740</v>
      </c>
      <c r="K99" s="182" t="n">
        <v>45742</v>
      </c>
      <c r="L99" s="20" t="n">
        <v>1</v>
      </c>
    </row>
    <row r="100" customFormat="false" ht="36.65" hidden="false" customHeight="true" outlineLevel="0" collapsed="false">
      <c r="A100" s="170" t="n">
        <f aca="false">+A99+1</f>
        <v>28</v>
      </c>
      <c r="B100" s="179" t="s">
        <v>241</v>
      </c>
      <c r="C100" s="180" t="n">
        <v>45740</v>
      </c>
      <c r="D100" s="179" t="s">
        <v>205</v>
      </c>
      <c r="E100" s="181" t="s">
        <v>270</v>
      </c>
      <c r="F100" s="179" t="s">
        <v>187</v>
      </c>
      <c r="G100" s="181" t="s">
        <v>272</v>
      </c>
      <c r="H100" s="181" t="s">
        <v>189</v>
      </c>
      <c r="I100" s="181" t="s">
        <v>44</v>
      </c>
      <c r="J100" s="182" t="n">
        <v>45740</v>
      </c>
      <c r="K100" s="182" t="n">
        <v>45740</v>
      </c>
      <c r="L100" s="20" t="n">
        <v>1</v>
      </c>
    </row>
    <row r="101" customFormat="false" ht="36.65" hidden="false" customHeight="true" outlineLevel="0" collapsed="false">
      <c r="A101" s="170" t="n">
        <f aca="false">+A100+1</f>
        <v>29</v>
      </c>
      <c r="B101" s="179" t="s">
        <v>241</v>
      </c>
      <c r="C101" s="180" t="n">
        <v>45740</v>
      </c>
      <c r="D101" s="179" t="s">
        <v>205</v>
      </c>
      <c r="E101" s="181" t="s">
        <v>273</v>
      </c>
      <c r="F101" s="179" t="s">
        <v>207</v>
      </c>
      <c r="G101" s="181" t="s">
        <v>274</v>
      </c>
      <c r="H101" s="181" t="s">
        <v>189</v>
      </c>
      <c r="I101" s="181" t="s">
        <v>50</v>
      </c>
      <c r="J101" s="182" t="n">
        <v>45740</v>
      </c>
      <c r="K101" s="182" t="n">
        <v>45740</v>
      </c>
      <c r="L101" s="20" t="n">
        <v>1</v>
      </c>
    </row>
    <row r="102" customFormat="false" ht="36.65" hidden="false" customHeight="true" outlineLevel="0" collapsed="false">
      <c r="A102" s="170" t="n">
        <f aca="false">+A101+1</f>
        <v>30</v>
      </c>
      <c r="B102" s="179" t="s">
        <v>241</v>
      </c>
      <c r="C102" s="180" t="n">
        <v>45740</v>
      </c>
      <c r="D102" s="179" t="s">
        <v>205</v>
      </c>
      <c r="E102" s="181" t="s">
        <v>275</v>
      </c>
      <c r="F102" s="179" t="s">
        <v>216</v>
      </c>
      <c r="G102" s="181" t="s">
        <v>276</v>
      </c>
      <c r="H102" s="181" t="s">
        <v>189</v>
      </c>
      <c r="I102" s="181" t="s">
        <v>44</v>
      </c>
      <c r="J102" s="182" t="n">
        <v>45740</v>
      </c>
      <c r="K102" s="182" t="n">
        <v>45741</v>
      </c>
      <c r="L102" s="20" t="n">
        <v>1</v>
      </c>
    </row>
    <row r="103" customFormat="false" ht="36.65" hidden="false" customHeight="true" outlineLevel="0" collapsed="false">
      <c r="A103" s="170" t="n">
        <f aca="false">+A102+1</f>
        <v>31</v>
      </c>
      <c r="B103" s="179" t="s">
        <v>214</v>
      </c>
      <c r="C103" s="180" t="n">
        <v>45740</v>
      </c>
      <c r="D103" s="179" t="s">
        <v>205</v>
      </c>
      <c r="E103" s="181" t="s">
        <v>277</v>
      </c>
      <c r="F103" s="179" t="s">
        <v>268</v>
      </c>
      <c r="G103" s="181" t="s">
        <v>278</v>
      </c>
      <c r="H103" s="181" t="s">
        <v>189</v>
      </c>
      <c r="I103" s="181" t="s">
        <v>279</v>
      </c>
      <c r="J103" s="182" t="n">
        <v>45748</v>
      </c>
      <c r="K103" s="182" t="n">
        <v>45750</v>
      </c>
      <c r="L103" s="20" t="n">
        <v>1</v>
      </c>
    </row>
    <row r="104" customFormat="false" ht="36.65" hidden="false" customHeight="true" outlineLevel="0" collapsed="false">
      <c r="A104" s="170" t="n">
        <f aca="false">+A103+1</f>
        <v>32</v>
      </c>
      <c r="B104" s="179" t="s">
        <v>142</v>
      </c>
      <c r="C104" s="180" t="n">
        <v>45747</v>
      </c>
      <c r="D104" s="179" t="s">
        <v>205</v>
      </c>
      <c r="E104" s="181" t="s">
        <v>280</v>
      </c>
      <c r="F104" s="179" t="s">
        <v>207</v>
      </c>
      <c r="G104" s="181" t="s">
        <v>281</v>
      </c>
      <c r="H104" s="181" t="s">
        <v>189</v>
      </c>
      <c r="I104" s="181" t="s">
        <v>213</v>
      </c>
      <c r="J104" s="182" t="n">
        <v>45747</v>
      </c>
      <c r="K104" s="182" t="n">
        <v>45750</v>
      </c>
      <c r="L104" s="20" t="n">
        <v>1</v>
      </c>
    </row>
    <row r="105" customFormat="false" ht="36.65" hidden="false" customHeight="true" outlineLevel="0" collapsed="false">
      <c r="A105" s="170" t="n">
        <f aca="false">+A104+1</f>
        <v>33</v>
      </c>
      <c r="B105" s="179" t="s">
        <v>282</v>
      </c>
      <c r="C105" s="180" t="n">
        <v>45747</v>
      </c>
      <c r="D105" s="179" t="s">
        <v>205</v>
      </c>
      <c r="E105" s="181" t="s">
        <v>283</v>
      </c>
      <c r="F105" s="179" t="s">
        <v>207</v>
      </c>
      <c r="G105" s="181" t="s">
        <v>284</v>
      </c>
      <c r="H105" s="181" t="s">
        <v>189</v>
      </c>
      <c r="I105" s="181" t="s">
        <v>285</v>
      </c>
      <c r="J105" s="182" t="n">
        <v>45747</v>
      </c>
      <c r="K105" s="182" t="n">
        <v>45750</v>
      </c>
      <c r="L105" s="20" t="n">
        <v>1</v>
      </c>
    </row>
    <row r="106" customFormat="false" ht="36.65" hidden="false" customHeight="true" outlineLevel="0" collapsed="false">
      <c r="A106" s="170" t="n">
        <f aca="false">+A105+1</f>
        <v>34</v>
      </c>
      <c r="B106" s="179" t="s">
        <v>253</v>
      </c>
      <c r="C106" s="180" t="n">
        <v>45747</v>
      </c>
      <c r="D106" s="179" t="s">
        <v>144</v>
      </c>
      <c r="E106" s="181" t="s">
        <v>286</v>
      </c>
      <c r="F106" s="179" t="s">
        <v>268</v>
      </c>
      <c r="G106" s="181" t="s">
        <v>287</v>
      </c>
      <c r="H106" s="181" t="s">
        <v>189</v>
      </c>
      <c r="I106" s="181" t="s">
        <v>288</v>
      </c>
      <c r="J106" s="182" t="n">
        <v>45747</v>
      </c>
      <c r="K106" s="182" t="n">
        <v>45750</v>
      </c>
      <c r="L106" s="20" t="n">
        <v>1</v>
      </c>
    </row>
    <row r="107" customFormat="false" ht="36.65" hidden="false" customHeight="true" outlineLevel="0" collapsed="false">
      <c r="A107" s="170" t="n">
        <f aca="false">+A106+1</f>
        <v>35</v>
      </c>
      <c r="B107" s="179" t="s">
        <v>214</v>
      </c>
      <c r="C107" s="180" t="n">
        <v>45747</v>
      </c>
      <c r="D107" s="179" t="s">
        <v>205</v>
      </c>
      <c r="E107" s="181" t="s">
        <v>277</v>
      </c>
      <c r="F107" s="179" t="s">
        <v>216</v>
      </c>
      <c r="G107" s="181" t="s">
        <v>289</v>
      </c>
      <c r="H107" s="181" t="s">
        <v>189</v>
      </c>
      <c r="I107" s="181" t="s">
        <v>14</v>
      </c>
      <c r="J107" s="182" t="n">
        <v>45747</v>
      </c>
      <c r="K107" s="182" t="n">
        <v>45750</v>
      </c>
      <c r="L107" s="20" t="n">
        <v>1</v>
      </c>
    </row>
    <row r="108" customFormat="false" ht="36.65" hidden="false" customHeight="true" outlineLevel="0" collapsed="false">
      <c r="A108" s="170" t="n">
        <f aca="false">+A107+1</f>
        <v>36</v>
      </c>
      <c r="B108" s="179" t="s">
        <v>214</v>
      </c>
      <c r="C108" s="180" t="n">
        <v>45747</v>
      </c>
      <c r="D108" s="179" t="s">
        <v>191</v>
      </c>
      <c r="E108" s="181" t="s">
        <v>267</v>
      </c>
      <c r="F108" s="179" t="s">
        <v>207</v>
      </c>
      <c r="G108" s="181" t="s">
        <v>290</v>
      </c>
      <c r="H108" s="181" t="s">
        <v>189</v>
      </c>
      <c r="I108" s="181" t="s">
        <v>20</v>
      </c>
      <c r="J108" s="182" t="n">
        <v>45747</v>
      </c>
      <c r="K108" s="182" t="n">
        <v>45751</v>
      </c>
      <c r="L108" s="20" t="n">
        <v>1</v>
      </c>
    </row>
    <row r="109" customFormat="false" ht="36.65" hidden="false" customHeight="true" outlineLevel="0" collapsed="false">
      <c r="A109" s="170" t="n">
        <f aca="false">+A108+1</f>
        <v>37</v>
      </c>
      <c r="B109" s="179" t="s">
        <v>214</v>
      </c>
      <c r="C109" s="180" t="n">
        <v>45747</v>
      </c>
      <c r="D109" s="179" t="s">
        <v>144</v>
      </c>
      <c r="E109" s="181" t="s">
        <v>273</v>
      </c>
      <c r="F109" s="179" t="s">
        <v>207</v>
      </c>
      <c r="G109" s="181" t="s">
        <v>291</v>
      </c>
      <c r="H109" s="181" t="s">
        <v>189</v>
      </c>
      <c r="I109" s="181" t="s">
        <v>264</v>
      </c>
      <c r="J109" s="182" t="n">
        <v>45747</v>
      </c>
      <c r="K109" s="182" t="n">
        <v>45750</v>
      </c>
      <c r="L109" s="20" t="n">
        <v>1</v>
      </c>
    </row>
    <row r="110" customFormat="false" ht="36.65" hidden="false" customHeight="true" outlineLevel="0" collapsed="false">
      <c r="A110" s="170" t="n">
        <f aca="false">+A109+1</f>
        <v>38</v>
      </c>
      <c r="B110" s="179" t="s">
        <v>214</v>
      </c>
      <c r="C110" s="180" t="n">
        <v>45747</v>
      </c>
      <c r="D110" s="179" t="s">
        <v>205</v>
      </c>
      <c r="E110" s="181" t="s">
        <v>292</v>
      </c>
      <c r="F110" s="179" t="s">
        <v>293</v>
      </c>
      <c r="G110" s="181" t="s">
        <v>294</v>
      </c>
      <c r="H110" s="181" t="s">
        <v>189</v>
      </c>
      <c r="I110" s="181" t="s">
        <v>213</v>
      </c>
      <c r="J110" s="182" t="n">
        <v>45747</v>
      </c>
      <c r="K110" s="182" t="n">
        <v>45750</v>
      </c>
      <c r="L110" s="20" t="n">
        <v>1</v>
      </c>
    </row>
    <row r="111" customFormat="false" ht="36.65" hidden="false" customHeight="true" outlineLevel="0" collapsed="false">
      <c r="A111" s="170" t="n">
        <f aca="false">+A110+1</f>
        <v>39</v>
      </c>
      <c r="B111" s="179" t="s">
        <v>214</v>
      </c>
      <c r="C111" s="180" t="n">
        <v>45747</v>
      </c>
      <c r="D111" s="179" t="s">
        <v>205</v>
      </c>
      <c r="E111" s="181" t="s">
        <v>295</v>
      </c>
      <c r="F111" s="179" t="s">
        <v>296</v>
      </c>
      <c r="G111" s="181" t="s">
        <v>297</v>
      </c>
      <c r="H111" s="181" t="s">
        <v>189</v>
      </c>
      <c r="I111" s="181" t="s">
        <v>213</v>
      </c>
      <c r="J111" s="182" t="n">
        <v>45747</v>
      </c>
      <c r="K111" s="182" t="n">
        <v>45750</v>
      </c>
      <c r="L111" s="20" t="n">
        <v>1</v>
      </c>
    </row>
    <row r="112" customFormat="false" ht="36.65" hidden="false" customHeight="true" outlineLevel="0" collapsed="false">
      <c r="A112" s="170" t="n">
        <f aca="false">+A111+1</f>
        <v>40</v>
      </c>
      <c r="B112" s="179" t="s">
        <v>214</v>
      </c>
      <c r="C112" s="180" t="n">
        <v>45747</v>
      </c>
      <c r="D112" s="179" t="s">
        <v>205</v>
      </c>
      <c r="E112" s="181" t="s">
        <v>295</v>
      </c>
      <c r="F112" s="179" t="s">
        <v>296</v>
      </c>
      <c r="G112" s="181" t="s">
        <v>298</v>
      </c>
      <c r="H112" s="181" t="s">
        <v>189</v>
      </c>
      <c r="I112" s="181" t="s">
        <v>213</v>
      </c>
      <c r="J112" s="182" t="n">
        <v>45747</v>
      </c>
      <c r="K112" s="182" t="n">
        <v>45750</v>
      </c>
      <c r="L112" s="20" t="n">
        <v>1</v>
      </c>
    </row>
    <row r="113" customFormat="false" ht="36.65" hidden="false" customHeight="true" outlineLevel="0" collapsed="false">
      <c r="A113" s="170" t="n">
        <f aca="false">+A112+1</f>
        <v>41</v>
      </c>
      <c r="B113" s="179" t="s">
        <v>214</v>
      </c>
      <c r="C113" s="180" t="n">
        <v>45747</v>
      </c>
      <c r="D113" s="179" t="s">
        <v>205</v>
      </c>
      <c r="E113" s="181" t="s">
        <v>295</v>
      </c>
      <c r="F113" s="179" t="s">
        <v>296</v>
      </c>
      <c r="G113" s="181" t="s">
        <v>299</v>
      </c>
      <c r="H113" s="181" t="s">
        <v>189</v>
      </c>
      <c r="I113" s="181" t="s">
        <v>231</v>
      </c>
      <c r="J113" s="182" t="n">
        <v>45747</v>
      </c>
      <c r="K113" s="182" t="n">
        <v>45751</v>
      </c>
      <c r="L113" s="20" t="n">
        <v>1</v>
      </c>
    </row>
    <row r="114" customFormat="false" ht="28.35" hidden="false" customHeight="false" outlineLevel="0" collapsed="false">
      <c r="A114" s="170" t="n">
        <f aca="false">+A113+1</f>
        <v>42</v>
      </c>
      <c r="B114" s="179" t="s">
        <v>209</v>
      </c>
      <c r="C114" s="180" t="n">
        <v>45733</v>
      </c>
      <c r="D114" s="179" t="s">
        <v>205</v>
      </c>
      <c r="E114" s="179" t="s">
        <v>300</v>
      </c>
      <c r="F114" s="179" t="s">
        <v>268</v>
      </c>
      <c r="G114" s="181" t="s">
        <v>301</v>
      </c>
      <c r="H114" s="181" t="s">
        <v>189</v>
      </c>
      <c r="I114" s="181" t="s">
        <v>302</v>
      </c>
      <c r="J114" s="182" t="n">
        <v>45748</v>
      </c>
      <c r="K114" s="182" t="n">
        <v>45758</v>
      </c>
      <c r="L114" s="20" t="n">
        <v>1</v>
      </c>
    </row>
    <row r="115" customFormat="false" ht="36.65" hidden="false" customHeight="true" outlineLevel="0" collapsed="false">
      <c r="A115" s="170" t="n">
        <f aca="false">+A114+1</f>
        <v>43</v>
      </c>
      <c r="B115" s="179" t="s">
        <v>250</v>
      </c>
      <c r="C115" s="180" t="n">
        <v>45740</v>
      </c>
      <c r="D115" s="179" t="s">
        <v>144</v>
      </c>
      <c r="E115" s="181" t="s">
        <v>303</v>
      </c>
      <c r="F115" s="179" t="s">
        <v>216</v>
      </c>
      <c r="G115" s="181" t="s">
        <v>304</v>
      </c>
      <c r="H115" s="181" t="s">
        <v>189</v>
      </c>
      <c r="I115" s="181" t="s">
        <v>38</v>
      </c>
      <c r="J115" s="182" t="n">
        <v>45748</v>
      </c>
      <c r="K115" s="182" t="n">
        <v>45758</v>
      </c>
      <c r="L115" s="20" t="n">
        <v>1</v>
      </c>
    </row>
    <row r="116" customFormat="false" ht="36.65" hidden="false" customHeight="true" outlineLevel="0" collapsed="false">
      <c r="A116" s="170" t="n">
        <f aca="false">+A115+1</f>
        <v>44</v>
      </c>
      <c r="B116" s="179" t="s">
        <v>305</v>
      </c>
      <c r="C116" s="180" t="n">
        <v>45747</v>
      </c>
      <c r="D116" s="179" t="s">
        <v>205</v>
      </c>
      <c r="E116" s="181" t="s">
        <v>306</v>
      </c>
      <c r="F116" s="179" t="s">
        <v>187</v>
      </c>
      <c r="G116" s="181" t="s">
        <v>307</v>
      </c>
      <c r="H116" s="181" t="s">
        <v>189</v>
      </c>
      <c r="I116" s="181" t="s">
        <v>308</v>
      </c>
      <c r="J116" s="182" t="n">
        <v>45748</v>
      </c>
      <c r="K116" s="182" t="n">
        <v>45757</v>
      </c>
      <c r="L116" s="20" t="n">
        <v>1</v>
      </c>
    </row>
    <row r="117" customFormat="false" ht="36.65" hidden="false" customHeight="true" outlineLevel="0" collapsed="false">
      <c r="A117" s="170" t="n">
        <f aca="false">+A116+1</f>
        <v>45</v>
      </c>
      <c r="B117" s="179" t="s">
        <v>142</v>
      </c>
      <c r="C117" s="180" t="n">
        <v>45754</v>
      </c>
      <c r="D117" s="179" t="s">
        <v>205</v>
      </c>
      <c r="E117" s="181" t="s">
        <v>309</v>
      </c>
      <c r="F117" s="179" t="s">
        <v>296</v>
      </c>
      <c r="G117" s="181" t="s">
        <v>310</v>
      </c>
      <c r="H117" s="181" t="s">
        <v>189</v>
      </c>
      <c r="I117" s="181" t="s">
        <v>264</v>
      </c>
      <c r="J117" s="182" t="n">
        <v>45754</v>
      </c>
      <c r="K117" s="182" t="n">
        <v>45755</v>
      </c>
      <c r="L117" s="20" t="n">
        <v>1</v>
      </c>
    </row>
    <row r="118" customFormat="false" ht="36.65" hidden="false" customHeight="true" outlineLevel="0" collapsed="false">
      <c r="A118" s="170" t="n">
        <f aca="false">+A117+1</f>
        <v>46</v>
      </c>
      <c r="B118" s="179" t="s">
        <v>142</v>
      </c>
      <c r="C118" s="180" t="n">
        <v>45754</v>
      </c>
      <c r="D118" s="179" t="s">
        <v>205</v>
      </c>
      <c r="E118" s="181" t="s">
        <v>309</v>
      </c>
      <c r="F118" s="179" t="s">
        <v>311</v>
      </c>
      <c r="G118" s="181" t="s">
        <v>312</v>
      </c>
      <c r="H118" s="181" t="s">
        <v>189</v>
      </c>
      <c r="I118" s="181" t="s">
        <v>14</v>
      </c>
      <c r="J118" s="182" t="n">
        <v>45754</v>
      </c>
      <c r="K118" s="182" t="n">
        <v>45755</v>
      </c>
      <c r="L118" s="20" t="n">
        <v>1</v>
      </c>
    </row>
    <row r="119" customFormat="false" ht="36.65" hidden="false" customHeight="true" outlineLevel="0" collapsed="false">
      <c r="A119" s="170" t="n">
        <f aca="false">+A118+1</f>
        <v>47</v>
      </c>
      <c r="B119" s="179" t="s">
        <v>282</v>
      </c>
      <c r="C119" s="180" t="n">
        <v>45754</v>
      </c>
      <c r="D119" s="179" t="s">
        <v>205</v>
      </c>
      <c r="E119" s="181" t="s">
        <v>313</v>
      </c>
      <c r="F119" s="179" t="s">
        <v>268</v>
      </c>
      <c r="G119" s="181" t="s">
        <v>314</v>
      </c>
      <c r="H119" s="181" t="s">
        <v>189</v>
      </c>
      <c r="I119" s="181" t="s">
        <v>264</v>
      </c>
      <c r="J119" s="182" t="n">
        <v>45754</v>
      </c>
      <c r="K119" s="182" t="n">
        <v>45755</v>
      </c>
      <c r="L119" s="20" t="n">
        <v>1</v>
      </c>
    </row>
    <row r="120" customFormat="false" ht="36.65" hidden="false" customHeight="true" outlineLevel="0" collapsed="false">
      <c r="A120" s="170" t="n">
        <f aca="false">+A119+1</f>
        <v>48</v>
      </c>
      <c r="B120" s="179" t="s">
        <v>282</v>
      </c>
      <c r="C120" s="180" t="n">
        <v>45754</v>
      </c>
      <c r="D120" s="179" t="s">
        <v>205</v>
      </c>
      <c r="E120" s="181" t="s">
        <v>315</v>
      </c>
      <c r="F120" s="179" t="s">
        <v>216</v>
      </c>
      <c r="G120" s="181" t="s">
        <v>316</v>
      </c>
      <c r="H120" s="181" t="s">
        <v>189</v>
      </c>
      <c r="I120" s="181" t="s">
        <v>317</v>
      </c>
      <c r="J120" s="182" t="n">
        <v>45754</v>
      </c>
      <c r="K120" s="182" t="n">
        <v>45754</v>
      </c>
      <c r="L120" s="20" t="n">
        <v>1</v>
      </c>
    </row>
    <row r="121" customFormat="false" ht="36.65" hidden="false" customHeight="true" outlineLevel="0" collapsed="false">
      <c r="A121" s="170" t="n">
        <f aca="false">+A120+1</f>
        <v>49</v>
      </c>
      <c r="B121" s="179" t="s">
        <v>214</v>
      </c>
      <c r="C121" s="180" t="n">
        <v>45754</v>
      </c>
      <c r="D121" s="179" t="s">
        <v>205</v>
      </c>
      <c r="E121" s="181" t="s">
        <v>214</v>
      </c>
      <c r="F121" s="179" t="s">
        <v>318</v>
      </c>
      <c r="G121" s="181" t="s">
        <v>319</v>
      </c>
      <c r="H121" s="181" t="s">
        <v>189</v>
      </c>
      <c r="I121" s="181" t="s">
        <v>320</v>
      </c>
      <c r="J121" s="182" t="n">
        <v>45754</v>
      </c>
      <c r="K121" s="182" t="n">
        <v>45758</v>
      </c>
      <c r="L121" s="20" t="n">
        <v>1</v>
      </c>
    </row>
    <row r="122" customFormat="false" ht="36.65" hidden="false" customHeight="true" outlineLevel="0" collapsed="false">
      <c r="A122" s="170" t="n">
        <f aca="false">+A121+1</f>
        <v>50</v>
      </c>
      <c r="B122" s="179" t="s">
        <v>214</v>
      </c>
      <c r="C122" s="180" t="n">
        <v>45754</v>
      </c>
      <c r="D122" s="179" t="s">
        <v>205</v>
      </c>
      <c r="E122" s="181" t="s">
        <v>309</v>
      </c>
      <c r="F122" s="179" t="s">
        <v>318</v>
      </c>
      <c r="G122" s="181" t="s">
        <v>321</v>
      </c>
      <c r="H122" s="181" t="s">
        <v>189</v>
      </c>
      <c r="I122" s="181" t="s">
        <v>322</v>
      </c>
      <c r="J122" s="182" t="n">
        <v>45754</v>
      </c>
      <c r="K122" s="182" t="n">
        <v>45791</v>
      </c>
      <c r="L122" s="20" t="n">
        <v>1</v>
      </c>
    </row>
    <row r="123" customFormat="false" ht="36.65" hidden="false" customHeight="true" outlineLevel="0" collapsed="false">
      <c r="A123" s="170" t="n">
        <f aca="false">+A122+1</f>
        <v>51</v>
      </c>
      <c r="B123" s="179" t="s">
        <v>214</v>
      </c>
      <c r="C123" s="180" t="n">
        <v>45754</v>
      </c>
      <c r="D123" s="179" t="s">
        <v>205</v>
      </c>
      <c r="E123" s="181" t="s">
        <v>277</v>
      </c>
      <c r="F123" s="179" t="s">
        <v>268</v>
      </c>
      <c r="G123" s="181" t="s">
        <v>323</v>
      </c>
      <c r="H123" s="181" t="s">
        <v>189</v>
      </c>
      <c r="I123" s="181" t="s">
        <v>264</v>
      </c>
      <c r="J123" s="182" t="n">
        <v>45756</v>
      </c>
      <c r="K123" s="182" t="n">
        <v>45792</v>
      </c>
      <c r="L123" s="20" t="n">
        <v>1</v>
      </c>
    </row>
    <row r="124" customFormat="false" ht="36.65" hidden="false" customHeight="true" outlineLevel="0" collapsed="false">
      <c r="A124" s="170" t="n">
        <f aca="false">+A123+1</f>
        <v>52</v>
      </c>
      <c r="B124" s="179" t="s">
        <v>214</v>
      </c>
      <c r="C124" s="180" t="n">
        <v>45761</v>
      </c>
      <c r="D124" s="179" t="s">
        <v>205</v>
      </c>
      <c r="E124" s="181" t="s">
        <v>313</v>
      </c>
      <c r="F124" s="179" t="s">
        <v>268</v>
      </c>
      <c r="G124" s="181" t="s">
        <v>324</v>
      </c>
      <c r="H124" s="181" t="s">
        <v>189</v>
      </c>
      <c r="I124" s="181" t="s">
        <v>325</v>
      </c>
      <c r="J124" s="182" t="n">
        <v>45762</v>
      </c>
      <c r="K124" s="182" t="n">
        <v>45762</v>
      </c>
      <c r="L124" s="20" t="n">
        <v>1</v>
      </c>
    </row>
    <row r="125" customFormat="false" ht="36.65" hidden="false" customHeight="true" outlineLevel="0" collapsed="false">
      <c r="A125" s="170" t="n">
        <f aca="false">+A124+1</f>
        <v>53</v>
      </c>
      <c r="B125" s="179" t="s">
        <v>214</v>
      </c>
      <c r="C125" s="180" t="n">
        <v>45733</v>
      </c>
      <c r="D125" s="179" t="s">
        <v>205</v>
      </c>
      <c r="E125" s="181" t="s">
        <v>326</v>
      </c>
      <c r="F125" s="179" t="s">
        <v>268</v>
      </c>
      <c r="G125" s="181" t="s">
        <v>327</v>
      </c>
      <c r="H125" s="181" t="s">
        <v>189</v>
      </c>
      <c r="I125" s="181" t="s">
        <v>20</v>
      </c>
      <c r="J125" s="182" t="n">
        <v>45748</v>
      </c>
      <c r="K125" s="182" t="n">
        <v>45768</v>
      </c>
      <c r="L125" s="20" t="n">
        <v>1</v>
      </c>
    </row>
    <row r="126" customFormat="false" ht="36.65" hidden="false" customHeight="true" outlineLevel="0" collapsed="false">
      <c r="A126" s="170" t="n">
        <f aca="false">+A125+1</f>
        <v>54</v>
      </c>
      <c r="B126" s="179" t="s">
        <v>214</v>
      </c>
      <c r="C126" s="180" t="n">
        <v>45761</v>
      </c>
      <c r="D126" s="181" t="s">
        <v>328</v>
      </c>
      <c r="E126" s="181" t="s">
        <v>329</v>
      </c>
      <c r="F126" s="179" t="s">
        <v>216</v>
      </c>
      <c r="G126" s="181" t="s">
        <v>330</v>
      </c>
      <c r="H126" s="181" t="s">
        <v>189</v>
      </c>
      <c r="I126" s="181" t="s">
        <v>44</v>
      </c>
      <c r="J126" s="182" t="n">
        <v>45763</v>
      </c>
      <c r="K126" s="182" t="n">
        <v>45772</v>
      </c>
      <c r="L126" s="20" t="n">
        <v>1</v>
      </c>
    </row>
    <row r="127" customFormat="false" ht="36.65" hidden="false" customHeight="true" outlineLevel="0" collapsed="false">
      <c r="A127" s="170" t="n">
        <f aca="false">+A126+1</f>
        <v>55</v>
      </c>
      <c r="B127" s="179" t="s">
        <v>214</v>
      </c>
      <c r="C127" s="180" t="n">
        <v>45761</v>
      </c>
      <c r="D127" s="179" t="s">
        <v>191</v>
      </c>
      <c r="E127" s="181" t="s">
        <v>311</v>
      </c>
      <c r="F127" s="179" t="s">
        <v>216</v>
      </c>
      <c r="G127" s="181" t="s">
        <v>331</v>
      </c>
      <c r="H127" s="181" t="s">
        <v>189</v>
      </c>
      <c r="I127" s="181" t="s">
        <v>264</v>
      </c>
      <c r="J127" s="182" t="n">
        <v>45791</v>
      </c>
      <c r="K127" s="182" t="n">
        <v>45769</v>
      </c>
      <c r="L127" s="20" t="n">
        <v>1</v>
      </c>
    </row>
    <row r="128" customFormat="false" ht="36.65" hidden="false" customHeight="true" outlineLevel="0" collapsed="false">
      <c r="A128" s="170" t="n">
        <f aca="false">+A127+1</f>
        <v>56</v>
      </c>
      <c r="B128" s="179" t="s">
        <v>214</v>
      </c>
      <c r="C128" s="180" t="n">
        <v>45768</v>
      </c>
      <c r="D128" s="179" t="s">
        <v>191</v>
      </c>
      <c r="E128" s="181" t="s">
        <v>311</v>
      </c>
      <c r="F128" s="179" t="s">
        <v>216</v>
      </c>
      <c r="G128" s="181" t="s">
        <v>332</v>
      </c>
      <c r="H128" s="181" t="s">
        <v>189</v>
      </c>
      <c r="I128" s="181" t="s">
        <v>264</v>
      </c>
      <c r="J128" s="182" t="n">
        <v>45768</v>
      </c>
      <c r="K128" s="182" t="n">
        <v>45772</v>
      </c>
      <c r="L128" s="20" t="n">
        <v>1</v>
      </c>
    </row>
    <row r="129" customFormat="false" ht="36.65" hidden="false" customHeight="true" outlineLevel="0" collapsed="false">
      <c r="A129" s="170" t="n">
        <f aca="false">+A128+1</f>
        <v>57</v>
      </c>
      <c r="B129" s="179" t="s">
        <v>214</v>
      </c>
      <c r="C129" s="180" t="n">
        <v>45768</v>
      </c>
      <c r="D129" s="179" t="s">
        <v>191</v>
      </c>
      <c r="E129" s="181" t="s">
        <v>311</v>
      </c>
      <c r="F129" s="179" t="s">
        <v>216</v>
      </c>
      <c r="G129" s="181" t="s">
        <v>333</v>
      </c>
      <c r="H129" s="181" t="s">
        <v>189</v>
      </c>
      <c r="I129" s="181" t="s">
        <v>14</v>
      </c>
      <c r="J129" s="182" t="n">
        <v>45768</v>
      </c>
      <c r="K129" s="182" t="n">
        <v>45769</v>
      </c>
      <c r="L129" s="20" t="n">
        <v>1</v>
      </c>
    </row>
    <row r="130" customFormat="false" ht="36.65" hidden="false" customHeight="true" outlineLevel="0" collapsed="false">
      <c r="A130" s="170" t="n">
        <f aca="false">+A129+1</f>
        <v>58</v>
      </c>
      <c r="B130" s="179" t="s">
        <v>250</v>
      </c>
      <c r="C130" s="180" t="n">
        <v>45740</v>
      </c>
      <c r="D130" s="179" t="s">
        <v>205</v>
      </c>
      <c r="E130" s="181" t="s">
        <v>334</v>
      </c>
      <c r="F130" s="179" t="s">
        <v>216</v>
      </c>
      <c r="G130" s="181" t="s">
        <v>335</v>
      </c>
      <c r="H130" s="181" t="s">
        <v>189</v>
      </c>
      <c r="I130" s="181" t="s">
        <v>336</v>
      </c>
      <c r="J130" s="182" t="n">
        <v>45751</v>
      </c>
      <c r="K130" s="182" t="n">
        <v>45807</v>
      </c>
      <c r="L130" s="20" t="n">
        <v>1</v>
      </c>
    </row>
    <row r="131" customFormat="false" ht="36.65" hidden="false" customHeight="true" outlineLevel="0" collapsed="false">
      <c r="A131" s="170" t="n">
        <f aca="false">+A130+1</f>
        <v>59</v>
      </c>
      <c r="B131" s="179" t="s">
        <v>337</v>
      </c>
      <c r="C131" s="180" t="n">
        <v>45775</v>
      </c>
      <c r="D131" s="179" t="s">
        <v>205</v>
      </c>
      <c r="E131" s="181" t="s">
        <v>338</v>
      </c>
      <c r="F131" s="179" t="s">
        <v>339</v>
      </c>
      <c r="G131" s="181" t="s">
        <v>340</v>
      </c>
      <c r="H131" s="181" t="s">
        <v>189</v>
      </c>
      <c r="I131" s="181" t="s">
        <v>50</v>
      </c>
      <c r="J131" s="182" t="n">
        <v>45775</v>
      </c>
      <c r="K131" s="182" t="n">
        <v>45807</v>
      </c>
      <c r="L131" s="20" t="n">
        <v>1</v>
      </c>
    </row>
    <row r="132" customFormat="false" ht="36.65" hidden="false" customHeight="true" outlineLevel="0" collapsed="false">
      <c r="A132" s="170" t="n">
        <f aca="false">+A131+1</f>
        <v>60</v>
      </c>
      <c r="B132" s="179" t="s">
        <v>341</v>
      </c>
      <c r="C132" s="180" t="n">
        <v>45747</v>
      </c>
      <c r="D132" s="179" t="s">
        <v>191</v>
      </c>
      <c r="E132" s="181" t="s">
        <v>267</v>
      </c>
      <c r="F132" s="179" t="s">
        <v>207</v>
      </c>
      <c r="G132" s="181" t="s">
        <v>342</v>
      </c>
      <c r="H132" s="181" t="s">
        <v>189</v>
      </c>
      <c r="I132" s="181" t="s">
        <v>343</v>
      </c>
      <c r="J132" s="182" t="n">
        <v>45748</v>
      </c>
      <c r="K132" s="182"/>
      <c r="L132" s="20" t="n">
        <v>1</v>
      </c>
    </row>
    <row r="133" customFormat="false" ht="36.65" hidden="false" customHeight="true" outlineLevel="0" collapsed="false">
      <c r="A133" s="170" t="n">
        <f aca="false">+A132+1</f>
        <v>61</v>
      </c>
      <c r="B133" s="179" t="s">
        <v>337</v>
      </c>
      <c r="C133" s="180" t="n">
        <v>45782</v>
      </c>
      <c r="D133" s="179" t="s">
        <v>205</v>
      </c>
      <c r="E133" s="181" t="s">
        <v>338</v>
      </c>
      <c r="F133" s="179" t="s">
        <v>339</v>
      </c>
      <c r="G133" s="181" t="s">
        <v>344</v>
      </c>
      <c r="H133" s="181" t="s">
        <v>189</v>
      </c>
      <c r="I133" s="181" t="s">
        <v>14</v>
      </c>
      <c r="J133" s="182" t="n">
        <v>45782</v>
      </c>
      <c r="K133" s="182"/>
      <c r="L133" s="20" t="n">
        <v>1</v>
      </c>
    </row>
    <row r="134" customFormat="false" ht="36.65" hidden="false" customHeight="true" outlineLevel="0" collapsed="false">
      <c r="A134" s="170" t="n">
        <f aca="false">+A133+1</f>
        <v>62</v>
      </c>
      <c r="B134" s="179" t="s">
        <v>341</v>
      </c>
      <c r="C134" s="180" t="n">
        <v>45782</v>
      </c>
      <c r="D134" s="179" t="s">
        <v>205</v>
      </c>
      <c r="E134" s="181" t="s">
        <v>338</v>
      </c>
      <c r="F134" s="179" t="s">
        <v>318</v>
      </c>
      <c r="G134" s="181" t="s">
        <v>345</v>
      </c>
      <c r="H134" s="181" t="s">
        <v>189</v>
      </c>
      <c r="I134" s="181" t="s">
        <v>14</v>
      </c>
      <c r="J134" s="182" t="n">
        <v>45782</v>
      </c>
      <c r="K134" s="182" t="n">
        <v>45782</v>
      </c>
      <c r="L134" s="20" t="n">
        <v>1</v>
      </c>
    </row>
    <row r="135" customFormat="false" ht="36.65" hidden="false" customHeight="true" outlineLevel="0" collapsed="false">
      <c r="A135" s="170" t="n">
        <f aca="false">+A134+1</f>
        <v>63</v>
      </c>
      <c r="B135" s="179" t="s">
        <v>232</v>
      </c>
      <c r="C135" s="180" t="n">
        <v>45796</v>
      </c>
      <c r="D135" s="179" t="s">
        <v>144</v>
      </c>
      <c r="E135" s="181" t="s">
        <v>346</v>
      </c>
      <c r="F135" s="179" t="s">
        <v>311</v>
      </c>
      <c r="G135" s="181" t="s">
        <v>347</v>
      </c>
      <c r="H135" s="181" t="s">
        <v>189</v>
      </c>
      <c r="I135" s="181" t="s">
        <v>264</v>
      </c>
      <c r="J135" s="182" t="n">
        <v>45797</v>
      </c>
      <c r="K135" s="182" t="n">
        <v>45797</v>
      </c>
      <c r="L135" s="20" t="n">
        <v>1</v>
      </c>
    </row>
    <row r="136" customFormat="false" ht="36.65" hidden="false" customHeight="true" outlineLevel="0" collapsed="false">
      <c r="A136" s="170" t="n">
        <f aca="false">+A135+1</f>
        <v>64</v>
      </c>
      <c r="B136" s="179" t="s">
        <v>282</v>
      </c>
      <c r="C136" s="180" t="n">
        <v>45796</v>
      </c>
      <c r="D136" s="179" t="s">
        <v>144</v>
      </c>
      <c r="E136" s="181" t="s">
        <v>348</v>
      </c>
      <c r="F136" s="179" t="s">
        <v>311</v>
      </c>
      <c r="G136" s="181" t="s">
        <v>349</v>
      </c>
      <c r="H136" s="181" t="s">
        <v>189</v>
      </c>
      <c r="I136" s="181" t="s">
        <v>264</v>
      </c>
      <c r="J136" s="182" t="n">
        <v>45797</v>
      </c>
      <c r="K136" s="182" t="n">
        <v>45797</v>
      </c>
      <c r="L136" s="20" t="n">
        <v>1</v>
      </c>
    </row>
    <row r="137" customFormat="false" ht="36.65" hidden="false" customHeight="true" outlineLevel="0" collapsed="false">
      <c r="A137" s="170" t="n">
        <f aca="false">+A136+1</f>
        <v>65</v>
      </c>
      <c r="B137" s="179" t="s">
        <v>214</v>
      </c>
      <c r="C137" s="180" t="n">
        <v>45807</v>
      </c>
      <c r="D137" s="179" t="s">
        <v>191</v>
      </c>
      <c r="E137" s="181" t="s">
        <v>350</v>
      </c>
      <c r="F137" s="179" t="s">
        <v>296</v>
      </c>
      <c r="G137" s="181" t="s">
        <v>351</v>
      </c>
      <c r="H137" s="181" t="s">
        <v>189</v>
      </c>
      <c r="I137" s="181" t="s">
        <v>352</v>
      </c>
      <c r="J137" s="182" t="n">
        <v>45810</v>
      </c>
      <c r="K137" s="182"/>
      <c r="L137" s="20" t="n">
        <v>1</v>
      </c>
    </row>
    <row r="138" customFormat="false" ht="36.65" hidden="false" customHeight="true" outlineLevel="0" collapsed="false">
      <c r="A138" s="170" t="n">
        <f aca="false">+A137+1</f>
        <v>66</v>
      </c>
      <c r="B138" s="179" t="s">
        <v>232</v>
      </c>
      <c r="C138" s="180" t="n">
        <v>45796</v>
      </c>
      <c r="D138" s="179" t="s">
        <v>144</v>
      </c>
      <c r="E138" s="181" t="s">
        <v>353</v>
      </c>
      <c r="F138" s="179" t="s">
        <v>187</v>
      </c>
      <c r="G138" s="181" t="s">
        <v>354</v>
      </c>
      <c r="H138" s="181" t="s">
        <v>189</v>
      </c>
      <c r="I138" s="181" t="s">
        <v>213</v>
      </c>
      <c r="J138" s="182" t="n">
        <v>45800</v>
      </c>
      <c r="K138" s="182" t="n">
        <v>45831</v>
      </c>
      <c r="L138" s="20" t="n">
        <v>1</v>
      </c>
    </row>
    <row r="139" customFormat="false" ht="36.65" hidden="false" customHeight="true" outlineLevel="0" collapsed="false">
      <c r="A139" s="170" t="n">
        <f aca="false">+A138+1</f>
        <v>67</v>
      </c>
      <c r="B139" s="179" t="s">
        <v>214</v>
      </c>
      <c r="C139" s="180" t="n">
        <v>45814</v>
      </c>
      <c r="D139" s="179" t="s">
        <v>144</v>
      </c>
      <c r="E139" s="181" t="s">
        <v>187</v>
      </c>
      <c r="F139" s="179" t="s">
        <v>187</v>
      </c>
      <c r="G139" s="181" t="s">
        <v>355</v>
      </c>
      <c r="H139" s="181" t="s">
        <v>189</v>
      </c>
      <c r="I139" s="181" t="s">
        <v>356</v>
      </c>
      <c r="J139" s="182" t="n">
        <v>45816</v>
      </c>
      <c r="K139" s="182" t="n">
        <v>45835</v>
      </c>
      <c r="L139" s="20" t="n">
        <v>1</v>
      </c>
    </row>
    <row r="140" customFormat="false" ht="36.65" hidden="false" customHeight="true" outlineLevel="0" collapsed="false">
      <c r="A140" s="170" t="n">
        <f aca="false">+A139+1</f>
        <v>68</v>
      </c>
      <c r="B140" s="179" t="s">
        <v>282</v>
      </c>
      <c r="C140" s="180" t="n">
        <v>45814</v>
      </c>
      <c r="D140" s="179" t="s">
        <v>144</v>
      </c>
      <c r="E140" s="181" t="s">
        <v>357</v>
      </c>
      <c r="F140" s="179" t="s">
        <v>187</v>
      </c>
      <c r="G140" s="181" t="s">
        <v>358</v>
      </c>
      <c r="H140" s="181" t="s">
        <v>189</v>
      </c>
      <c r="I140" s="181" t="s">
        <v>356</v>
      </c>
      <c r="J140" s="182" t="n">
        <v>45816</v>
      </c>
      <c r="K140" s="182" t="n">
        <v>45835</v>
      </c>
      <c r="L140" s="20" t="n">
        <v>1</v>
      </c>
    </row>
    <row r="141" customFormat="false" ht="36.65" hidden="false" customHeight="true" outlineLevel="0" collapsed="false">
      <c r="A141" s="170" t="n">
        <f aca="false">+A140+1</f>
        <v>69</v>
      </c>
      <c r="B141" s="179" t="n">
        <v>6</v>
      </c>
      <c r="C141" s="180" t="n">
        <v>45827</v>
      </c>
      <c r="D141" s="179" t="s">
        <v>205</v>
      </c>
      <c r="E141" s="181" t="s">
        <v>359</v>
      </c>
      <c r="F141" s="179" t="s">
        <v>360</v>
      </c>
      <c r="G141" s="181" t="s">
        <v>361</v>
      </c>
      <c r="H141" s="181" t="s">
        <v>189</v>
      </c>
      <c r="I141" s="181" t="s">
        <v>55</v>
      </c>
      <c r="J141" s="182" t="n">
        <v>45831</v>
      </c>
      <c r="K141" s="182" t="n">
        <v>45835</v>
      </c>
      <c r="L141" s="20" t="n">
        <v>1</v>
      </c>
    </row>
    <row r="142" customFormat="false" ht="36.65" hidden="false" customHeight="true" outlineLevel="0" collapsed="false">
      <c r="A142" s="170" t="n">
        <f aca="false">+A141+1</f>
        <v>70</v>
      </c>
      <c r="B142" s="192" t="s">
        <v>362</v>
      </c>
      <c r="C142" s="180" t="n">
        <v>45827</v>
      </c>
      <c r="D142" s="179" t="s">
        <v>205</v>
      </c>
      <c r="E142" s="181" t="s">
        <v>363</v>
      </c>
      <c r="F142" s="179" t="s">
        <v>364</v>
      </c>
      <c r="G142" s="181" t="s">
        <v>365</v>
      </c>
      <c r="H142" s="181" t="s">
        <v>189</v>
      </c>
      <c r="I142" s="181" t="s">
        <v>20</v>
      </c>
      <c r="J142" s="182" t="n">
        <v>45831</v>
      </c>
      <c r="K142" s="182" t="n">
        <v>45831</v>
      </c>
      <c r="L142" s="20" t="n">
        <v>1</v>
      </c>
    </row>
    <row r="143" customFormat="false" ht="36.65" hidden="false" customHeight="true" outlineLevel="0" collapsed="false">
      <c r="A143" s="170" t="n">
        <f aca="false">+A142+1</f>
        <v>71</v>
      </c>
      <c r="B143" s="179" t="s">
        <v>232</v>
      </c>
      <c r="C143" s="180" t="n">
        <v>45807</v>
      </c>
      <c r="D143" s="179" t="s">
        <v>191</v>
      </c>
      <c r="E143" s="181" t="s">
        <v>350</v>
      </c>
      <c r="F143" s="179" t="s">
        <v>187</v>
      </c>
      <c r="G143" s="181" t="s">
        <v>366</v>
      </c>
      <c r="H143" s="181" t="s">
        <v>189</v>
      </c>
      <c r="I143" s="181" t="s">
        <v>367</v>
      </c>
      <c r="J143" s="182" t="n">
        <v>45810</v>
      </c>
      <c r="K143" s="182" t="n">
        <v>45842</v>
      </c>
      <c r="L143" s="20" t="n">
        <v>1</v>
      </c>
    </row>
    <row r="144" customFormat="false" ht="36.65" hidden="false" customHeight="true" outlineLevel="0" collapsed="false">
      <c r="A144" s="170" t="n">
        <f aca="false">+A143+1</f>
        <v>72</v>
      </c>
      <c r="B144" s="179" t="s">
        <v>214</v>
      </c>
      <c r="C144" s="180" t="n">
        <v>45807</v>
      </c>
      <c r="D144" s="179" t="s">
        <v>191</v>
      </c>
      <c r="E144" s="181" t="s">
        <v>368</v>
      </c>
      <c r="F144" s="179" t="s">
        <v>369</v>
      </c>
      <c r="G144" s="181" t="s">
        <v>370</v>
      </c>
      <c r="H144" s="181" t="s">
        <v>189</v>
      </c>
      <c r="I144" s="181" t="s">
        <v>367</v>
      </c>
      <c r="J144" s="182" t="n">
        <v>45814</v>
      </c>
      <c r="K144" s="182" t="n">
        <v>45842</v>
      </c>
      <c r="L144" s="20" t="n">
        <v>1</v>
      </c>
    </row>
    <row r="145" customFormat="false" ht="36.65" hidden="false" customHeight="true" outlineLevel="0" collapsed="false">
      <c r="A145" s="170" t="n">
        <f aca="false">+A144+1</f>
        <v>73</v>
      </c>
      <c r="B145" s="179" t="s">
        <v>214</v>
      </c>
      <c r="C145" s="180" t="n">
        <v>45827</v>
      </c>
      <c r="D145" s="179" t="s">
        <v>205</v>
      </c>
      <c r="E145" s="181" t="s">
        <v>371</v>
      </c>
      <c r="F145" s="179" t="s">
        <v>201</v>
      </c>
      <c r="G145" s="181" t="s">
        <v>372</v>
      </c>
      <c r="H145" s="181" t="s">
        <v>189</v>
      </c>
      <c r="I145" s="181" t="s">
        <v>373</v>
      </c>
      <c r="J145" s="182" t="n">
        <v>45831</v>
      </c>
      <c r="K145" s="182" t="n">
        <v>45842</v>
      </c>
      <c r="L145" s="20" t="n">
        <v>1</v>
      </c>
    </row>
    <row r="146" customFormat="false" ht="36.65" hidden="false" customHeight="true" outlineLevel="0" collapsed="false">
      <c r="A146" s="170" t="n">
        <f aca="false">+A145+1</f>
        <v>74</v>
      </c>
      <c r="B146" s="179" t="s">
        <v>185</v>
      </c>
      <c r="C146" s="180" t="n">
        <v>45835</v>
      </c>
      <c r="D146" s="179" t="s">
        <v>205</v>
      </c>
      <c r="E146" s="181" t="s">
        <v>259</v>
      </c>
      <c r="F146" s="179" t="s">
        <v>201</v>
      </c>
      <c r="G146" s="181" t="s">
        <v>374</v>
      </c>
      <c r="H146" s="181" t="s">
        <v>189</v>
      </c>
      <c r="I146" s="181" t="s">
        <v>20</v>
      </c>
      <c r="J146" s="182" t="n">
        <v>45841</v>
      </c>
      <c r="K146" s="182" t="n">
        <v>45841</v>
      </c>
      <c r="L146" s="20" t="n">
        <v>1</v>
      </c>
    </row>
    <row r="147" customFormat="false" ht="36.65" hidden="false" customHeight="true" outlineLevel="0" collapsed="false">
      <c r="A147" s="170" t="n">
        <f aca="false">+A146+1</f>
        <v>75</v>
      </c>
      <c r="B147" s="179" t="s">
        <v>214</v>
      </c>
      <c r="C147" s="180" t="n">
        <v>45827</v>
      </c>
      <c r="D147" s="179" t="s">
        <v>205</v>
      </c>
      <c r="E147" s="181" t="s">
        <v>371</v>
      </c>
      <c r="F147" s="179" t="s">
        <v>201</v>
      </c>
      <c r="G147" s="181" t="s">
        <v>375</v>
      </c>
      <c r="H147" s="181" t="s">
        <v>189</v>
      </c>
      <c r="I147" s="181" t="s">
        <v>20</v>
      </c>
      <c r="J147" s="182" t="n">
        <v>45831</v>
      </c>
      <c r="K147" s="182" t="n">
        <v>45849</v>
      </c>
      <c r="L147" s="20" t="n">
        <v>1</v>
      </c>
    </row>
    <row r="148" customFormat="false" ht="36.65" hidden="false" customHeight="true" outlineLevel="0" collapsed="false">
      <c r="A148" s="170" t="n">
        <f aca="false">+A147+1</f>
        <v>76</v>
      </c>
      <c r="B148" s="179" t="s">
        <v>223</v>
      </c>
      <c r="C148" s="180" t="n">
        <v>45835</v>
      </c>
      <c r="D148" s="179" t="s">
        <v>205</v>
      </c>
      <c r="E148" s="181" t="s">
        <v>376</v>
      </c>
      <c r="F148" s="179" t="s">
        <v>187</v>
      </c>
      <c r="G148" s="181" t="s">
        <v>377</v>
      </c>
      <c r="H148" s="181" t="s">
        <v>189</v>
      </c>
      <c r="I148" s="181" t="s">
        <v>373</v>
      </c>
      <c r="J148" s="182" t="n">
        <v>45842</v>
      </c>
      <c r="K148" s="182" t="n">
        <v>45854</v>
      </c>
      <c r="L148" s="20" t="n">
        <v>1</v>
      </c>
    </row>
    <row r="149" customFormat="false" ht="36.65" hidden="false" customHeight="true" outlineLevel="0" collapsed="false">
      <c r="A149" s="170" t="n">
        <f aca="false">+A148+1</f>
        <v>77</v>
      </c>
      <c r="B149" s="179" t="s">
        <v>185</v>
      </c>
      <c r="C149" s="180" t="n">
        <v>45849</v>
      </c>
      <c r="D149" s="179" t="s">
        <v>205</v>
      </c>
      <c r="E149" s="181" t="s">
        <v>277</v>
      </c>
      <c r="F149" s="179" t="s">
        <v>187</v>
      </c>
      <c r="G149" s="181" t="s">
        <v>378</v>
      </c>
      <c r="H149" s="181" t="s">
        <v>189</v>
      </c>
      <c r="I149" s="181" t="s">
        <v>379</v>
      </c>
      <c r="J149" s="182" t="n">
        <v>45852</v>
      </c>
      <c r="K149" s="182" t="n">
        <v>45854</v>
      </c>
      <c r="L149" s="20" t="n">
        <v>1</v>
      </c>
    </row>
    <row r="150" customFormat="false" ht="36.65" hidden="false" customHeight="true" outlineLevel="0" collapsed="false">
      <c r="A150" s="170" t="n">
        <f aca="false">+A149+1</f>
        <v>78</v>
      </c>
      <c r="B150" s="179" t="s">
        <v>185</v>
      </c>
      <c r="C150" s="180" t="n">
        <v>45849</v>
      </c>
      <c r="D150" s="179" t="s">
        <v>205</v>
      </c>
      <c r="E150" s="181" t="s">
        <v>277</v>
      </c>
      <c r="F150" s="179" t="s">
        <v>187</v>
      </c>
      <c r="G150" s="181" t="s">
        <v>380</v>
      </c>
      <c r="H150" s="181" t="s">
        <v>189</v>
      </c>
      <c r="I150" s="181" t="s">
        <v>379</v>
      </c>
      <c r="J150" s="182" t="n">
        <v>45852</v>
      </c>
      <c r="K150" s="182" t="n">
        <v>45854</v>
      </c>
      <c r="L150" s="20" t="n">
        <v>1</v>
      </c>
    </row>
    <row r="151" customFormat="false" ht="36.65" hidden="false" customHeight="true" outlineLevel="0" collapsed="false">
      <c r="A151" s="170" t="n">
        <f aca="false">+A150+1</f>
        <v>79</v>
      </c>
      <c r="B151" s="179" t="s">
        <v>232</v>
      </c>
      <c r="C151" s="180" t="n">
        <v>45849</v>
      </c>
      <c r="D151" s="179" t="s">
        <v>191</v>
      </c>
      <c r="E151" s="181" t="s">
        <v>381</v>
      </c>
      <c r="F151" s="179" t="s">
        <v>187</v>
      </c>
      <c r="G151" s="181" t="s">
        <v>382</v>
      </c>
      <c r="H151" s="181" t="s">
        <v>189</v>
      </c>
      <c r="I151" s="181" t="s">
        <v>383</v>
      </c>
      <c r="J151" s="180" t="n">
        <v>45854</v>
      </c>
      <c r="K151" s="182" t="n">
        <v>45855</v>
      </c>
      <c r="L151" s="20" t="n">
        <v>1</v>
      </c>
    </row>
    <row r="152" customFormat="false" ht="36.65" hidden="false" customHeight="true" outlineLevel="0" collapsed="false">
      <c r="A152" s="170" t="n">
        <f aca="false">+A151+1</f>
        <v>80</v>
      </c>
      <c r="B152" s="179" t="s">
        <v>282</v>
      </c>
      <c r="C152" s="180" t="n">
        <v>45849</v>
      </c>
      <c r="D152" s="179" t="s">
        <v>205</v>
      </c>
      <c r="E152" s="181" t="s">
        <v>357</v>
      </c>
      <c r="F152" s="179" t="s">
        <v>187</v>
      </c>
      <c r="G152" s="181" t="s">
        <v>384</v>
      </c>
      <c r="H152" s="181" t="s">
        <v>189</v>
      </c>
      <c r="I152" s="181" t="s">
        <v>385</v>
      </c>
      <c r="J152" s="180" t="s">
        <v>386</v>
      </c>
      <c r="K152" s="182" t="n">
        <v>45854</v>
      </c>
      <c r="L152" s="20" t="n">
        <v>1</v>
      </c>
    </row>
    <row r="153" customFormat="false" ht="36.65" hidden="false" customHeight="true" outlineLevel="0" collapsed="false">
      <c r="A153" s="170" t="n">
        <f aca="false">+A152+1</f>
        <v>81</v>
      </c>
      <c r="B153" s="179" t="s">
        <v>190</v>
      </c>
      <c r="C153" s="180" t="n">
        <v>45849</v>
      </c>
      <c r="D153" s="179" t="s">
        <v>205</v>
      </c>
      <c r="E153" s="181" t="s">
        <v>357</v>
      </c>
      <c r="F153" s="179" t="s">
        <v>387</v>
      </c>
      <c r="G153" s="181" t="s">
        <v>388</v>
      </c>
      <c r="H153" s="181" t="s">
        <v>189</v>
      </c>
      <c r="I153" s="181" t="s">
        <v>385</v>
      </c>
      <c r="J153" s="180" t="n">
        <v>45852</v>
      </c>
      <c r="K153" s="182" t="n">
        <v>45852</v>
      </c>
      <c r="L153" s="20" t="n">
        <v>1</v>
      </c>
    </row>
    <row r="154" customFormat="false" ht="36.65" hidden="false" customHeight="true" outlineLevel="0" collapsed="false">
      <c r="A154" s="170" t="n">
        <f aca="false">+A153+1</f>
        <v>82</v>
      </c>
      <c r="B154" s="179" t="s">
        <v>190</v>
      </c>
      <c r="C154" s="180" t="n">
        <v>45849</v>
      </c>
      <c r="D154" s="179" t="s">
        <v>144</v>
      </c>
      <c r="E154" s="181" t="s">
        <v>357</v>
      </c>
      <c r="F154" s="179" t="s">
        <v>187</v>
      </c>
      <c r="G154" s="181" t="s">
        <v>389</v>
      </c>
      <c r="H154" s="181" t="s">
        <v>189</v>
      </c>
      <c r="I154" s="181" t="s">
        <v>20</v>
      </c>
      <c r="J154" s="180" t="n">
        <v>45852</v>
      </c>
      <c r="K154" s="182" t="n">
        <v>45852</v>
      </c>
      <c r="L154" s="20" t="n">
        <v>1</v>
      </c>
    </row>
    <row r="155" customFormat="false" ht="49.5" hidden="false" customHeight="true" outlineLevel="0" collapsed="false">
      <c r="A155" s="170" t="n">
        <f aca="false">+A154+1</f>
        <v>83</v>
      </c>
      <c r="B155" s="179" t="s">
        <v>232</v>
      </c>
      <c r="C155" s="180" t="n">
        <v>45814</v>
      </c>
      <c r="D155" s="179" t="s">
        <v>144</v>
      </c>
      <c r="E155" s="181" t="s">
        <v>357</v>
      </c>
      <c r="F155" s="179" t="s">
        <v>187</v>
      </c>
      <c r="G155" s="181" t="s">
        <v>390</v>
      </c>
      <c r="H155" s="181" t="s">
        <v>189</v>
      </c>
      <c r="I155" s="181" t="s">
        <v>356</v>
      </c>
      <c r="J155" s="182" t="n">
        <v>45816</v>
      </c>
      <c r="K155" s="182" t="n">
        <v>45867</v>
      </c>
      <c r="L155" s="20" t="n">
        <v>1</v>
      </c>
    </row>
    <row r="156" customFormat="false" ht="36.65" hidden="false" customHeight="true" outlineLevel="0" collapsed="false">
      <c r="A156" s="170" t="n">
        <f aca="false">+A155+1</f>
        <v>84</v>
      </c>
      <c r="B156" s="179" t="s">
        <v>190</v>
      </c>
      <c r="C156" s="180" t="n">
        <v>45863</v>
      </c>
      <c r="D156" s="179" t="s">
        <v>144</v>
      </c>
      <c r="E156" s="181" t="s">
        <v>391</v>
      </c>
      <c r="F156" s="179" t="s">
        <v>187</v>
      </c>
      <c r="G156" s="181" t="s">
        <v>392</v>
      </c>
      <c r="H156" s="181" t="s">
        <v>189</v>
      </c>
      <c r="I156" s="181" t="s">
        <v>20</v>
      </c>
      <c r="J156" s="180" t="n">
        <v>45866</v>
      </c>
      <c r="K156" s="182" t="n">
        <v>45866</v>
      </c>
      <c r="L156" s="20" t="n">
        <v>1</v>
      </c>
    </row>
    <row r="157" customFormat="false" ht="36.65" hidden="false" customHeight="true" outlineLevel="0" collapsed="false">
      <c r="A157" s="170" t="n">
        <f aca="false">+A156+1</f>
        <v>85</v>
      </c>
      <c r="B157" s="179" t="s">
        <v>393</v>
      </c>
      <c r="C157" s="180" t="n">
        <v>45863</v>
      </c>
      <c r="D157" s="179" t="s">
        <v>191</v>
      </c>
      <c r="E157" s="181" t="s">
        <v>394</v>
      </c>
      <c r="F157" s="179" t="s">
        <v>395</v>
      </c>
      <c r="G157" s="181" t="s">
        <v>396</v>
      </c>
      <c r="H157" s="181" t="s">
        <v>189</v>
      </c>
      <c r="I157" s="181" t="s">
        <v>20</v>
      </c>
      <c r="J157" s="180" t="n">
        <v>45866</v>
      </c>
      <c r="K157" s="182" t="n">
        <v>45866</v>
      </c>
      <c r="L157" s="20" t="n">
        <v>1</v>
      </c>
    </row>
    <row r="158" customFormat="false" ht="36.65" hidden="false" customHeight="true" outlineLevel="0" collapsed="false">
      <c r="A158" s="170" t="n">
        <f aca="false">+A157+1</f>
        <v>86</v>
      </c>
      <c r="B158" s="179" t="s">
        <v>190</v>
      </c>
      <c r="C158" s="180" t="n">
        <v>45863</v>
      </c>
      <c r="D158" s="179" t="s">
        <v>364</v>
      </c>
      <c r="E158" s="181" t="s">
        <v>397</v>
      </c>
      <c r="F158" s="179" t="s">
        <v>201</v>
      </c>
      <c r="G158" s="181" t="s">
        <v>398</v>
      </c>
      <c r="H158" s="181" t="s">
        <v>189</v>
      </c>
      <c r="I158" s="181" t="s">
        <v>20</v>
      </c>
      <c r="J158" s="180" t="n">
        <v>45868</v>
      </c>
      <c r="K158" s="182" t="n">
        <v>45868</v>
      </c>
      <c r="L158" s="20" t="n">
        <v>1</v>
      </c>
    </row>
    <row r="159" customFormat="false" ht="36.65" hidden="false" customHeight="true" outlineLevel="0" collapsed="false">
      <c r="A159" s="170" t="n">
        <f aca="false">+A158+1</f>
        <v>87</v>
      </c>
      <c r="B159" s="179" t="s">
        <v>250</v>
      </c>
      <c r="C159" s="180" t="n">
        <v>45863</v>
      </c>
      <c r="D159" s="179" t="s">
        <v>144</v>
      </c>
      <c r="E159" s="181" t="s">
        <v>399</v>
      </c>
      <c r="F159" s="179" t="s">
        <v>187</v>
      </c>
      <c r="G159" s="181" t="s">
        <v>400</v>
      </c>
      <c r="H159" s="181" t="s">
        <v>189</v>
      </c>
      <c r="I159" s="181" t="s">
        <v>20</v>
      </c>
      <c r="J159" s="180" t="n">
        <v>45869</v>
      </c>
      <c r="K159" s="182" t="n">
        <v>45869</v>
      </c>
      <c r="L159" s="20" t="n">
        <v>1</v>
      </c>
    </row>
    <row r="160" customFormat="false" ht="36.65" hidden="false" customHeight="true" outlineLevel="0" collapsed="false">
      <c r="A160" s="170" t="n">
        <f aca="false">+A159+1</f>
        <v>88</v>
      </c>
      <c r="B160" s="179" t="s">
        <v>190</v>
      </c>
      <c r="C160" s="180" t="n">
        <v>45863</v>
      </c>
      <c r="D160" s="179" t="s">
        <v>144</v>
      </c>
      <c r="E160" s="181" t="s">
        <v>391</v>
      </c>
      <c r="F160" s="179" t="s">
        <v>187</v>
      </c>
      <c r="G160" s="181" t="s">
        <v>401</v>
      </c>
      <c r="H160" s="181" t="s">
        <v>189</v>
      </c>
      <c r="I160" s="181" t="s">
        <v>213</v>
      </c>
      <c r="J160" s="180" t="n">
        <v>45866</v>
      </c>
      <c r="K160" s="182" t="n">
        <v>45866</v>
      </c>
      <c r="L160" s="20" t="n">
        <v>1</v>
      </c>
    </row>
    <row r="161" customFormat="false" ht="36.65" hidden="false" customHeight="true" outlineLevel="0" collapsed="false">
      <c r="A161" s="170" t="n">
        <f aca="false">+A160+1</f>
        <v>89</v>
      </c>
      <c r="B161" s="179" t="s">
        <v>393</v>
      </c>
      <c r="C161" s="180" t="n">
        <v>45863</v>
      </c>
      <c r="D161" s="179" t="s">
        <v>144</v>
      </c>
      <c r="E161" s="181" t="s">
        <v>402</v>
      </c>
      <c r="F161" s="179" t="s">
        <v>187</v>
      </c>
      <c r="G161" s="181" t="s">
        <v>403</v>
      </c>
      <c r="H161" s="181" t="s">
        <v>189</v>
      </c>
      <c r="I161" s="181" t="s">
        <v>379</v>
      </c>
      <c r="J161" s="180" t="n">
        <v>45868</v>
      </c>
      <c r="K161" s="182" t="n">
        <v>45868</v>
      </c>
      <c r="L161" s="20" t="n">
        <v>1</v>
      </c>
    </row>
    <row r="162" customFormat="false" ht="36.65" hidden="false" customHeight="true" outlineLevel="0" collapsed="false">
      <c r="A162" s="170" t="n">
        <f aca="false">+A161+1</f>
        <v>90</v>
      </c>
      <c r="B162" s="179" t="s">
        <v>190</v>
      </c>
      <c r="C162" s="180" t="n">
        <v>45863</v>
      </c>
      <c r="D162" s="179" t="s">
        <v>144</v>
      </c>
      <c r="E162" s="181" t="s">
        <v>402</v>
      </c>
      <c r="F162" s="179" t="s">
        <v>201</v>
      </c>
      <c r="G162" s="181" t="s">
        <v>404</v>
      </c>
      <c r="H162" s="181" t="s">
        <v>189</v>
      </c>
      <c r="I162" s="181" t="s">
        <v>213</v>
      </c>
      <c r="J162" s="180" t="n">
        <v>45870</v>
      </c>
      <c r="K162" s="182" t="n">
        <v>45870</v>
      </c>
      <c r="L162" s="20" t="n">
        <v>1</v>
      </c>
    </row>
    <row r="163" customFormat="false" ht="36.65" hidden="false" customHeight="true" outlineLevel="0" collapsed="false">
      <c r="A163" s="170" t="n">
        <f aca="false">+A162+1</f>
        <v>91</v>
      </c>
      <c r="B163" s="179" t="s">
        <v>250</v>
      </c>
      <c r="C163" s="180" t="n">
        <v>45863</v>
      </c>
      <c r="D163" s="179" t="s">
        <v>191</v>
      </c>
      <c r="E163" s="181" t="s">
        <v>402</v>
      </c>
      <c r="F163" s="179" t="s">
        <v>405</v>
      </c>
      <c r="G163" s="181" t="s">
        <v>406</v>
      </c>
      <c r="H163" s="181" t="s">
        <v>189</v>
      </c>
      <c r="I163" s="181" t="s">
        <v>213</v>
      </c>
      <c r="J163" s="180" t="n">
        <v>45867</v>
      </c>
      <c r="K163" s="182" t="n">
        <v>45867</v>
      </c>
      <c r="L163" s="20" t="n">
        <v>1</v>
      </c>
    </row>
    <row r="164" customFormat="false" ht="36.65" hidden="false" customHeight="true" outlineLevel="0" collapsed="false">
      <c r="A164" s="170" t="n">
        <f aca="false">+A163+1</f>
        <v>92</v>
      </c>
      <c r="B164" s="179" t="s">
        <v>190</v>
      </c>
      <c r="C164" s="180" t="n">
        <v>45863</v>
      </c>
      <c r="D164" s="179" t="s">
        <v>191</v>
      </c>
      <c r="E164" s="181" t="s">
        <v>391</v>
      </c>
      <c r="F164" s="179"/>
      <c r="G164" s="181" t="s">
        <v>407</v>
      </c>
      <c r="H164" s="181" t="s">
        <v>189</v>
      </c>
      <c r="I164" s="181" t="s">
        <v>356</v>
      </c>
      <c r="J164" s="180" t="n">
        <v>45866</v>
      </c>
      <c r="K164" s="182"/>
      <c r="L164" s="20" t="n">
        <v>1</v>
      </c>
    </row>
    <row r="165" customFormat="false" ht="36.65" hidden="false" customHeight="true" outlineLevel="0" collapsed="false">
      <c r="A165" s="170" t="n">
        <f aca="false">+A164+1</f>
        <v>93</v>
      </c>
      <c r="B165" s="179" t="s">
        <v>250</v>
      </c>
      <c r="C165" s="180" t="n">
        <v>45863</v>
      </c>
      <c r="D165" s="179" t="s">
        <v>191</v>
      </c>
      <c r="E165" s="181" t="s">
        <v>399</v>
      </c>
      <c r="F165" s="179" t="s">
        <v>201</v>
      </c>
      <c r="G165" s="181" t="s">
        <v>408</v>
      </c>
      <c r="H165" s="181" t="s">
        <v>189</v>
      </c>
      <c r="I165" s="181" t="s">
        <v>20</v>
      </c>
      <c r="J165" s="180" t="n">
        <v>45866</v>
      </c>
      <c r="K165" s="182"/>
      <c r="L165" s="20" t="n">
        <v>1</v>
      </c>
    </row>
    <row r="166" customFormat="false" ht="36.65" hidden="false" customHeight="true" outlineLevel="0" collapsed="false">
      <c r="A166" s="170" t="n">
        <f aca="false">+A165+1</f>
        <v>94</v>
      </c>
      <c r="B166" s="179" t="s">
        <v>393</v>
      </c>
      <c r="C166" s="180" t="n">
        <v>45849</v>
      </c>
      <c r="D166" s="179" t="s">
        <v>144</v>
      </c>
      <c r="E166" s="181" t="s">
        <v>357</v>
      </c>
      <c r="F166" s="179" t="s">
        <v>187</v>
      </c>
      <c r="G166" s="181" t="s">
        <v>409</v>
      </c>
      <c r="H166" s="181" t="s">
        <v>189</v>
      </c>
      <c r="I166" s="181" t="s">
        <v>379</v>
      </c>
      <c r="J166" s="180" t="n">
        <v>45853</v>
      </c>
      <c r="K166" s="182"/>
      <c r="L166" s="20" t="n">
        <v>1</v>
      </c>
    </row>
    <row r="167" customFormat="false" ht="36.65" hidden="false" customHeight="true" outlineLevel="0" collapsed="false">
      <c r="A167" s="170" t="n">
        <f aca="false">+A166+1</f>
        <v>95</v>
      </c>
      <c r="B167" s="179"/>
      <c r="C167" s="180" t="n">
        <v>45870</v>
      </c>
      <c r="D167" s="179" t="s">
        <v>205</v>
      </c>
      <c r="E167" s="181" t="s">
        <v>410</v>
      </c>
      <c r="F167" s="179" t="s">
        <v>187</v>
      </c>
      <c r="G167" s="181" t="s">
        <v>411</v>
      </c>
      <c r="H167" s="181" t="s">
        <v>189</v>
      </c>
      <c r="I167" s="181" t="s">
        <v>50</v>
      </c>
      <c r="J167" s="180" t="n">
        <v>45870</v>
      </c>
      <c r="K167" s="182"/>
      <c r="L167" s="20" t="n">
        <v>1</v>
      </c>
    </row>
    <row r="168" customFormat="false" ht="36.65" hidden="false" customHeight="true" outlineLevel="0" collapsed="false">
      <c r="A168" s="170" t="n">
        <f aca="false">+A167+1</f>
        <v>96</v>
      </c>
      <c r="B168" s="179"/>
      <c r="C168" s="180" t="n">
        <v>45870</v>
      </c>
      <c r="D168" s="179" t="s">
        <v>191</v>
      </c>
      <c r="E168" s="181" t="s">
        <v>412</v>
      </c>
      <c r="F168" s="179" t="s">
        <v>201</v>
      </c>
      <c r="G168" s="181" t="s">
        <v>413</v>
      </c>
      <c r="H168" s="181" t="s">
        <v>189</v>
      </c>
      <c r="I168" s="181" t="s">
        <v>20</v>
      </c>
      <c r="J168" s="180" t="n">
        <v>45870</v>
      </c>
      <c r="K168" s="182" t="n">
        <v>45894</v>
      </c>
      <c r="L168" s="20" t="n">
        <v>1</v>
      </c>
    </row>
    <row r="169" customFormat="false" ht="36.65" hidden="false" customHeight="true" outlineLevel="0" collapsed="false">
      <c r="A169" s="170" t="n">
        <f aca="false">+A168+1</f>
        <v>97</v>
      </c>
      <c r="B169" s="179"/>
      <c r="C169" s="180" t="n">
        <v>45870</v>
      </c>
      <c r="D169" s="179" t="s">
        <v>191</v>
      </c>
      <c r="E169" s="181" t="s">
        <v>412</v>
      </c>
      <c r="F169" s="179" t="s">
        <v>201</v>
      </c>
      <c r="G169" s="181" t="s">
        <v>414</v>
      </c>
      <c r="H169" s="181" t="s">
        <v>189</v>
      </c>
      <c r="I169" s="181" t="s">
        <v>20</v>
      </c>
      <c r="J169" s="180" t="n">
        <v>45870</v>
      </c>
      <c r="K169" s="182" t="n">
        <v>45894</v>
      </c>
      <c r="L169" s="20" t="n">
        <v>1</v>
      </c>
    </row>
    <row r="170" customFormat="false" ht="36.65" hidden="false" customHeight="true" outlineLevel="0" collapsed="false">
      <c r="A170" s="170" t="n">
        <f aca="false">+A169+1</f>
        <v>98</v>
      </c>
      <c r="B170" s="179"/>
      <c r="C170" s="180" t="n">
        <v>45870</v>
      </c>
      <c r="D170" s="179" t="s">
        <v>191</v>
      </c>
      <c r="E170" s="181" t="s">
        <v>415</v>
      </c>
      <c r="F170" s="179" t="s">
        <v>211</v>
      </c>
      <c r="G170" s="181" t="s">
        <v>416</v>
      </c>
      <c r="H170" s="181" t="s">
        <v>189</v>
      </c>
      <c r="I170" s="181" t="s">
        <v>213</v>
      </c>
      <c r="J170" s="180" t="n">
        <v>45870</v>
      </c>
      <c r="K170" s="182" t="n">
        <v>45889</v>
      </c>
      <c r="L170" s="20" t="n">
        <v>1</v>
      </c>
    </row>
    <row r="171" customFormat="false" ht="36.65" hidden="false" customHeight="true" outlineLevel="0" collapsed="false">
      <c r="A171" s="170" t="n">
        <f aca="false">+A170+1</f>
        <v>99</v>
      </c>
      <c r="B171" s="179" t="s">
        <v>190</v>
      </c>
      <c r="C171" s="180" t="n">
        <v>45887</v>
      </c>
      <c r="D171" s="179" t="s">
        <v>144</v>
      </c>
      <c r="E171" s="181" t="s">
        <v>417</v>
      </c>
      <c r="F171" s="179" t="s">
        <v>193</v>
      </c>
      <c r="G171" s="181" t="s">
        <v>418</v>
      </c>
      <c r="H171" s="181" t="s">
        <v>189</v>
      </c>
      <c r="I171" s="181" t="s">
        <v>44</v>
      </c>
      <c r="J171" s="180" t="n">
        <v>45889</v>
      </c>
      <c r="K171" s="182" t="n">
        <v>45889</v>
      </c>
      <c r="L171" s="20" t="n">
        <v>1</v>
      </c>
    </row>
    <row r="172" customFormat="false" ht="36.65" hidden="false" customHeight="true" outlineLevel="0" collapsed="false">
      <c r="A172" s="170" t="n">
        <f aca="false">+A171+1</f>
        <v>100</v>
      </c>
      <c r="B172" s="179" t="s">
        <v>219</v>
      </c>
      <c r="C172" s="180" t="n">
        <v>45887</v>
      </c>
      <c r="D172" s="179" t="s">
        <v>191</v>
      </c>
      <c r="E172" s="181" t="s">
        <v>419</v>
      </c>
      <c r="F172" s="179" t="s">
        <v>318</v>
      </c>
      <c r="G172" s="181" t="s">
        <v>420</v>
      </c>
      <c r="H172" s="181" t="s">
        <v>189</v>
      </c>
      <c r="I172" s="181" t="s">
        <v>20</v>
      </c>
      <c r="J172" s="180" t="n">
        <v>45891</v>
      </c>
      <c r="K172" s="182" t="n">
        <v>45891</v>
      </c>
      <c r="L172" s="20" t="n">
        <v>1</v>
      </c>
    </row>
    <row r="173" customFormat="false" ht="36.65" hidden="false" customHeight="true" outlineLevel="0" collapsed="false">
      <c r="A173" s="170" t="n">
        <f aca="false">+A172+1</f>
        <v>101</v>
      </c>
      <c r="B173" s="179" t="s">
        <v>190</v>
      </c>
      <c r="C173" s="180" t="n">
        <v>45887</v>
      </c>
      <c r="D173" s="179" t="s">
        <v>144</v>
      </c>
      <c r="E173" s="181" t="s">
        <v>273</v>
      </c>
      <c r="F173" s="179" t="s">
        <v>187</v>
      </c>
      <c r="G173" s="181" t="s">
        <v>421</v>
      </c>
      <c r="H173" s="181" t="s">
        <v>189</v>
      </c>
      <c r="I173" s="181" t="s">
        <v>20</v>
      </c>
      <c r="J173" s="180" t="n">
        <v>45891</v>
      </c>
      <c r="K173" s="182" t="n">
        <v>45898</v>
      </c>
      <c r="L173" s="20" t="n">
        <v>1</v>
      </c>
    </row>
    <row r="174" customFormat="false" ht="36.65" hidden="false" customHeight="true" outlineLevel="0" collapsed="false">
      <c r="A174" s="170" t="n">
        <f aca="false">+A173+1</f>
        <v>102</v>
      </c>
      <c r="B174" s="179" t="s">
        <v>190</v>
      </c>
      <c r="C174" s="180" t="n">
        <v>45887</v>
      </c>
      <c r="D174" s="179" t="s">
        <v>191</v>
      </c>
      <c r="E174" s="181" t="s">
        <v>186</v>
      </c>
      <c r="F174" s="179" t="s">
        <v>187</v>
      </c>
      <c r="G174" s="181" t="s">
        <v>422</v>
      </c>
      <c r="H174" s="181" t="s">
        <v>189</v>
      </c>
      <c r="I174" s="181" t="s">
        <v>20</v>
      </c>
      <c r="J174" s="180" t="n">
        <v>45887</v>
      </c>
      <c r="K174" s="182" t="n">
        <v>45911</v>
      </c>
      <c r="L174" s="20" t="n">
        <v>1</v>
      </c>
    </row>
    <row r="175" customFormat="false" ht="36.65" hidden="false" customHeight="true" outlineLevel="0" collapsed="false">
      <c r="A175" s="170" t="n">
        <f aca="false">+A174+1</f>
        <v>103</v>
      </c>
      <c r="B175" s="179" t="s">
        <v>190</v>
      </c>
      <c r="C175" s="180" t="n">
        <v>45898</v>
      </c>
      <c r="D175" s="179"/>
      <c r="E175" s="181"/>
      <c r="F175" s="179"/>
      <c r="G175" s="181" t="s">
        <v>423</v>
      </c>
      <c r="H175" s="181" t="s">
        <v>189</v>
      </c>
      <c r="I175" s="181" t="s">
        <v>20</v>
      </c>
      <c r="J175" s="180" t="n">
        <v>45905</v>
      </c>
      <c r="K175" s="182" t="n">
        <v>45911</v>
      </c>
      <c r="L175" s="20" t="n">
        <v>1</v>
      </c>
    </row>
    <row r="176" customFormat="false" ht="36.65" hidden="false" customHeight="true" outlineLevel="0" collapsed="false">
      <c r="A176" s="170" t="n">
        <f aca="false">+A175+1</f>
        <v>104</v>
      </c>
      <c r="B176" s="179" t="s">
        <v>190</v>
      </c>
      <c r="C176" s="180" t="n">
        <v>45936</v>
      </c>
      <c r="D176" s="179" t="s">
        <v>144</v>
      </c>
      <c r="E176" s="181" t="s">
        <v>391</v>
      </c>
      <c r="F176" s="179" t="s">
        <v>424</v>
      </c>
      <c r="G176" s="181" t="s">
        <v>425</v>
      </c>
      <c r="H176" s="181" t="s">
        <v>189</v>
      </c>
      <c r="I176" s="181" t="s">
        <v>20</v>
      </c>
      <c r="J176" s="180" t="n">
        <v>45936</v>
      </c>
      <c r="K176" s="180" t="n">
        <v>45940</v>
      </c>
      <c r="L176" s="20" t="n">
        <v>1</v>
      </c>
    </row>
    <row r="177" customFormat="false" ht="36.65" hidden="false" customHeight="true" outlineLevel="0" collapsed="false">
      <c r="A177" s="170" t="n">
        <f aca="false">+A176+1</f>
        <v>105</v>
      </c>
      <c r="B177" s="179" t="n">
        <v>4</v>
      </c>
      <c r="C177" s="180" t="n">
        <v>45936</v>
      </c>
      <c r="D177" s="179" t="s">
        <v>191</v>
      </c>
      <c r="E177" s="181" t="s">
        <v>426</v>
      </c>
      <c r="F177" s="179" t="s">
        <v>201</v>
      </c>
      <c r="G177" s="181" t="s">
        <v>427</v>
      </c>
      <c r="H177" s="181" t="s">
        <v>189</v>
      </c>
      <c r="I177" s="181" t="s">
        <v>20</v>
      </c>
      <c r="J177" s="180" t="n">
        <v>45936</v>
      </c>
      <c r="K177" s="180" t="n">
        <v>45936</v>
      </c>
      <c r="L177" s="20" t="n">
        <v>1</v>
      </c>
    </row>
    <row r="178" customFormat="false" ht="36.65" hidden="false" customHeight="true" outlineLevel="0" collapsed="false">
      <c r="A178" s="170" t="n">
        <f aca="false">+A177+1</f>
        <v>106</v>
      </c>
      <c r="B178" s="179" t="s">
        <v>190</v>
      </c>
      <c r="C178" s="180" t="n">
        <v>45936</v>
      </c>
      <c r="D178" s="179" t="s">
        <v>144</v>
      </c>
      <c r="E178" s="181" t="s">
        <v>428</v>
      </c>
      <c r="F178" s="179" t="s">
        <v>201</v>
      </c>
      <c r="G178" s="181" t="s">
        <v>429</v>
      </c>
      <c r="H178" s="181" t="s">
        <v>189</v>
      </c>
      <c r="I178" s="181" t="s">
        <v>20</v>
      </c>
      <c r="J178" s="180" t="n">
        <v>45936</v>
      </c>
      <c r="K178" s="180" t="n">
        <v>45936</v>
      </c>
      <c r="L178" s="20" t="n">
        <v>1</v>
      </c>
    </row>
    <row r="179" customFormat="false" ht="36.65" hidden="false" customHeight="true" outlineLevel="0" collapsed="false">
      <c r="A179" s="170" t="n">
        <f aca="false">+A178+1</f>
        <v>107</v>
      </c>
      <c r="B179" s="179" t="s">
        <v>190</v>
      </c>
      <c r="C179" s="180" t="n">
        <v>45936</v>
      </c>
      <c r="D179" s="179" t="s">
        <v>190</v>
      </c>
      <c r="E179" s="181" t="s">
        <v>430</v>
      </c>
      <c r="F179" s="179" t="s">
        <v>229</v>
      </c>
      <c r="G179" s="181" t="s">
        <v>431</v>
      </c>
      <c r="H179" s="181" t="s">
        <v>189</v>
      </c>
      <c r="I179" s="181" t="s">
        <v>20</v>
      </c>
      <c r="J179" s="180" t="n">
        <v>45936</v>
      </c>
      <c r="K179" s="182" t="n">
        <v>45940</v>
      </c>
      <c r="L179" s="20" t="n">
        <v>1</v>
      </c>
    </row>
    <row r="180" customFormat="false" ht="36.65" hidden="false" customHeight="true" outlineLevel="0" collapsed="false">
      <c r="A180" s="170" t="n">
        <f aca="false">+A179+1</f>
        <v>108</v>
      </c>
      <c r="B180" s="179" t="n">
        <v>7</v>
      </c>
      <c r="C180" s="180" t="n">
        <v>45947</v>
      </c>
      <c r="D180" s="179" t="s">
        <v>144</v>
      </c>
      <c r="E180" s="181" t="s">
        <v>432</v>
      </c>
      <c r="F180" s="179" t="s">
        <v>201</v>
      </c>
      <c r="G180" s="181" t="s">
        <v>433</v>
      </c>
      <c r="H180" s="181" t="s">
        <v>189</v>
      </c>
      <c r="I180" s="181" t="s">
        <v>20</v>
      </c>
      <c r="J180" s="180" t="n">
        <v>45947</v>
      </c>
      <c r="K180" s="182" t="n">
        <v>45947</v>
      </c>
      <c r="L180" s="20" t="n">
        <v>1</v>
      </c>
    </row>
    <row r="181" customFormat="false" ht="36.65" hidden="false" customHeight="true" outlineLevel="0" collapsed="false">
      <c r="A181" s="170" t="n">
        <f aca="false">+A180+1</f>
        <v>109</v>
      </c>
      <c r="B181" s="181" t="s">
        <v>434</v>
      </c>
      <c r="C181" s="180" t="n">
        <v>45947</v>
      </c>
      <c r="D181" s="179" t="s">
        <v>144</v>
      </c>
      <c r="E181" s="181" t="s">
        <v>432</v>
      </c>
      <c r="F181" s="179" t="s">
        <v>201</v>
      </c>
      <c r="G181" s="181" t="s">
        <v>435</v>
      </c>
      <c r="H181" s="181" t="s">
        <v>189</v>
      </c>
      <c r="I181" s="181" t="s">
        <v>20</v>
      </c>
      <c r="J181" s="180" t="n">
        <v>45947</v>
      </c>
      <c r="K181" s="182" t="n">
        <v>45947</v>
      </c>
      <c r="L181" s="20" t="n">
        <v>1</v>
      </c>
    </row>
    <row r="182" customFormat="false" ht="36.65" hidden="false" customHeight="true" outlineLevel="0" collapsed="false">
      <c r="A182" s="170" t="n">
        <f aca="false">+A181+1</f>
        <v>110</v>
      </c>
      <c r="B182" s="179" t="n">
        <v>5</v>
      </c>
      <c r="C182" s="180" t="n">
        <v>45947</v>
      </c>
      <c r="D182" s="179" t="s">
        <v>144</v>
      </c>
      <c r="E182" s="181" t="s">
        <v>436</v>
      </c>
      <c r="F182" s="179" t="s">
        <v>201</v>
      </c>
      <c r="G182" s="181" t="s">
        <v>437</v>
      </c>
      <c r="H182" s="181" t="s">
        <v>189</v>
      </c>
      <c r="I182" s="181" t="s">
        <v>20</v>
      </c>
      <c r="J182" s="180" t="n">
        <v>45947</v>
      </c>
      <c r="K182" s="182" t="n">
        <v>45947</v>
      </c>
      <c r="L182" s="20" t="n">
        <v>1</v>
      </c>
    </row>
    <row r="183" customFormat="false" ht="36.65" hidden="false" customHeight="true" outlineLevel="0" collapsed="false">
      <c r="A183" s="170" t="n">
        <f aca="false">+A182+1</f>
        <v>111</v>
      </c>
      <c r="B183" s="179" t="s">
        <v>190</v>
      </c>
      <c r="C183" s="180" t="n">
        <v>45891</v>
      </c>
      <c r="D183" s="179" t="s">
        <v>144</v>
      </c>
      <c r="E183" s="181" t="s">
        <v>438</v>
      </c>
      <c r="F183" s="179" t="s">
        <v>439</v>
      </c>
      <c r="G183" s="181" t="s">
        <v>440</v>
      </c>
      <c r="H183" s="181" t="s">
        <v>189</v>
      </c>
      <c r="I183" s="181" t="s">
        <v>441</v>
      </c>
      <c r="J183" s="180" t="n">
        <v>45891</v>
      </c>
      <c r="K183" s="182" t="n">
        <v>45954</v>
      </c>
      <c r="L183" s="20" t="n">
        <v>1</v>
      </c>
    </row>
    <row r="184" customFormat="false" ht="36.65" hidden="false" customHeight="true" outlineLevel="0" collapsed="false">
      <c r="A184" s="170" t="n">
        <f aca="false">+A183+1</f>
        <v>112</v>
      </c>
      <c r="B184" s="179" t="s">
        <v>190</v>
      </c>
      <c r="C184" s="180" t="n">
        <v>45898</v>
      </c>
      <c r="D184" s="179" t="s">
        <v>144</v>
      </c>
      <c r="E184" s="181" t="s">
        <v>442</v>
      </c>
      <c r="F184" s="179" t="s">
        <v>187</v>
      </c>
      <c r="G184" s="181" t="s">
        <v>443</v>
      </c>
      <c r="H184" s="181" t="s">
        <v>189</v>
      </c>
      <c r="I184" s="181" t="s">
        <v>379</v>
      </c>
      <c r="J184" s="180" t="n">
        <v>45903</v>
      </c>
      <c r="K184" s="182" t="n">
        <v>45954</v>
      </c>
      <c r="L184" s="20" t="n">
        <v>1</v>
      </c>
    </row>
    <row r="185" customFormat="false" ht="36.65" hidden="false" customHeight="true" outlineLevel="0" collapsed="false">
      <c r="A185" s="170" t="n">
        <f aca="false">+A184+1</f>
        <v>113</v>
      </c>
      <c r="B185" s="179" t="s">
        <v>190</v>
      </c>
      <c r="C185" s="180" t="n">
        <v>45954</v>
      </c>
      <c r="D185" s="179" t="s">
        <v>144</v>
      </c>
      <c r="E185" s="181" t="s">
        <v>444</v>
      </c>
      <c r="F185" s="179" t="s">
        <v>201</v>
      </c>
      <c r="G185" s="181" t="s">
        <v>445</v>
      </c>
      <c r="H185" s="181" t="s">
        <v>189</v>
      </c>
      <c r="I185" s="181" t="s">
        <v>20</v>
      </c>
      <c r="J185" s="180" t="n">
        <v>45954</v>
      </c>
      <c r="K185" s="180" t="n">
        <v>45954</v>
      </c>
      <c r="L185" s="20" t="n">
        <v>1</v>
      </c>
    </row>
    <row r="186" customFormat="false" ht="36.65" hidden="false" customHeight="true" outlineLevel="0" collapsed="false">
      <c r="A186" s="170" t="n">
        <f aca="false">+A185+1</f>
        <v>114</v>
      </c>
      <c r="B186" s="179" t="s">
        <v>190</v>
      </c>
      <c r="C186" s="180" t="n">
        <v>45954</v>
      </c>
      <c r="D186" s="179" t="s">
        <v>144</v>
      </c>
      <c r="E186" s="181" t="s">
        <v>444</v>
      </c>
      <c r="F186" s="179" t="s">
        <v>201</v>
      </c>
      <c r="G186" s="181" t="s">
        <v>446</v>
      </c>
      <c r="H186" s="181" t="s">
        <v>189</v>
      </c>
      <c r="I186" s="181" t="s">
        <v>20</v>
      </c>
      <c r="J186" s="180" t="n">
        <v>45954</v>
      </c>
      <c r="K186" s="180" t="n">
        <v>45954</v>
      </c>
      <c r="L186" s="20" t="n">
        <v>1</v>
      </c>
    </row>
    <row r="187" customFormat="false" ht="36.65" hidden="false" customHeight="true" outlineLevel="0" collapsed="false">
      <c r="A187" s="170" t="n">
        <f aca="false">+A186+1</f>
        <v>115</v>
      </c>
      <c r="B187" s="179" t="s">
        <v>190</v>
      </c>
      <c r="C187" s="180" t="n">
        <v>45954</v>
      </c>
      <c r="D187" s="179" t="s">
        <v>364</v>
      </c>
      <c r="E187" s="181" t="s">
        <v>444</v>
      </c>
      <c r="F187" s="179" t="s">
        <v>201</v>
      </c>
      <c r="G187" s="181" t="s">
        <v>447</v>
      </c>
      <c r="H187" s="181" t="s">
        <v>189</v>
      </c>
      <c r="I187" s="181" t="s">
        <v>20</v>
      </c>
      <c r="J187" s="180" t="n">
        <v>45954</v>
      </c>
      <c r="K187" s="180" t="n">
        <v>45954</v>
      </c>
      <c r="L187" s="20" t="n">
        <v>1</v>
      </c>
    </row>
    <row r="188" customFormat="false" ht="36.65" hidden="false" customHeight="true" outlineLevel="0" collapsed="false">
      <c r="A188" s="170" t="n">
        <f aca="false">+A187+1</f>
        <v>116</v>
      </c>
      <c r="B188" s="179" t="s">
        <v>448</v>
      </c>
      <c r="C188" s="180" t="n">
        <v>45954</v>
      </c>
      <c r="D188" s="179" t="s">
        <v>364</v>
      </c>
      <c r="E188" s="181" t="s">
        <v>449</v>
      </c>
      <c r="F188" s="179" t="s">
        <v>201</v>
      </c>
      <c r="G188" s="181" t="s">
        <v>450</v>
      </c>
      <c r="H188" s="181" t="s">
        <v>189</v>
      </c>
      <c r="I188" s="181" t="s">
        <v>20</v>
      </c>
      <c r="J188" s="180" t="n">
        <v>45954</v>
      </c>
      <c r="K188" s="180" t="n">
        <v>45954</v>
      </c>
      <c r="L188" s="20" t="n">
        <v>1</v>
      </c>
    </row>
    <row r="189" customFormat="false" ht="36.65" hidden="false" customHeight="true" outlineLevel="0" collapsed="false">
      <c r="A189" s="170" t="n">
        <f aca="false">+A188+1</f>
        <v>117</v>
      </c>
      <c r="B189" s="179" t="n">
        <v>5</v>
      </c>
      <c r="C189" s="180" t="n">
        <v>45954</v>
      </c>
      <c r="D189" s="179" t="s">
        <v>364</v>
      </c>
      <c r="E189" s="181" t="s">
        <v>451</v>
      </c>
      <c r="F189" s="179" t="s">
        <v>201</v>
      </c>
      <c r="G189" s="181" t="s">
        <v>452</v>
      </c>
      <c r="H189" s="181" t="s">
        <v>189</v>
      </c>
      <c r="I189" s="181" t="s">
        <v>20</v>
      </c>
      <c r="J189" s="180" t="n">
        <v>45954</v>
      </c>
      <c r="K189" s="180" t="n">
        <v>45954</v>
      </c>
      <c r="L189" s="20" t="n">
        <v>1</v>
      </c>
    </row>
    <row r="190" customFormat="false" ht="36.65" hidden="false" customHeight="true" outlineLevel="0" collapsed="false">
      <c r="A190" s="170" t="n">
        <f aca="false">+A189+1</f>
        <v>118</v>
      </c>
      <c r="B190" s="179" t="s">
        <v>453</v>
      </c>
      <c r="C190" s="180" t="n">
        <v>45954</v>
      </c>
      <c r="D190" s="179" t="s">
        <v>144</v>
      </c>
      <c r="E190" s="181" t="s">
        <v>454</v>
      </c>
      <c r="F190" s="179" t="s">
        <v>187</v>
      </c>
      <c r="G190" s="181" t="s">
        <v>455</v>
      </c>
      <c r="H190" s="181" t="s">
        <v>189</v>
      </c>
      <c r="I190" s="181" t="s">
        <v>14</v>
      </c>
      <c r="J190" s="180" t="n">
        <v>45954</v>
      </c>
      <c r="K190" s="180" t="n">
        <v>45954</v>
      </c>
      <c r="L190" s="20" t="n">
        <v>1</v>
      </c>
    </row>
    <row r="191" customFormat="false" ht="36.65" hidden="false" customHeight="true" outlineLevel="0" collapsed="false">
      <c r="A191" s="170" t="n">
        <f aca="false">+A190+1</f>
        <v>119</v>
      </c>
      <c r="B191" s="179" t="s">
        <v>190</v>
      </c>
      <c r="C191" s="180" t="n">
        <v>45954</v>
      </c>
      <c r="D191" s="179" t="s">
        <v>144</v>
      </c>
      <c r="E191" s="181" t="s">
        <v>391</v>
      </c>
      <c r="F191" s="179" t="s">
        <v>387</v>
      </c>
      <c r="G191" s="181" t="s">
        <v>456</v>
      </c>
      <c r="H191" s="181" t="s">
        <v>189</v>
      </c>
      <c r="I191" s="181" t="s">
        <v>20</v>
      </c>
      <c r="J191" s="180" t="n">
        <v>45954</v>
      </c>
      <c r="K191" s="180" t="n">
        <v>45954</v>
      </c>
      <c r="L191" s="20" t="n">
        <v>1</v>
      </c>
    </row>
    <row r="192" customFormat="false" ht="36.65" hidden="false" customHeight="true" outlineLevel="0" collapsed="false">
      <c r="A192" s="170" t="n">
        <f aca="false">+A191+1</f>
        <v>120</v>
      </c>
      <c r="B192" s="193" t="s">
        <v>457</v>
      </c>
      <c r="C192" s="180" t="n">
        <v>45964</v>
      </c>
      <c r="D192" s="179" t="s">
        <v>191</v>
      </c>
      <c r="E192" s="181" t="s">
        <v>458</v>
      </c>
      <c r="F192" s="179" t="s">
        <v>201</v>
      </c>
      <c r="G192" s="181" t="s">
        <v>459</v>
      </c>
      <c r="H192" s="181" t="s">
        <v>189</v>
      </c>
      <c r="I192" s="181" t="s">
        <v>20</v>
      </c>
      <c r="J192" s="180" t="n">
        <v>45964</v>
      </c>
      <c r="K192" s="180" t="n">
        <v>45967</v>
      </c>
      <c r="L192" s="20" t="n">
        <v>1</v>
      </c>
    </row>
    <row r="193" customFormat="false" ht="36.65" hidden="false" customHeight="true" outlineLevel="0" collapsed="false">
      <c r="A193" s="170" t="n">
        <f aca="false">+A192+1</f>
        <v>121</v>
      </c>
      <c r="B193" s="193" t="s">
        <v>190</v>
      </c>
      <c r="C193" s="180" t="n">
        <v>45964</v>
      </c>
      <c r="D193" s="179" t="s">
        <v>144</v>
      </c>
      <c r="E193" s="181" t="s">
        <v>460</v>
      </c>
      <c r="F193" s="179" t="s">
        <v>187</v>
      </c>
      <c r="G193" s="181" t="s">
        <v>461</v>
      </c>
      <c r="H193" s="181" t="s">
        <v>189</v>
      </c>
      <c r="I193" s="181" t="s">
        <v>20</v>
      </c>
      <c r="J193" s="180" t="n">
        <v>45967</v>
      </c>
      <c r="K193" s="180" t="n">
        <v>45967</v>
      </c>
      <c r="L193" s="20" t="n">
        <v>1</v>
      </c>
    </row>
    <row r="194" customFormat="false" ht="36.65" hidden="false" customHeight="true" outlineLevel="0" collapsed="false">
      <c r="A194" s="170" t="n">
        <f aca="false">+A193+1</f>
        <v>122</v>
      </c>
      <c r="B194" s="193" t="s">
        <v>195</v>
      </c>
      <c r="C194" s="180" t="n">
        <v>45964</v>
      </c>
      <c r="D194" s="179" t="s">
        <v>137</v>
      </c>
      <c r="E194" s="181" t="s">
        <v>462</v>
      </c>
      <c r="F194" s="179" t="s">
        <v>201</v>
      </c>
      <c r="G194" s="181" t="s">
        <v>463</v>
      </c>
      <c r="H194" s="181" t="s">
        <v>189</v>
      </c>
      <c r="I194" s="181" t="s">
        <v>20</v>
      </c>
      <c r="J194" s="180" t="n">
        <v>45964</v>
      </c>
      <c r="K194" s="180" t="n">
        <v>45964</v>
      </c>
      <c r="L194" s="20" t="n">
        <v>1</v>
      </c>
    </row>
    <row r="195" customFormat="false" ht="36.65" hidden="false" customHeight="true" outlineLevel="0" collapsed="false">
      <c r="A195" s="170" t="n">
        <f aca="false">+A194+1</f>
        <v>123</v>
      </c>
      <c r="B195" s="193" t="s">
        <v>195</v>
      </c>
      <c r="C195" s="180" t="n">
        <v>45964</v>
      </c>
      <c r="D195" s="179" t="s">
        <v>137</v>
      </c>
      <c r="E195" s="181" t="s">
        <v>462</v>
      </c>
      <c r="F195" s="179" t="s">
        <v>201</v>
      </c>
      <c r="G195" s="181" t="s">
        <v>464</v>
      </c>
      <c r="H195" s="181" t="s">
        <v>189</v>
      </c>
      <c r="I195" s="181" t="s">
        <v>20</v>
      </c>
      <c r="J195" s="180" t="n">
        <v>45964</v>
      </c>
      <c r="K195" s="180" t="n">
        <v>45964</v>
      </c>
      <c r="L195" s="20" t="n">
        <v>1</v>
      </c>
    </row>
    <row r="196" customFormat="false" ht="36.65" hidden="false" customHeight="true" outlineLevel="0" collapsed="false">
      <c r="A196" s="170" t="n">
        <f aca="false">+A195+1</f>
        <v>124</v>
      </c>
      <c r="B196" s="179" t="s">
        <v>190</v>
      </c>
      <c r="C196" s="180" t="n">
        <v>45975</v>
      </c>
      <c r="D196" s="179" t="s">
        <v>191</v>
      </c>
      <c r="E196" s="181" t="s">
        <v>465</v>
      </c>
      <c r="F196" s="179" t="s">
        <v>193</v>
      </c>
      <c r="G196" s="181" t="s">
        <v>466</v>
      </c>
      <c r="H196" s="181" t="s">
        <v>189</v>
      </c>
      <c r="I196" s="181" t="s">
        <v>26</v>
      </c>
      <c r="J196" s="180" t="n">
        <v>45980</v>
      </c>
      <c r="K196" s="182" t="n">
        <v>44519</v>
      </c>
      <c r="L196" s="20" t="n">
        <v>1</v>
      </c>
    </row>
    <row r="197" customFormat="false" ht="36.65" hidden="false" customHeight="true" outlineLevel="0" collapsed="false">
      <c r="A197" s="170"/>
      <c r="B197" s="179" t="s">
        <v>190</v>
      </c>
      <c r="C197" s="180" t="n">
        <v>45975</v>
      </c>
      <c r="D197" s="179" t="s">
        <v>191</v>
      </c>
      <c r="E197" s="181" t="s">
        <v>192</v>
      </c>
      <c r="F197" s="179" t="s">
        <v>193</v>
      </c>
      <c r="G197" s="181" t="s">
        <v>467</v>
      </c>
      <c r="H197" s="181" t="s">
        <v>189</v>
      </c>
      <c r="I197" s="181" t="s">
        <v>20</v>
      </c>
      <c r="J197" s="180" t="n">
        <v>45978</v>
      </c>
      <c r="K197" s="182" t="n">
        <v>45996</v>
      </c>
      <c r="L197" s="20" t="n">
        <v>1</v>
      </c>
    </row>
    <row r="198" customFormat="false" ht="36.65" hidden="false" customHeight="true" outlineLevel="0" collapsed="false">
      <c r="A198" s="170"/>
      <c r="B198" s="179" t="s">
        <v>190</v>
      </c>
      <c r="C198" s="180" t="n">
        <v>45985</v>
      </c>
      <c r="D198" s="179" t="s">
        <v>191</v>
      </c>
      <c r="E198" s="181" t="s">
        <v>444</v>
      </c>
      <c r="F198" s="179" t="s">
        <v>201</v>
      </c>
      <c r="G198" s="181" t="s">
        <v>468</v>
      </c>
      <c r="H198" s="181" t="s">
        <v>189</v>
      </c>
      <c r="I198" s="181" t="s">
        <v>26</v>
      </c>
      <c r="J198" s="180" t="n">
        <v>45986</v>
      </c>
      <c r="K198" s="182" t="n">
        <v>46000</v>
      </c>
      <c r="L198" s="20" t="n">
        <v>1</v>
      </c>
    </row>
    <row r="199" customFormat="false" ht="36.65" hidden="false" customHeight="true" outlineLevel="0" collapsed="false">
      <c r="A199" s="170"/>
      <c r="B199" s="179" t="s">
        <v>199</v>
      </c>
      <c r="C199" s="180" t="n">
        <v>45985</v>
      </c>
      <c r="D199" s="179" t="s">
        <v>137</v>
      </c>
      <c r="E199" s="181" t="s">
        <v>200</v>
      </c>
      <c r="F199" s="179" t="s">
        <v>201</v>
      </c>
      <c r="G199" s="181" t="s">
        <v>469</v>
      </c>
      <c r="H199" s="181" t="s">
        <v>189</v>
      </c>
      <c r="I199" s="181" t="s">
        <v>20</v>
      </c>
      <c r="J199" s="180" t="n">
        <v>45988</v>
      </c>
      <c r="K199" s="182" t="n">
        <v>45996</v>
      </c>
      <c r="L199" s="20" t="n">
        <v>1</v>
      </c>
    </row>
    <row r="200" customFormat="false" ht="36.65" hidden="false" customHeight="true" outlineLevel="0" collapsed="false">
      <c r="A200" s="170"/>
      <c r="B200" s="179" t="s">
        <v>185</v>
      </c>
      <c r="C200" s="180" t="n">
        <v>45992</v>
      </c>
      <c r="D200" s="179" t="s">
        <v>470</v>
      </c>
      <c r="E200" s="181" t="s">
        <v>471</v>
      </c>
      <c r="F200" s="179" t="s">
        <v>201</v>
      </c>
      <c r="G200" s="181" t="s">
        <v>472</v>
      </c>
      <c r="H200" s="181" t="s">
        <v>189</v>
      </c>
      <c r="I200" s="181" t="s">
        <v>20</v>
      </c>
      <c r="J200" s="180" t="n">
        <v>45992</v>
      </c>
      <c r="K200" s="182" t="n">
        <v>45992</v>
      </c>
      <c r="L200" s="20" t="n">
        <v>1</v>
      </c>
    </row>
    <row r="201" customFormat="false" ht="36.65" hidden="false" customHeight="true" outlineLevel="0" collapsed="false">
      <c r="A201" s="170"/>
      <c r="B201" s="179" t="s">
        <v>190</v>
      </c>
      <c r="C201" s="180" t="n">
        <v>45992</v>
      </c>
      <c r="D201" s="179" t="s">
        <v>191</v>
      </c>
      <c r="E201" s="181" t="s">
        <v>444</v>
      </c>
      <c r="F201" s="179" t="s">
        <v>201</v>
      </c>
      <c r="G201" s="181" t="s">
        <v>473</v>
      </c>
      <c r="H201" s="181" t="s">
        <v>189</v>
      </c>
      <c r="I201" s="181" t="s">
        <v>20</v>
      </c>
      <c r="J201" s="180" t="n">
        <v>45995</v>
      </c>
      <c r="K201" s="182" t="n">
        <v>45996</v>
      </c>
      <c r="L201" s="20" t="n">
        <v>1</v>
      </c>
    </row>
    <row r="202" customFormat="false" ht="36.65" hidden="false" customHeight="true" outlineLevel="0" collapsed="false">
      <c r="A202" s="170"/>
      <c r="B202" s="179" t="s">
        <v>250</v>
      </c>
      <c r="C202" s="180" t="n">
        <v>45992</v>
      </c>
      <c r="D202" s="179" t="s">
        <v>191</v>
      </c>
      <c r="E202" s="181" t="s">
        <v>444</v>
      </c>
      <c r="F202" s="179" t="s">
        <v>369</v>
      </c>
      <c r="G202" s="181" t="s">
        <v>474</v>
      </c>
      <c r="H202" s="181" t="s">
        <v>189</v>
      </c>
      <c r="I202" s="181" t="s">
        <v>20</v>
      </c>
      <c r="J202" s="180" t="n">
        <v>45994</v>
      </c>
      <c r="K202" s="182" t="n">
        <v>45994</v>
      </c>
      <c r="L202" s="20" t="n">
        <v>1</v>
      </c>
    </row>
    <row r="203" customFormat="false" ht="36.65" hidden="false" customHeight="true" outlineLevel="0" collapsed="false">
      <c r="A203" s="170"/>
      <c r="B203" s="179" t="s">
        <v>475</v>
      </c>
      <c r="C203" s="180" t="n">
        <v>46000</v>
      </c>
      <c r="D203" s="179" t="s">
        <v>470</v>
      </c>
      <c r="E203" s="181" t="s">
        <v>419</v>
      </c>
      <c r="F203" s="179" t="s">
        <v>201</v>
      </c>
      <c r="G203" s="181" t="s">
        <v>476</v>
      </c>
      <c r="H203" s="181" t="s">
        <v>189</v>
      </c>
      <c r="I203" s="181" t="s">
        <v>20</v>
      </c>
      <c r="J203" s="180" t="n">
        <v>46003</v>
      </c>
      <c r="K203" s="182" t="n">
        <v>46003</v>
      </c>
      <c r="L203" s="20" t="n">
        <v>1</v>
      </c>
    </row>
    <row r="204" customFormat="false" ht="36.65" hidden="false" customHeight="true" outlineLevel="0" collapsed="false">
      <c r="A204" s="170"/>
      <c r="B204" s="179" t="s">
        <v>475</v>
      </c>
      <c r="C204" s="180" t="n">
        <v>46000</v>
      </c>
      <c r="D204" s="179" t="s">
        <v>470</v>
      </c>
      <c r="E204" s="181" t="s">
        <v>419</v>
      </c>
      <c r="F204" s="179" t="s">
        <v>201</v>
      </c>
      <c r="G204" s="181" t="s">
        <v>477</v>
      </c>
      <c r="H204" s="181" t="s">
        <v>189</v>
      </c>
      <c r="I204" s="181" t="s">
        <v>20</v>
      </c>
      <c r="J204" s="180" t="n">
        <v>46004</v>
      </c>
      <c r="K204" s="182" t="n">
        <v>46004</v>
      </c>
      <c r="L204" s="20" t="n">
        <v>1</v>
      </c>
    </row>
    <row r="205" customFormat="false" ht="36.65" hidden="false" customHeight="true" outlineLevel="0" collapsed="false">
      <c r="A205" s="170"/>
      <c r="B205" s="179" t="s">
        <v>232</v>
      </c>
      <c r="C205" s="180" t="n">
        <v>46000</v>
      </c>
      <c r="D205" s="179" t="s">
        <v>144</v>
      </c>
      <c r="E205" s="181" t="s">
        <v>444</v>
      </c>
      <c r="F205" s="179" t="s">
        <v>201</v>
      </c>
      <c r="G205" s="181" t="s">
        <v>478</v>
      </c>
      <c r="H205" s="181" t="s">
        <v>189</v>
      </c>
      <c r="I205" s="181" t="s">
        <v>20</v>
      </c>
      <c r="J205" s="180" t="n">
        <v>46004</v>
      </c>
      <c r="K205" s="182" t="n">
        <v>46004</v>
      </c>
      <c r="L205" s="20" t="n">
        <v>1</v>
      </c>
    </row>
    <row r="206" customFormat="false" ht="36.65" hidden="false" customHeight="true" outlineLevel="0" collapsed="false">
      <c r="A206" s="170"/>
      <c r="B206" s="179" t="s">
        <v>232</v>
      </c>
      <c r="C206" s="180" t="n">
        <v>46000</v>
      </c>
      <c r="D206" s="179" t="s">
        <v>144</v>
      </c>
      <c r="E206" s="181" t="s">
        <v>444</v>
      </c>
      <c r="F206" s="179" t="s">
        <v>201</v>
      </c>
      <c r="G206" s="181" t="s">
        <v>479</v>
      </c>
      <c r="H206" s="181" t="s">
        <v>189</v>
      </c>
      <c r="I206" s="181" t="s">
        <v>20</v>
      </c>
      <c r="J206" s="180" t="n">
        <v>46004</v>
      </c>
      <c r="K206" s="182" t="n">
        <v>46004</v>
      </c>
      <c r="L206" s="20" t="n">
        <v>1</v>
      </c>
    </row>
    <row r="207" customFormat="false" ht="36.65" hidden="false" customHeight="true" outlineLevel="0" collapsed="false">
      <c r="A207" s="170"/>
      <c r="B207" s="179" t="s">
        <v>190</v>
      </c>
      <c r="C207" s="180" t="n">
        <v>45975</v>
      </c>
      <c r="D207" s="179" t="s">
        <v>191</v>
      </c>
      <c r="E207" s="181" t="s">
        <v>444</v>
      </c>
      <c r="F207" s="179" t="s">
        <v>193</v>
      </c>
      <c r="G207" s="181" t="s">
        <v>480</v>
      </c>
      <c r="H207" s="181" t="s">
        <v>189</v>
      </c>
      <c r="I207" s="181" t="s">
        <v>26</v>
      </c>
      <c r="J207" s="180" t="n">
        <v>45980</v>
      </c>
      <c r="K207" s="182" t="n">
        <v>46007</v>
      </c>
      <c r="L207" s="20" t="n">
        <v>1</v>
      </c>
    </row>
    <row r="208" customFormat="false" ht="36.65" hidden="false" customHeight="true" outlineLevel="0" collapsed="false">
      <c r="A208" s="170"/>
      <c r="B208" s="179" t="s">
        <v>195</v>
      </c>
      <c r="C208" s="180" t="n">
        <v>45985</v>
      </c>
      <c r="D208" s="179" t="s">
        <v>144</v>
      </c>
      <c r="E208" s="181" t="s">
        <v>196</v>
      </c>
      <c r="F208" s="179" t="s">
        <v>197</v>
      </c>
      <c r="G208" s="181" t="s">
        <v>481</v>
      </c>
      <c r="H208" s="181" t="s">
        <v>189</v>
      </c>
      <c r="I208" s="181" t="s">
        <v>26</v>
      </c>
      <c r="J208" s="180" t="n">
        <v>45989</v>
      </c>
      <c r="K208" s="182" t="n">
        <v>46011</v>
      </c>
      <c r="L208" s="20" t="n">
        <v>1</v>
      </c>
    </row>
    <row r="209" customFormat="false" ht="36.65" hidden="false" customHeight="true" outlineLevel="0" collapsed="false">
      <c r="A209" s="170"/>
      <c r="B209" s="179" t="s">
        <v>195</v>
      </c>
      <c r="C209" s="180" t="n">
        <v>45992</v>
      </c>
      <c r="D209" s="179" t="s">
        <v>191</v>
      </c>
      <c r="E209" s="181" t="s">
        <v>444</v>
      </c>
      <c r="F209" s="179" t="s">
        <v>201</v>
      </c>
      <c r="G209" s="181" t="s">
        <v>482</v>
      </c>
      <c r="H209" s="181" t="s">
        <v>189</v>
      </c>
      <c r="I209" s="181" t="s">
        <v>20</v>
      </c>
      <c r="J209" s="180" t="n">
        <v>45996</v>
      </c>
      <c r="K209" s="182" t="n">
        <v>46007</v>
      </c>
      <c r="L209" s="20" t="n">
        <v>1</v>
      </c>
    </row>
    <row r="210" customFormat="false" ht="36.65" hidden="false" customHeight="true" outlineLevel="0" collapsed="false">
      <c r="A210" s="170"/>
      <c r="B210" s="179" t="s">
        <v>190</v>
      </c>
      <c r="C210" s="180" t="n">
        <v>46000</v>
      </c>
      <c r="D210" s="179" t="s">
        <v>144</v>
      </c>
      <c r="E210" s="181" t="s">
        <v>444</v>
      </c>
      <c r="F210" s="179" t="s">
        <v>187</v>
      </c>
      <c r="G210" s="181" t="s">
        <v>483</v>
      </c>
      <c r="H210" s="181" t="s">
        <v>189</v>
      </c>
      <c r="I210" s="181" t="s">
        <v>379</v>
      </c>
      <c r="J210" s="180" t="n">
        <v>46002</v>
      </c>
      <c r="K210" s="182" t="n">
        <v>46009</v>
      </c>
      <c r="L210" s="20" t="n">
        <v>1</v>
      </c>
    </row>
    <row r="211" customFormat="false" ht="15.75" hidden="false" customHeight="true" outlineLevel="0" collapsed="false">
      <c r="A211" s="170"/>
      <c r="B211" s="170"/>
      <c r="C211" s="170"/>
      <c r="E211" s="170"/>
      <c r="F211" s="170"/>
      <c r="G211" s="170"/>
      <c r="H211" s="170"/>
      <c r="I211" s="170"/>
      <c r="J211" s="170"/>
      <c r="K211" s="170"/>
      <c r="L211" s="170"/>
    </row>
    <row r="212" customFormat="false" ht="15.75" hidden="false" customHeight="true" outlineLevel="0" collapsed="false">
      <c r="A212" s="170"/>
      <c r="B212" s="170"/>
      <c r="C212" s="170"/>
      <c r="E212" s="170"/>
      <c r="F212" s="170"/>
      <c r="G212" s="170"/>
      <c r="H212" s="170"/>
      <c r="I212" s="170"/>
      <c r="J212" s="170"/>
      <c r="K212" s="170"/>
      <c r="L212" s="170"/>
    </row>
    <row r="213" customFormat="false" ht="15.75" hidden="false" customHeight="true" outlineLevel="0" collapsed="false">
      <c r="A213" s="170"/>
      <c r="B213" s="170"/>
      <c r="C213" s="170"/>
      <c r="E213" s="170"/>
      <c r="F213" s="170"/>
      <c r="G213" s="170"/>
      <c r="H213" s="170"/>
      <c r="I213" s="170"/>
      <c r="J213" s="170"/>
      <c r="K213" s="170"/>
      <c r="L213" s="170"/>
    </row>
    <row r="214" customFormat="false" ht="15.75" hidden="false" customHeight="true" outlineLevel="0" collapsed="false">
      <c r="A214" s="170"/>
      <c r="B214" s="170"/>
      <c r="C214" s="170"/>
      <c r="E214" s="170"/>
      <c r="F214" s="170"/>
      <c r="G214" s="170"/>
      <c r="H214" s="170"/>
      <c r="I214" s="170"/>
      <c r="J214" s="170"/>
      <c r="K214" s="170"/>
      <c r="L214" s="170"/>
    </row>
    <row r="215" customFormat="false" ht="15.75" hidden="false" customHeight="true" outlineLevel="0" collapsed="false">
      <c r="A215" s="170"/>
      <c r="B215" s="170"/>
      <c r="C215" s="170"/>
      <c r="E215" s="170"/>
      <c r="F215" s="170"/>
      <c r="G215" s="170"/>
      <c r="H215" s="170"/>
      <c r="I215" s="170"/>
      <c r="J215" s="170"/>
      <c r="K215" s="170"/>
      <c r="L215" s="170"/>
    </row>
    <row r="216" customFormat="false" ht="15.75" hidden="false" customHeight="true" outlineLevel="0" collapsed="false">
      <c r="A216" s="170"/>
      <c r="B216" s="170"/>
      <c r="C216" s="170"/>
      <c r="E216" s="170"/>
      <c r="F216" s="170"/>
      <c r="G216" s="170"/>
      <c r="H216" s="170"/>
      <c r="I216" s="170"/>
      <c r="J216" s="170"/>
      <c r="K216" s="170"/>
      <c r="L216" s="170"/>
    </row>
    <row r="217" customFormat="false" ht="15.75" hidden="false" customHeight="true" outlineLevel="0" collapsed="false">
      <c r="A217" s="170"/>
      <c r="B217" s="170"/>
      <c r="C217" s="170"/>
      <c r="E217" s="170"/>
      <c r="F217" s="170"/>
      <c r="G217" s="170"/>
      <c r="H217" s="170"/>
      <c r="I217" s="170"/>
      <c r="J217" s="170"/>
      <c r="K217" s="170"/>
      <c r="L217" s="170"/>
    </row>
    <row r="218" customFormat="false" ht="15.75" hidden="false" customHeight="true" outlineLevel="0" collapsed="false">
      <c r="A218" s="170"/>
      <c r="B218" s="170"/>
      <c r="C218" s="170"/>
      <c r="E218" s="170"/>
      <c r="F218" s="170"/>
      <c r="G218" s="170"/>
      <c r="H218" s="170"/>
      <c r="I218" s="170"/>
      <c r="J218" s="170"/>
      <c r="K218" s="170"/>
      <c r="L218" s="170"/>
    </row>
    <row r="219" customFormat="false" ht="15.75" hidden="false" customHeight="true" outlineLevel="0" collapsed="false">
      <c r="A219" s="170"/>
      <c r="B219" s="170"/>
      <c r="C219" s="170"/>
      <c r="E219" s="170"/>
      <c r="F219" s="170"/>
      <c r="G219" s="170"/>
      <c r="H219" s="170"/>
      <c r="I219" s="170"/>
      <c r="J219" s="170"/>
      <c r="K219" s="170"/>
      <c r="L219" s="170"/>
    </row>
    <row r="220" customFormat="false" ht="15.75" hidden="false" customHeight="true" outlineLevel="0" collapsed="false">
      <c r="A220" s="170"/>
      <c r="B220" s="170"/>
      <c r="C220" s="170"/>
      <c r="E220" s="170"/>
      <c r="F220" s="170"/>
      <c r="G220" s="170"/>
      <c r="H220" s="170"/>
      <c r="I220" s="170"/>
      <c r="J220" s="170"/>
      <c r="K220" s="170"/>
      <c r="L220" s="170"/>
    </row>
    <row r="221" customFormat="false" ht="15.75" hidden="false" customHeight="true" outlineLevel="0" collapsed="false">
      <c r="A221" s="170"/>
      <c r="B221" s="170"/>
      <c r="C221" s="170"/>
      <c r="E221" s="170"/>
      <c r="F221" s="170"/>
      <c r="G221" s="170"/>
      <c r="H221" s="170"/>
      <c r="I221" s="170"/>
      <c r="J221" s="170"/>
      <c r="K221" s="170"/>
      <c r="L221" s="170"/>
    </row>
    <row r="222" customFormat="false" ht="15.75" hidden="false" customHeight="true" outlineLevel="0" collapsed="false">
      <c r="A222" s="170"/>
      <c r="B222" s="170"/>
      <c r="C222" s="170"/>
      <c r="E222" s="170"/>
      <c r="F222" s="170"/>
      <c r="G222" s="170"/>
      <c r="H222" s="170"/>
      <c r="I222" s="170"/>
      <c r="J222" s="170"/>
      <c r="K222" s="170"/>
      <c r="L222" s="170"/>
    </row>
    <row r="223" customFormat="false" ht="15.75" hidden="false" customHeight="true" outlineLevel="0" collapsed="false">
      <c r="A223" s="170"/>
      <c r="B223" s="170"/>
      <c r="C223" s="170"/>
      <c r="E223" s="170"/>
      <c r="F223" s="170"/>
      <c r="G223" s="170"/>
      <c r="H223" s="170"/>
      <c r="I223" s="170"/>
      <c r="J223" s="170"/>
      <c r="K223" s="170"/>
      <c r="L223" s="170"/>
    </row>
    <row r="224" customFormat="false" ht="15.75" hidden="false" customHeight="true" outlineLevel="0" collapsed="false">
      <c r="A224" s="170"/>
      <c r="B224" s="170"/>
      <c r="C224" s="170"/>
      <c r="E224" s="170"/>
      <c r="F224" s="170"/>
      <c r="G224" s="170"/>
      <c r="H224" s="170"/>
      <c r="I224" s="170"/>
      <c r="J224" s="170"/>
      <c r="K224" s="170"/>
      <c r="L224" s="170"/>
    </row>
    <row r="225" customFormat="false" ht="15.75" hidden="false" customHeight="true" outlineLevel="0" collapsed="false">
      <c r="A225" s="170"/>
      <c r="B225" s="170"/>
      <c r="C225" s="170"/>
      <c r="E225" s="170"/>
      <c r="F225" s="170"/>
      <c r="G225" s="170"/>
      <c r="H225" s="170"/>
      <c r="I225" s="170"/>
      <c r="J225" s="170"/>
      <c r="K225" s="170"/>
      <c r="L225" s="170"/>
    </row>
    <row r="226" customFormat="false" ht="15.75" hidden="false" customHeight="true" outlineLevel="0" collapsed="false">
      <c r="A226" s="170"/>
      <c r="B226" s="170"/>
      <c r="C226" s="170"/>
      <c r="E226" s="170"/>
      <c r="F226" s="170"/>
      <c r="G226" s="170"/>
      <c r="H226" s="170"/>
      <c r="I226" s="170"/>
      <c r="J226" s="170"/>
      <c r="K226" s="170"/>
      <c r="L226" s="170"/>
    </row>
    <row r="227" customFormat="false" ht="15.75" hidden="false" customHeight="true" outlineLevel="0" collapsed="false">
      <c r="A227" s="170"/>
      <c r="B227" s="170"/>
      <c r="C227" s="170"/>
      <c r="E227" s="170"/>
      <c r="F227" s="170"/>
      <c r="G227" s="170"/>
      <c r="H227" s="170"/>
      <c r="I227" s="170"/>
      <c r="J227" s="170"/>
      <c r="K227" s="170"/>
      <c r="L227" s="170"/>
    </row>
    <row r="228" customFormat="false" ht="15.75" hidden="false" customHeight="true" outlineLevel="0" collapsed="false">
      <c r="A228" s="170"/>
      <c r="B228" s="170"/>
      <c r="C228" s="170"/>
      <c r="E228" s="170"/>
      <c r="F228" s="170"/>
      <c r="G228" s="170"/>
      <c r="H228" s="170"/>
      <c r="I228" s="170"/>
      <c r="J228" s="170"/>
      <c r="K228" s="170"/>
      <c r="L228" s="170"/>
    </row>
    <row r="229" customFormat="false" ht="15.75" hidden="false" customHeight="true" outlineLevel="0" collapsed="false">
      <c r="A229" s="170"/>
      <c r="B229" s="170"/>
      <c r="C229" s="170"/>
      <c r="E229" s="170"/>
      <c r="F229" s="170"/>
      <c r="G229" s="170"/>
      <c r="H229" s="170"/>
      <c r="I229" s="170"/>
      <c r="J229" s="170"/>
      <c r="K229" s="170"/>
      <c r="L229" s="170"/>
    </row>
    <row r="230" customFormat="false" ht="15.75" hidden="false" customHeight="true" outlineLevel="0" collapsed="false">
      <c r="A230" s="170"/>
      <c r="B230" s="170"/>
      <c r="C230" s="170"/>
      <c r="E230" s="170"/>
      <c r="F230" s="170"/>
      <c r="G230" s="170"/>
      <c r="H230" s="170"/>
      <c r="I230" s="170"/>
      <c r="J230" s="170"/>
      <c r="K230" s="170"/>
      <c r="L230" s="170"/>
    </row>
    <row r="231" customFormat="false" ht="15.75" hidden="false" customHeight="true" outlineLevel="0" collapsed="false">
      <c r="A231" s="170"/>
      <c r="B231" s="170"/>
      <c r="C231" s="170"/>
      <c r="E231" s="170"/>
      <c r="F231" s="170"/>
      <c r="G231" s="170"/>
      <c r="H231" s="170"/>
      <c r="I231" s="170"/>
      <c r="J231" s="170"/>
      <c r="K231" s="170"/>
      <c r="L231" s="170"/>
    </row>
    <row r="232" customFormat="false" ht="15.75" hidden="false" customHeight="true" outlineLevel="0" collapsed="false">
      <c r="A232" s="170"/>
      <c r="B232" s="170"/>
      <c r="C232" s="170"/>
      <c r="E232" s="170"/>
      <c r="F232" s="170"/>
      <c r="G232" s="170"/>
      <c r="H232" s="170"/>
      <c r="I232" s="170"/>
      <c r="J232" s="170"/>
      <c r="K232" s="170"/>
      <c r="L232" s="170"/>
    </row>
    <row r="233" customFormat="false" ht="15.75" hidden="false" customHeight="true" outlineLevel="0" collapsed="false">
      <c r="A233" s="170"/>
      <c r="B233" s="170"/>
      <c r="C233" s="170"/>
      <c r="E233" s="170"/>
      <c r="F233" s="170"/>
      <c r="G233" s="170"/>
      <c r="H233" s="170"/>
      <c r="I233" s="170"/>
      <c r="J233" s="170"/>
      <c r="K233" s="170"/>
      <c r="L233" s="170"/>
    </row>
    <row r="234" customFormat="false" ht="15.75" hidden="false" customHeight="true" outlineLevel="0" collapsed="false">
      <c r="A234" s="170"/>
      <c r="B234" s="170"/>
      <c r="C234" s="170"/>
      <c r="E234" s="170"/>
      <c r="F234" s="170"/>
      <c r="G234" s="170"/>
      <c r="H234" s="170"/>
      <c r="I234" s="170"/>
      <c r="J234" s="170"/>
      <c r="K234" s="170"/>
      <c r="L234" s="170"/>
    </row>
    <row r="235" customFormat="false" ht="15.75" hidden="false" customHeight="true" outlineLevel="0" collapsed="false">
      <c r="A235" s="170"/>
      <c r="B235" s="170"/>
      <c r="C235" s="170"/>
      <c r="E235" s="170"/>
      <c r="F235" s="170"/>
      <c r="G235" s="170"/>
      <c r="H235" s="170"/>
      <c r="I235" s="170"/>
      <c r="J235" s="170"/>
      <c r="K235" s="170"/>
      <c r="L235" s="170"/>
    </row>
    <row r="236" customFormat="false" ht="15.75" hidden="false" customHeight="true" outlineLevel="0" collapsed="false">
      <c r="A236" s="170"/>
      <c r="B236" s="170"/>
      <c r="C236" s="170"/>
      <c r="E236" s="170"/>
      <c r="F236" s="170"/>
      <c r="G236" s="170"/>
      <c r="H236" s="170"/>
      <c r="I236" s="170"/>
      <c r="J236" s="170"/>
      <c r="K236" s="170"/>
      <c r="L236" s="170"/>
    </row>
    <row r="237" customFormat="false" ht="15.75" hidden="false" customHeight="true" outlineLevel="0" collapsed="false">
      <c r="A237" s="170"/>
      <c r="B237" s="170"/>
      <c r="C237" s="170"/>
      <c r="E237" s="170"/>
      <c r="F237" s="170"/>
      <c r="G237" s="170"/>
      <c r="H237" s="170"/>
      <c r="I237" s="170"/>
      <c r="J237" s="170"/>
      <c r="K237" s="170"/>
      <c r="L237" s="170"/>
    </row>
    <row r="238" customFormat="false" ht="15.75" hidden="false" customHeight="true" outlineLevel="0" collapsed="false">
      <c r="A238" s="170"/>
      <c r="B238" s="170"/>
      <c r="C238" s="170"/>
      <c r="E238" s="170"/>
      <c r="F238" s="170"/>
      <c r="G238" s="170"/>
      <c r="H238" s="170"/>
      <c r="I238" s="170"/>
      <c r="J238" s="170"/>
      <c r="K238" s="170"/>
      <c r="L238" s="170"/>
    </row>
    <row r="239" customFormat="false" ht="15.75" hidden="false" customHeight="true" outlineLevel="0" collapsed="false">
      <c r="A239" s="170"/>
      <c r="B239" s="170"/>
      <c r="C239" s="170"/>
      <c r="E239" s="170"/>
      <c r="F239" s="170"/>
      <c r="G239" s="170"/>
      <c r="H239" s="170"/>
      <c r="I239" s="170"/>
      <c r="J239" s="170"/>
      <c r="K239" s="170"/>
      <c r="L239" s="170"/>
    </row>
    <row r="240" customFormat="false" ht="15.75" hidden="false" customHeight="true" outlineLevel="0" collapsed="false">
      <c r="A240" s="170"/>
      <c r="B240" s="170"/>
      <c r="C240" s="170"/>
      <c r="E240" s="170"/>
      <c r="F240" s="170"/>
      <c r="G240" s="170"/>
      <c r="H240" s="170"/>
      <c r="I240" s="170"/>
      <c r="J240" s="170"/>
      <c r="K240" s="170"/>
      <c r="L240" s="170"/>
    </row>
    <row r="241" customFormat="false" ht="15.75" hidden="false" customHeight="true" outlineLevel="0" collapsed="false">
      <c r="A241" s="170"/>
      <c r="B241" s="170"/>
      <c r="C241" s="170"/>
      <c r="E241" s="170"/>
      <c r="F241" s="170"/>
      <c r="G241" s="170"/>
      <c r="H241" s="170"/>
      <c r="I241" s="170"/>
      <c r="J241" s="170"/>
      <c r="K241" s="170"/>
      <c r="L241" s="170"/>
    </row>
    <row r="242" customFormat="false" ht="15.75" hidden="false" customHeight="true" outlineLevel="0" collapsed="false">
      <c r="A242" s="170"/>
      <c r="B242" s="170"/>
      <c r="C242" s="170"/>
      <c r="E242" s="170"/>
      <c r="F242" s="170"/>
      <c r="G242" s="170"/>
      <c r="H242" s="170"/>
      <c r="I242" s="170"/>
      <c r="J242" s="170"/>
      <c r="K242" s="170"/>
      <c r="L242" s="170"/>
    </row>
    <row r="243" customFormat="false" ht="15.75" hidden="false" customHeight="true" outlineLevel="0" collapsed="false">
      <c r="A243" s="170"/>
      <c r="B243" s="170"/>
      <c r="C243" s="170"/>
      <c r="E243" s="170"/>
      <c r="F243" s="170"/>
      <c r="G243" s="170"/>
      <c r="H243" s="170"/>
      <c r="I243" s="170"/>
      <c r="J243" s="170"/>
      <c r="K243" s="170"/>
      <c r="L243" s="170"/>
    </row>
    <row r="244" customFormat="false" ht="15.75" hidden="false" customHeight="true" outlineLevel="0" collapsed="false">
      <c r="A244" s="170"/>
      <c r="B244" s="170"/>
      <c r="C244" s="170"/>
      <c r="E244" s="170"/>
      <c r="F244" s="170"/>
      <c r="G244" s="170"/>
      <c r="H244" s="170"/>
      <c r="I244" s="170"/>
      <c r="J244" s="170"/>
      <c r="K244" s="170"/>
      <c r="L244" s="170"/>
    </row>
    <row r="245" customFormat="false" ht="15.75" hidden="false" customHeight="true" outlineLevel="0" collapsed="false">
      <c r="A245" s="170"/>
      <c r="B245" s="170"/>
      <c r="C245" s="170"/>
      <c r="E245" s="170"/>
      <c r="F245" s="170"/>
      <c r="G245" s="170"/>
      <c r="H245" s="170"/>
      <c r="I245" s="170"/>
      <c r="J245" s="170"/>
      <c r="K245" s="170"/>
      <c r="L245" s="170"/>
    </row>
    <row r="246" customFormat="false" ht="15.75" hidden="false" customHeight="true" outlineLevel="0" collapsed="false">
      <c r="A246" s="170"/>
      <c r="B246" s="170"/>
      <c r="C246" s="170"/>
      <c r="E246" s="170"/>
      <c r="F246" s="170"/>
      <c r="G246" s="170"/>
      <c r="H246" s="170"/>
      <c r="I246" s="170"/>
      <c r="J246" s="170"/>
      <c r="K246" s="170"/>
      <c r="L246" s="170"/>
    </row>
    <row r="247" customFormat="false" ht="15.75" hidden="false" customHeight="true" outlineLevel="0" collapsed="false">
      <c r="A247" s="170"/>
      <c r="B247" s="170"/>
      <c r="C247" s="170"/>
      <c r="E247" s="170"/>
      <c r="F247" s="170"/>
      <c r="G247" s="170"/>
      <c r="H247" s="170"/>
      <c r="I247" s="170"/>
      <c r="J247" s="170"/>
      <c r="K247" s="170"/>
      <c r="L247" s="170"/>
    </row>
    <row r="248" customFormat="false" ht="15.75" hidden="false" customHeight="true" outlineLevel="0" collapsed="false">
      <c r="A248" s="170"/>
      <c r="B248" s="170"/>
      <c r="C248" s="170"/>
      <c r="E248" s="170"/>
      <c r="F248" s="170"/>
      <c r="G248" s="170"/>
      <c r="H248" s="170"/>
      <c r="I248" s="170"/>
      <c r="J248" s="170"/>
      <c r="K248" s="170"/>
      <c r="L248" s="170"/>
    </row>
    <row r="249" customFormat="false" ht="15.75" hidden="false" customHeight="true" outlineLevel="0" collapsed="false">
      <c r="A249" s="170"/>
      <c r="B249" s="170"/>
      <c r="C249" s="170"/>
      <c r="E249" s="170"/>
      <c r="F249" s="170"/>
      <c r="G249" s="170"/>
      <c r="H249" s="170"/>
      <c r="I249" s="170"/>
      <c r="J249" s="170"/>
      <c r="K249" s="170"/>
      <c r="L249" s="170"/>
    </row>
    <row r="250" customFormat="false" ht="15.75" hidden="false" customHeight="true" outlineLevel="0" collapsed="false">
      <c r="A250" s="170"/>
      <c r="B250" s="170"/>
      <c r="C250" s="170"/>
      <c r="E250" s="170"/>
      <c r="F250" s="170"/>
      <c r="G250" s="170"/>
      <c r="H250" s="170"/>
      <c r="I250" s="170"/>
      <c r="J250" s="170"/>
      <c r="K250" s="170"/>
      <c r="L250" s="170"/>
    </row>
    <row r="251" customFormat="false" ht="15.75" hidden="false" customHeight="true" outlineLevel="0" collapsed="false">
      <c r="A251" s="170"/>
      <c r="B251" s="170"/>
      <c r="C251" s="170"/>
      <c r="E251" s="170"/>
      <c r="F251" s="170"/>
      <c r="G251" s="170"/>
      <c r="H251" s="170"/>
      <c r="I251" s="170"/>
      <c r="J251" s="170"/>
      <c r="K251" s="170"/>
      <c r="L251" s="170"/>
    </row>
    <row r="252" customFormat="false" ht="15.75" hidden="false" customHeight="true" outlineLevel="0" collapsed="false">
      <c r="A252" s="170"/>
      <c r="B252" s="170"/>
      <c r="C252" s="170"/>
      <c r="E252" s="170"/>
      <c r="F252" s="170"/>
      <c r="G252" s="170"/>
      <c r="H252" s="170"/>
      <c r="I252" s="170"/>
      <c r="J252" s="170"/>
      <c r="K252" s="170"/>
      <c r="L252" s="170"/>
    </row>
    <row r="253" customFormat="false" ht="15.75" hidden="false" customHeight="true" outlineLevel="0" collapsed="false">
      <c r="A253" s="170"/>
      <c r="B253" s="170"/>
      <c r="C253" s="170"/>
      <c r="E253" s="170"/>
      <c r="F253" s="170"/>
      <c r="G253" s="170"/>
      <c r="H253" s="170"/>
      <c r="I253" s="170"/>
      <c r="J253" s="170"/>
      <c r="K253" s="170"/>
      <c r="L253" s="170"/>
    </row>
    <row r="254" customFormat="false" ht="15.75" hidden="false" customHeight="true" outlineLevel="0" collapsed="false">
      <c r="A254" s="170"/>
      <c r="B254" s="170"/>
      <c r="C254" s="170"/>
      <c r="E254" s="170"/>
      <c r="F254" s="170"/>
      <c r="G254" s="170"/>
      <c r="H254" s="170"/>
      <c r="I254" s="170"/>
      <c r="J254" s="170"/>
      <c r="K254" s="170"/>
      <c r="L254" s="170"/>
    </row>
    <row r="255" customFormat="false" ht="15.75" hidden="false" customHeight="true" outlineLevel="0" collapsed="false">
      <c r="A255" s="170"/>
      <c r="B255" s="170"/>
      <c r="C255" s="170"/>
      <c r="E255" s="170"/>
      <c r="F255" s="170"/>
      <c r="G255" s="170"/>
      <c r="H255" s="170"/>
      <c r="I255" s="170"/>
      <c r="J255" s="170"/>
      <c r="K255" s="170"/>
      <c r="L255" s="170"/>
    </row>
    <row r="256" customFormat="false" ht="15.75" hidden="false" customHeight="true" outlineLevel="0" collapsed="false">
      <c r="A256" s="170"/>
      <c r="B256" s="170"/>
      <c r="C256" s="170"/>
      <c r="E256" s="170"/>
      <c r="F256" s="170"/>
      <c r="G256" s="170"/>
      <c r="H256" s="170"/>
      <c r="I256" s="170"/>
      <c r="J256" s="170"/>
      <c r="K256" s="170"/>
      <c r="L256" s="170"/>
    </row>
    <row r="257" customFormat="false" ht="15.75" hidden="false" customHeight="true" outlineLevel="0" collapsed="false">
      <c r="A257" s="170"/>
      <c r="B257" s="170"/>
      <c r="C257" s="170"/>
      <c r="E257" s="170"/>
      <c r="F257" s="170"/>
      <c r="G257" s="170"/>
      <c r="H257" s="170"/>
      <c r="I257" s="170"/>
      <c r="J257" s="170"/>
      <c r="K257" s="170"/>
      <c r="L257" s="170"/>
    </row>
    <row r="258" customFormat="false" ht="15.75" hidden="false" customHeight="true" outlineLevel="0" collapsed="false">
      <c r="A258" s="170"/>
      <c r="B258" s="170"/>
      <c r="C258" s="170"/>
      <c r="E258" s="170"/>
      <c r="F258" s="170"/>
      <c r="G258" s="170"/>
      <c r="H258" s="170"/>
      <c r="I258" s="170"/>
      <c r="J258" s="170"/>
      <c r="K258" s="170"/>
      <c r="L258" s="170"/>
    </row>
    <row r="259" customFormat="false" ht="15.75" hidden="false" customHeight="true" outlineLevel="0" collapsed="false">
      <c r="A259" s="170"/>
      <c r="B259" s="170"/>
      <c r="C259" s="170"/>
      <c r="E259" s="170"/>
      <c r="F259" s="170"/>
      <c r="G259" s="170"/>
      <c r="H259" s="170"/>
      <c r="I259" s="170"/>
      <c r="J259" s="170"/>
      <c r="K259" s="170"/>
      <c r="L259" s="170"/>
    </row>
    <row r="260" customFormat="false" ht="15.75" hidden="false" customHeight="true" outlineLevel="0" collapsed="false">
      <c r="A260" s="170"/>
      <c r="B260" s="170"/>
      <c r="C260" s="170"/>
      <c r="E260" s="170"/>
      <c r="F260" s="170"/>
      <c r="G260" s="170"/>
      <c r="H260" s="170"/>
      <c r="I260" s="170"/>
      <c r="J260" s="170"/>
      <c r="K260" s="170"/>
      <c r="L260" s="170"/>
    </row>
    <row r="261" customFormat="false" ht="15.75" hidden="false" customHeight="true" outlineLevel="0" collapsed="false">
      <c r="A261" s="170"/>
      <c r="B261" s="170"/>
      <c r="C261" s="170"/>
      <c r="E261" s="170"/>
      <c r="F261" s="170"/>
      <c r="G261" s="170"/>
      <c r="H261" s="170"/>
      <c r="I261" s="170"/>
      <c r="J261" s="170"/>
      <c r="K261" s="170"/>
      <c r="L261" s="170"/>
    </row>
    <row r="262" customFormat="false" ht="15.75" hidden="false" customHeight="true" outlineLevel="0" collapsed="false">
      <c r="A262" s="170"/>
      <c r="B262" s="170"/>
      <c r="C262" s="170"/>
      <c r="E262" s="170"/>
      <c r="F262" s="170"/>
      <c r="G262" s="170"/>
      <c r="H262" s="170"/>
      <c r="I262" s="170"/>
      <c r="J262" s="170"/>
      <c r="K262" s="170"/>
      <c r="L262" s="170"/>
    </row>
    <row r="263" customFormat="false" ht="15.75" hidden="false" customHeight="true" outlineLevel="0" collapsed="false">
      <c r="A263" s="170"/>
      <c r="B263" s="170"/>
      <c r="C263" s="170"/>
      <c r="E263" s="170"/>
      <c r="F263" s="170"/>
      <c r="G263" s="170"/>
      <c r="H263" s="170"/>
      <c r="I263" s="170"/>
      <c r="J263" s="170"/>
      <c r="K263" s="170"/>
      <c r="L263" s="170"/>
    </row>
    <row r="264" customFormat="false" ht="15.75" hidden="false" customHeight="true" outlineLevel="0" collapsed="false">
      <c r="A264" s="170"/>
      <c r="B264" s="170"/>
      <c r="C264" s="170"/>
      <c r="E264" s="170"/>
      <c r="F264" s="170"/>
      <c r="G264" s="170"/>
      <c r="H264" s="170"/>
      <c r="I264" s="170"/>
      <c r="J264" s="170"/>
      <c r="K264" s="170"/>
      <c r="L264" s="170"/>
    </row>
    <row r="265" customFormat="false" ht="15.75" hidden="false" customHeight="true" outlineLevel="0" collapsed="false">
      <c r="A265" s="170"/>
      <c r="B265" s="170"/>
      <c r="C265" s="170"/>
      <c r="E265" s="170"/>
      <c r="F265" s="170"/>
      <c r="G265" s="170"/>
      <c r="H265" s="170"/>
      <c r="I265" s="170"/>
      <c r="J265" s="170"/>
      <c r="K265" s="170"/>
      <c r="L265" s="170"/>
    </row>
    <row r="266" customFormat="false" ht="15.75" hidden="false" customHeight="true" outlineLevel="0" collapsed="false">
      <c r="A266" s="170"/>
      <c r="B266" s="170"/>
      <c r="C266" s="170"/>
      <c r="E266" s="170"/>
      <c r="F266" s="170"/>
      <c r="G266" s="170"/>
      <c r="H266" s="170"/>
      <c r="I266" s="170"/>
      <c r="J266" s="170"/>
      <c r="K266" s="170"/>
      <c r="L266" s="170"/>
    </row>
    <row r="267" customFormat="false" ht="15.75" hidden="false" customHeight="true" outlineLevel="0" collapsed="false">
      <c r="A267" s="170"/>
      <c r="B267" s="170"/>
      <c r="C267" s="170"/>
      <c r="E267" s="170"/>
      <c r="F267" s="170"/>
      <c r="G267" s="170"/>
      <c r="H267" s="170"/>
      <c r="I267" s="170"/>
      <c r="J267" s="170"/>
      <c r="K267" s="170"/>
      <c r="L267" s="170"/>
    </row>
    <row r="268" customFormat="false" ht="15.75" hidden="false" customHeight="true" outlineLevel="0" collapsed="false">
      <c r="A268" s="170"/>
      <c r="B268" s="170"/>
      <c r="C268" s="170"/>
      <c r="E268" s="170"/>
      <c r="F268" s="170"/>
      <c r="G268" s="170"/>
      <c r="H268" s="170"/>
      <c r="I268" s="170"/>
      <c r="J268" s="170"/>
      <c r="K268" s="170"/>
      <c r="L268" s="170"/>
    </row>
    <row r="269" customFormat="false" ht="15.75" hidden="false" customHeight="true" outlineLevel="0" collapsed="false">
      <c r="A269" s="170"/>
      <c r="B269" s="170"/>
      <c r="C269" s="170"/>
      <c r="E269" s="170"/>
      <c r="F269" s="170"/>
      <c r="G269" s="170"/>
      <c r="H269" s="170"/>
      <c r="I269" s="170"/>
      <c r="J269" s="170"/>
      <c r="K269" s="170"/>
      <c r="L269" s="170"/>
    </row>
    <row r="270" customFormat="false" ht="15.75" hidden="false" customHeight="true" outlineLevel="0" collapsed="false">
      <c r="A270" s="170"/>
      <c r="B270" s="170"/>
      <c r="C270" s="170"/>
      <c r="E270" s="170"/>
      <c r="F270" s="170"/>
      <c r="G270" s="170"/>
      <c r="H270" s="170"/>
      <c r="I270" s="170"/>
      <c r="J270" s="170"/>
      <c r="K270" s="170"/>
      <c r="L270" s="170"/>
    </row>
    <row r="271" customFormat="false" ht="15.75" hidden="false" customHeight="true" outlineLevel="0" collapsed="false">
      <c r="A271" s="170"/>
      <c r="B271" s="170"/>
      <c r="C271" s="170"/>
      <c r="E271" s="170"/>
      <c r="F271" s="170"/>
      <c r="G271" s="170"/>
      <c r="H271" s="170"/>
      <c r="I271" s="170"/>
      <c r="J271" s="170"/>
      <c r="K271" s="170"/>
      <c r="L271" s="170"/>
    </row>
    <row r="272" customFormat="false" ht="15.75" hidden="false" customHeight="true" outlineLevel="0" collapsed="false">
      <c r="A272" s="170"/>
      <c r="B272" s="170"/>
      <c r="C272" s="170"/>
      <c r="E272" s="170"/>
      <c r="F272" s="170"/>
      <c r="G272" s="170"/>
      <c r="H272" s="170"/>
      <c r="I272" s="170"/>
      <c r="J272" s="170"/>
      <c r="K272" s="170"/>
      <c r="L272" s="170"/>
    </row>
    <row r="273" customFormat="false" ht="15.75" hidden="false" customHeight="true" outlineLevel="0" collapsed="false">
      <c r="A273" s="170"/>
      <c r="B273" s="170"/>
      <c r="C273" s="170"/>
      <c r="E273" s="170"/>
      <c r="F273" s="170"/>
      <c r="G273" s="170"/>
      <c r="H273" s="170"/>
      <c r="I273" s="170"/>
      <c r="J273" s="170"/>
      <c r="K273" s="170"/>
      <c r="L273" s="170"/>
    </row>
    <row r="274" customFormat="false" ht="15.75" hidden="false" customHeight="true" outlineLevel="0" collapsed="false">
      <c r="A274" s="170"/>
      <c r="B274" s="170"/>
      <c r="C274" s="170"/>
      <c r="E274" s="170"/>
      <c r="F274" s="170"/>
      <c r="G274" s="170"/>
      <c r="H274" s="170"/>
      <c r="I274" s="170"/>
      <c r="J274" s="170"/>
      <c r="K274" s="170"/>
      <c r="L274" s="170"/>
    </row>
    <row r="275" customFormat="false" ht="15.75" hidden="false" customHeight="true" outlineLevel="0" collapsed="false">
      <c r="A275" s="170"/>
      <c r="B275" s="170"/>
      <c r="C275" s="170"/>
      <c r="E275" s="170"/>
      <c r="F275" s="170"/>
      <c r="G275" s="170"/>
      <c r="H275" s="170"/>
      <c r="I275" s="170"/>
      <c r="J275" s="170"/>
      <c r="K275" s="170"/>
      <c r="L275" s="170"/>
    </row>
    <row r="276" customFormat="false" ht="15.75" hidden="false" customHeight="true" outlineLevel="0" collapsed="false">
      <c r="A276" s="170"/>
      <c r="B276" s="170"/>
      <c r="C276" s="170"/>
      <c r="E276" s="170"/>
      <c r="F276" s="170"/>
      <c r="G276" s="170"/>
      <c r="H276" s="170"/>
      <c r="I276" s="170"/>
      <c r="J276" s="170"/>
      <c r="K276" s="170"/>
      <c r="L276" s="170"/>
    </row>
    <row r="277" customFormat="false" ht="15.75" hidden="false" customHeight="true" outlineLevel="0" collapsed="false">
      <c r="A277" s="170"/>
      <c r="B277" s="170"/>
      <c r="C277" s="170"/>
      <c r="E277" s="170"/>
      <c r="F277" s="170"/>
      <c r="G277" s="170"/>
      <c r="H277" s="170"/>
      <c r="I277" s="170"/>
      <c r="J277" s="170"/>
      <c r="K277" s="170"/>
      <c r="L277" s="170"/>
    </row>
    <row r="278" customFormat="false" ht="15.75" hidden="false" customHeight="true" outlineLevel="0" collapsed="false">
      <c r="A278" s="170"/>
      <c r="B278" s="170"/>
      <c r="C278" s="170"/>
      <c r="E278" s="170"/>
      <c r="F278" s="170"/>
      <c r="G278" s="170"/>
      <c r="H278" s="170"/>
      <c r="I278" s="170"/>
      <c r="J278" s="170"/>
      <c r="K278" s="170"/>
      <c r="L278" s="170"/>
    </row>
    <row r="279" customFormat="false" ht="15.75" hidden="false" customHeight="true" outlineLevel="0" collapsed="false">
      <c r="A279" s="170"/>
      <c r="B279" s="170"/>
      <c r="C279" s="170"/>
      <c r="E279" s="170"/>
      <c r="F279" s="170"/>
      <c r="G279" s="170"/>
      <c r="H279" s="170"/>
      <c r="I279" s="170"/>
      <c r="J279" s="170"/>
      <c r="K279" s="170"/>
      <c r="L279" s="170"/>
    </row>
    <row r="280" customFormat="false" ht="15.75" hidden="false" customHeight="true" outlineLevel="0" collapsed="false">
      <c r="A280" s="170"/>
      <c r="B280" s="170"/>
      <c r="C280" s="170"/>
      <c r="E280" s="170"/>
      <c r="F280" s="170"/>
      <c r="G280" s="170"/>
      <c r="H280" s="170"/>
      <c r="I280" s="170"/>
      <c r="J280" s="170"/>
      <c r="K280" s="170"/>
      <c r="L280" s="170"/>
    </row>
    <row r="281" customFormat="false" ht="15.75" hidden="false" customHeight="true" outlineLevel="0" collapsed="false">
      <c r="A281" s="170"/>
      <c r="B281" s="170"/>
      <c r="C281" s="170"/>
      <c r="E281" s="170"/>
      <c r="F281" s="170"/>
      <c r="G281" s="170"/>
      <c r="H281" s="170"/>
      <c r="I281" s="170"/>
      <c r="J281" s="170"/>
      <c r="K281" s="170"/>
      <c r="L281" s="170"/>
    </row>
    <row r="282" customFormat="false" ht="15.75" hidden="false" customHeight="true" outlineLevel="0" collapsed="false">
      <c r="A282" s="170"/>
      <c r="B282" s="170"/>
      <c r="C282" s="170"/>
      <c r="E282" s="170"/>
      <c r="F282" s="170"/>
      <c r="G282" s="170"/>
      <c r="H282" s="170"/>
      <c r="I282" s="170"/>
      <c r="J282" s="170"/>
      <c r="K282" s="170"/>
      <c r="L282" s="170"/>
    </row>
    <row r="283" customFormat="false" ht="15.75" hidden="false" customHeight="true" outlineLevel="0" collapsed="false">
      <c r="A283" s="170"/>
      <c r="B283" s="170"/>
      <c r="C283" s="170"/>
      <c r="E283" s="170"/>
      <c r="F283" s="170"/>
      <c r="G283" s="170"/>
      <c r="H283" s="170"/>
      <c r="I283" s="170"/>
      <c r="J283" s="170"/>
      <c r="K283" s="170"/>
      <c r="L283" s="170"/>
    </row>
    <row r="284" customFormat="false" ht="15.75" hidden="false" customHeight="true" outlineLevel="0" collapsed="false">
      <c r="A284" s="170"/>
      <c r="B284" s="170"/>
      <c r="C284" s="170"/>
      <c r="E284" s="170"/>
      <c r="F284" s="170"/>
      <c r="G284" s="170"/>
      <c r="H284" s="170"/>
      <c r="I284" s="170"/>
      <c r="J284" s="170"/>
      <c r="K284" s="170"/>
      <c r="L284" s="170"/>
    </row>
    <row r="285" customFormat="false" ht="15.75" hidden="false" customHeight="true" outlineLevel="0" collapsed="false">
      <c r="A285" s="170"/>
      <c r="B285" s="170"/>
      <c r="C285" s="170"/>
      <c r="E285" s="170"/>
      <c r="F285" s="170"/>
      <c r="G285" s="170"/>
      <c r="H285" s="170"/>
      <c r="I285" s="170"/>
      <c r="J285" s="170"/>
      <c r="K285" s="170"/>
      <c r="L285" s="170"/>
    </row>
    <row r="286" customFormat="false" ht="15.75" hidden="false" customHeight="true" outlineLevel="0" collapsed="false">
      <c r="A286" s="170"/>
      <c r="B286" s="170"/>
      <c r="C286" s="170"/>
      <c r="E286" s="170"/>
      <c r="F286" s="170"/>
      <c r="G286" s="170"/>
      <c r="H286" s="170"/>
      <c r="I286" s="170"/>
      <c r="J286" s="170"/>
      <c r="K286" s="170"/>
      <c r="L286" s="170"/>
    </row>
    <row r="287" customFormat="false" ht="15.75" hidden="false" customHeight="true" outlineLevel="0" collapsed="false">
      <c r="A287" s="170"/>
      <c r="B287" s="170"/>
      <c r="C287" s="170"/>
      <c r="E287" s="170"/>
      <c r="F287" s="170"/>
      <c r="G287" s="170"/>
      <c r="H287" s="170"/>
      <c r="I287" s="170"/>
      <c r="J287" s="170"/>
      <c r="K287" s="170"/>
      <c r="L287" s="170"/>
    </row>
    <row r="288" customFormat="false" ht="15.75" hidden="false" customHeight="true" outlineLevel="0" collapsed="false">
      <c r="A288" s="170"/>
      <c r="B288" s="170"/>
      <c r="C288" s="170"/>
      <c r="E288" s="170"/>
      <c r="F288" s="170"/>
      <c r="G288" s="170"/>
      <c r="H288" s="170"/>
      <c r="I288" s="170"/>
      <c r="J288" s="170"/>
      <c r="K288" s="170"/>
      <c r="L288" s="170"/>
    </row>
    <row r="289" customFormat="false" ht="15.75" hidden="false" customHeight="true" outlineLevel="0" collapsed="false">
      <c r="A289" s="170"/>
      <c r="B289" s="170"/>
      <c r="C289" s="170"/>
      <c r="E289" s="170"/>
      <c r="F289" s="170"/>
      <c r="G289" s="170"/>
      <c r="H289" s="170"/>
      <c r="I289" s="170"/>
      <c r="J289" s="170"/>
      <c r="K289" s="170"/>
      <c r="L289" s="170"/>
    </row>
    <row r="290" customFormat="false" ht="15.75" hidden="false" customHeight="true" outlineLevel="0" collapsed="false">
      <c r="A290" s="170"/>
      <c r="B290" s="170"/>
      <c r="C290" s="170"/>
      <c r="E290" s="170"/>
      <c r="F290" s="170"/>
      <c r="G290" s="170"/>
      <c r="H290" s="170"/>
      <c r="I290" s="170"/>
      <c r="J290" s="170"/>
      <c r="K290" s="170"/>
      <c r="L290" s="170"/>
    </row>
    <row r="291" customFormat="false" ht="15.75" hidden="false" customHeight="true" outlineLevel="0" collapsed="false">
      <c r="A291" s="170"/>
      <c r="B291" s="170"/>
      <c r="C291" s="170"/>
      <c r="E291" s="170"/>
      <c r="F291" s="170"/>
      <c r="G291" s="170"/>
      <c r="H291" s="170"/>
      <c r="I291" s="170"/>
      <c r="J291" s="170"/>
      <c r="K291" s="170"/>
      <c r="L291" s="170"/>
    </row>
    <row r="292" customFormat="false" ht="15.75" hidden="false" customHeight="true" outlineLevel="0" collapsed="false">
      <c r="A292" s="170"/>
      <c r="B292" s="170"/>
      <c r="C292" s="170"/>
      <c r="E292" s="170"/>
      <c r="F292" s="170"/>
      <c r="G292" s="170"/>
      <c r="H292" s="170"/>
      <c r="I292" s="170"/>
      <c r="J292" s="170"/>
      <c r="K292" s="170"/>
      <c r="L292" s="170"/>
    </row>
    <row r="293" customFormat="false" ht="15.75" hidden="false" customHeight="true" outlineLevel="0" collapsed="false">
      <c r="A293" s="170"/>
      <c r="B293" s="170"/>
      <c r="C293" s="170"/>
      <c r="E293" s="170"/>
      <c r="F293" s="170"/>
      <c r="G293" s="170"/>
      <c r="H293" s="170"/>
      <c r="I293" s="170"/>
      <c r="J293" s="170"/>
      <c r="K293" s="170"/>
      <c r="L293" s="170"/>
    </row>
    <row r="294" customFormat="false" ht="15.75" hidden="false" customHeight="true" outlineLevel="0" collapsed="false">
      <c r="A294" s="170"/>
      <c r="B294" s="170"/>
      <c r="C294" s="170"/>
      <c r="E294" s="170"/>
      <c r="F294" s="170"/>
      <c r="G294" s="170"/>
      <c r="H294" s="170"/>
      <c r="I294" s="170"/>
      <c r="J294" s="170"/>
      <c r="K294" s="170"/>
      <c r="L294" s="170"/>
    </row>
    <row r="295" customFormat="false" ht="15.75" hidden="false" customHeight="true" outlineLevel="0" collapsed="false">
      <c r="A295" s="170"/>
      <c r="B295" s="170"/>
      <c r="C295" s="170"/>
      <c r="E295" s="170"/>
      <c r="F295" s="170"/>
      <c r="G295" s="170"/>
      <c r="H295" s="170"/>
      <c r="I295" s="170"/>
      <c r="J295" s="170"/>
      <c r="K295" s="170"/>
      <c r="L295" s="170"/>
    </row>
    <row r="296" customFormat="false" ht="15.75" hidden="false" customHeight="true" outlineLevel="0" collapsed="false">
      <c r="A296" s="170"/>
      <c r="B296" s="170"/>
      <c r="C296" s="170"/>
      <c r="E296" s="170"/>
      <c r="F296" s="170"/>
      <c r="G296" s="170"/>
      <c r="H296" s="170"/>
      <c r="I296" s="170"/>
      <c r="J296" s="170"/>
      <c r="K296" s="170"/>
      <c r="L296" s="170"/>
    </row>
    <row r="297" customFormat="false" ht="15.75" hidden="false" customHeight="true" outlineLevel="0" collapsed="false">
      <c r="A297" s="170"/>
      <c r="B297" s="170"/>
      <c r="C297" s="170"/>
      <c r="E297" s="170"/>
      <c r="F297" s="170"/>
      <c r="G297" s="170"/>
      <c r="H297" s="170"/>
      <c r="I297" s="170"/>
      <c r="J297" s="170"/>
      <c r="K297" s="170"/>
      <c r="L297" s="170"/>
    </row>
    <row r="298" customFormat="false" ht="15.75" hidden="false" customHeight="true" outlineLevel="0" collapsed="false">
      <c r="A298" s="170"/>
      <c r="B298" s="170"/>
      <c r="C298" s="170"/>
      <c r="E298" s="170"/>
      <c r="F298" s="170"/>
      <c r="G298" s="170"/>
      <c r="H298" s="170"/>
      <c r="I298" s="170"/>
      <c r="J298" s="170"/>
      <c r="K298" s="170"/>
      <c r="L298" s="170"/>
    </row>
    <row r="299" customFormat="false" ht="15.75" hidden="false" customHeight="true" outlineLevel="0" collapsed="false">
      <c r="A299" s="170"/>
      <c r="B299" s="170"/>
      <c r="C299" s="170"/>
      <c r="E299" s="170"/>
      <c r="F299" s="170"/>
      <c r="G299" s="170"/>
      <c r="H299" s="170"/>
      <c r="I299" s="170"/>
      <c r="J299" s="170"/>
      <c r="K299" s="170"/>
      <c r="L299" s="170"/>
    </row>
    <row r="300" customFormat="false" ht="15.75" hidden="false" customHeight="true" outlineLevel="0" collapsed="false">
      <c r="A300" s="170"/>
      <c r="B300" s="170"/>
      <c r="C300" s="170"/>
      <c r="E300" s="170"/>
      <c r="F300" s="170"/>
      <c r="G300" s="170"/>
      <c r="H300" s="170"/>
      <c r="I300" s="170"/>
      <c r="J300" s="170"/>
      <c r="K300" s="170"/>
      <c r="L300" s="170"/>
    </row>
    <row r="301" customFormat="false" ht="15.75" hidden="false" customHeight="true" outlineLevel="0" collapsed="false">
      <c r="A301" s="170"/>
      <c r="B301" s="170"/>
      <c r="C301" s="170"/>
      <c r="E301" s="170"/>
      <c r="F301" s="170"/>
      <c r="G301" s="170"/>
      <c r="H301" s="170"/>
      <c r="I301" s="170"/>
      <c r="J301" s="170"/>
      <c r="K301" s="170"/>
      <c r="L301" s="170"/>
    </row>
    <row r="302" customFormat="false" ht="15.75" hidden="false" customHeight="true" outlineLevel="0" collapsed="false">
      <c r="A302" s="170"/>
      <c r="B302" s="170"/>
      <c r="C302" s="170"/>
      <c r="E302" s="170"/>
      <c r="F302" s="170"/>
      <c r="G302" s="170"/>
      <c r="H302" s="170"/>
      <c r="I302" s="170"/>
      <c r="J302" s="170"/>
      <c r="K302" s="170"/>
      <c r="L302" s="170"/>
    </row>
    <row r="303" customFormat="false" ht="15.75" hidden="false" customHeight="true" outlineLevel="0" collapsed="false">
      <c r="A303" s="170"/>
      <c r="B303" s="170"/>
      <c r="C303" s="170"/>
      <c r="E303" s="170"/>
      <c r="F303" s="170"/>
      <c r="G303" s="170"/>
      <c r="H303" s="170"/>
      <c r="I303" s="170"/>
      <c r="J303" s="170"/>
      <c r="K303" s="170"/>
      <c r="L303" s="170"/>
    </row>
    <row r="304" customFormat="false" ht="15.75" hidden="false" customHeight="true" outlineLevel="0" collapsed="false">
      <c r="A304" s="170"/>
      <c r="B304" s="170"/>
      <c r="C304" s="170"/>
      <c r="E304" s="170"/>
      <c r="F304" s="170"/>
      <c r="G304" s="170"/>
      <c r="H304" s="170"/>
      <c r="I304" s="170"/>
      <c r="J304" s="170"/>
      <c r="K304" s="170"/>
      <c r="L304" s="170"/>
    </row>
    <row r="305" customFormat="false" ht="15.75" hidden="false" customHeight="true" outlineLevel="0" collapsed="false">
      <c r="A305" s="170"/>
      <c r="B305" s="170"/>
      <c r="C305" s="170"/>
      <c r="E305" s="170"/>
      <c r="F305" s="170"/>
      <c r="G305" s="170"/>
      <c r="H305" s="170"/>
      <c r="I305" s="170"/>
      <c r="J305" s="170"/>
      <c r="K305" s="170"/>
      <c r="L305" s="170"/>
    </row>
    <row r="306" customFormat="false" ht="15.75" hidden="false" customHeight="true" outlineLevel="0" collapsed="false">
      <c r="A306" s="170"/>
      <c r="B306" s="170"/>
      <c r="C306" s="170"/>
      <c r="E306" s="170"/>
      <c r="F306" s="170"/>
      <c r="G306" s="170"/>
      <c r="H306" s="170"/>
      <c r="I306" s="170"/>
      <c r="J306" s="170"/>
      <c r="K306" s="170"/>
      <c r="L306" s="170"/>
    </row>
    <row r="307" customFormat="false" ht="15.75" hidden="false" customHeight="true" outlineLevel="0" collapsed="false">
      <c r="A307" s="170"/>
      <c r="B307" s="170"/>
      <c r="C307" s="170"/>
      <c r="E307" s="170"/>
      <c r="F307" s="170"/>
      <c r="G307" s="170"/>
      <c r="H307" s="170"/>
      <c r="I307" s="170"/>
      <c r="J307" s="170"/>
      <c r="K307" s="170"/>
      <c r="L307" s="170"/>
    </row>
    <row r="308" customFormat="false" ht="15.75" hidden="false" customHeight="true" outlineLevel="0" collapsed="false">
      <c r="A308" s="170"/>
      <c r="B308" s="170"/>
      <c r="C308" s="170"/>
      <c r="E308" s="170"/>
      <c r="F308" s="170"/>
      <c r="G308" s="170"/>
      <c r="H308" s="170"/>
      <c r="I308" s="170"/>
      <c r="J308" s="170"/>
      <c r="K308" s="170"/>
      <c r="L308" s="170"/>
    </row>
    <row r="309" customFormat="false" ht="15.75" hidden="false" customHeight="true" outlineLevel="0" collapsed="false">
      <c r="A309" s="170"/>
      <c r="B309" s="170"/>
      <c r="C309" s="170"/>
      <c r="E309" s="170"/>
      <c r="F309" s="170"/>
      <c r="G309" s="170"/>
      <c r="H309" s="170"/>
      <c r="I309" s="170"/>
      <c r="J309" s="170"/>
      <c r="K309" s="170"/>
      <c r="L309" s="170"/>
    </row>
    <row r="310" customFormat="false" ht="15.75" hidden="false" customHeight="true" outlineLevel="0" collapsed="false">
      <c r="A310" s="170"/>
      <c r="B310" s="170"/>
      <c r="C310" s="170"/>
      <c r="E310" s="170"/>
      <c r="F310" s="170"/>
      <c r="G310" s="170"/>
      <c r="H310" s="170"/>
      <c r="I310" s="170"/>
      <c r="J310" s="170"/>
      <c r="K310" s="170"/>
      <c r="L310" s="170"/>
    </row>
    <row r="311" customFormat="false" ht="15.75" hidden="false" customHeight="true" outlineLevel="0" collapsed="false">
      <c r="A311" s="170"/>
      <c r="B311" s="170"/>
      <c r="C311" s="170"/>
      <c r="E311" s="170"/>
      <c r="F311" s="170"/>
      <c r="G311" s="170"/>
      <c r="H311" s="170"/>
      <c r="I311" s="170"/>
      <c r="J311" s="170"/>
      <c r="K311" s="170"/>
      <c r="L311" s="170"/>
    </row>
    <row r="312" customFormat="false" ht="15.75" hidden="false" customHeight="true" outlineLevel="0" collapsed="false">
      <c r="A312" s="170"/>
      <c r="B312" s="170"/>
      <c r="C312" s="170"/>
      <c r="E312" s="170"/>
      <c r="F312" s="170"/>
      <c r="G312" s="170"/>
      <c r="H312" s="170"/>
      <c r="I312" s="170"/>
      <c r="J312" s="170"/>
      <c r="K312" s="170"/>
      <c r="L312" s="170"/>
    </row>
    <row r="313" customFormat="false" ht="15.75" hidden="false" customHeight="true" outlineLevel="0" collapsed="false">
      <c r="A313" s="170"/>
      <c r="B313" s="170"/>
      <c r="C313" s="170"/>
      <c r="E313" s="170"/>
      <c r="F313" s="170"/>
      <c r="G313" s="170"/>
      <c r="H313" s="170"/>
      <c r="I313" s="170"/>
      <c r="J313" s="170"/>
      <c r="K313" s="170"/>
      <c r="L313" s="170"/>
    </row>
    <row r="314" customFormat="false" ht="15.75" hidden="false" customHeight="true" outlineLevel="0" collapsed="false">
      <c r="A314" s="170"/>
      <c r="B314" s="170"/>
      <c r="C314" s="170"/>
      <c r="E314" s="170"/>
      <c r="F314" s="170"/>
      <c r="G314" s="170"/>
      <c r="H314" s="170"/>
      <c r="I314" s="170"/>
      <c r="J314" s="170"/>
      <c r="K314" s="170"/>
      <c r="L314" s="170"/>
    </row>
    <row r="315" customFormat="false" ht="15.75" hidden="false" customHeight="true" outlineLevel="0" collapsed="false">
      <c r="A315" s="170"/>
      <c r="B315" s="170"/>
      <c r="C315" s="170"/>
      <c r="E315" s="170"/>
      <c r="F315" s="170"/>
      <c r="G315" s="170"/>
      <c r="H315" s="170"/>
      <c r="I315" s="170"/>
      <c r="J315" s="170"/>
      <c r="K315" s="170"/>
      <c r="L315" s="170"/>
    </row>
    <row r="316" customFormat="false" ht="15.75" hidden="false" customHeight="true" outlineLevel="0" collapsed="false">
      <c r="A316" s="170"/>
      <c r="B316" s="170"/>
      <c r="C316" s="170"/>
      <c r="E316" s="170"/>
      <c r="F316" s="170"/>
      <c r="G316" s="170"/>
      <c r="H316" s="170"/>
      <c r="I316" s="170"/>
      <c r="J316" s="170"/>
      <c r="K316" s="170"/>
      <c r="L316" s="170"/>
    </row>
    <row r="317" customFormat="false" ht="15.75" hidden="false" customHeight="true" outlineLevel="0" collapsed="false">
      <c r="A317" s="170"/>
      <c r="B317" s="170"/>
      <c r="C317" s="170"/>
      <c r="E317" s="170"/>
      <c r="F317" s="170"/>
      <c r="G317" s="170"/>
      <c r="H317" s="170"/>
      <c r="I317" s="170"/>
      <c r="J317" s="170"/>
      <c r="K317" s="170"/>
      <c r="L317" s="170"/>
    </row>
    <row r="318" customFormat="false" ht="15.75" hidden="false" customHeight="true" outlineLevel="0" collapsed="false">
      <c r="A318" s="170"/>
      <c r="B318" s="170"/>
      <c r="C318" s="170"/>
      <c r="E318" s="170"/>
      <c r="F318" s="170"/>
      <c r="G318" s="170"/>
      <c r="H318" s="170"/>
      <c r="I318" s="170"/>
      <c r="J318" s="170"/>
      <c r="K318" s="170"/>
      <c r="L318" s="170"/>
    </row>
    <row r="319" customFormat="false" ht="15.75" hidden="false" customHeight="true" outlineLevel="0" collapsed="false">
      <c r="A319" s="170"/>
      <c r="B319" s="170"/>
      <c r="C319" s="170"/>
      <c r="E319" s="170"/>
      <c r="F319" s="170"/>
      <c r="G319" s="170"/>
      <c r="H319" s="170"/>
      <c r="I319" s="170"/>
      <c r="J319" s="170"/>
      <c r="K319" s="170"/>
      <c r="L319" s="170"/>
    </row>
    <row r="320" customFormat="false" ht="15.75" hidden="false" customHeight="true" outlineLevel="0" collapsed="false">
      <c r="A320" s="170"/>
      <c r="B320" s="170"/>
      <c r="C320" s="170"/>
      <c r="E320" s="170"/>
      <c r="F320" s="170"/>
      <c r="G320" s="170"/>
      <c r="H320" s="170"/>
      <c r="I320" s="170"/>
      <c r="J320" s="170"/>
      <c r="K320" s="170"/>
      <c r="L320" s="170"/>
    </row>
    <row r="321" customFormat="false" ht="15.75" hidden="false" customHeight="true" outlineLevel="0" collapsed="false">
      <c r="A321" s="170"/>
      <c r="B321" s="170"/>
      <c r="C321" s="170"/>
      <c r="E321" s="170"/>
      <c r="F321" s="170"/>
      <c r="G321" s="170"/>
      <c r="H321" s="170"/>
      <c r="I321" s="170"/>
      <c r="J321" s="170"/>
      <c r="K321" s="170"/>
      <c r="L321" s="170"/>
    </row>
    <row r="322" customFormat="false" ht="15.75" hidden="false" customHeight="true" outlineLevel="0" collapsed="false">
      <c r="A322" s="170"/>
      <c r="B322" s="170"/>
      <c r="C322" s="170"/>
      <c r="E322" s="170"/>
      <c r="F322" s="170"/>
      <c r="G322" s="170"/>
      <c r="H322" s="170"/>
      <c r="I322" s="170"/>
      <c r="J322" s="170"/>
      <c r="K322" s="170"/>
      <c r="L322" s="170"/>
    </row>
    <row r="323" customFormat="false" ht="15.75" hidden="false" customHeight="true" outlineLevel="0" collapsed="false">
      <c r="A323" s="170"/>
      <c r="B323" s="170"/>
      <c r="C323" s="170"/>
      <c r="E323" s="170"/>
      <c r="F323" s="170"/>
      <c r="G323" s="170"/>
      <c r="H323" s="170"/>
      <c r="I323" s="170"/>
      <c r="J323" s="170"/>
      <c r="K323" s="170"/>
      <c r="L323" s="170"/>
    </row>
    <row r="324" customFormat="false" ht="15.75" hidden="false" customHeight="true" outlineLevel="0" collapsed="false">
      <c r="A324" s="170"/>
      <c r="B324" s="170"/>
      <c r="C324" s="170"/>
      <c r="E324" s="170"/>
      <c r="F324" s="170"/>
      <c r="G324" s="170"/>
      <c r="H324" s="170"/>
      <c r="I324" s="170"/>
      <c r="J324" s="170"/>
      <c r="K324" s="170"/>
      <c r="L324" s="170"/>
    </row>
    <row r="325" customFormat="false" ht="15.75" hidden="false" customHeight="true" outlineLevel="0" collapsed="false">
      <c r="A325" s="170"/>
      <c r="B325" s="170"/>
      <c r="C325" s="170"/>
      <c r="E325" s="170"/>
      <c r="F325" s="170"/>
      <c r="G325" s="170"/>
      <c r="H325" s="170"/>
      <c r="I325" s="170"/>
      <c r="J325" s="170"/>
      <c r="K325" s="170"/>
      <c r="L325" s="170"/>
    </row>
    <row r="326" customFormat="false" ht="15.75" hidden="false" customHeight="true" outlineLevel="0" collapsed="false">
      <c r="A326" s="170"/>
      <c r="B326" s="170"/>
      <c r="C326" s="170"/>
      <c r="E326" s="170"/>
      <c r="F326" s="170"/>
      <c r="G326" s="170"/>
      <c r="H326" s="170"/>
      <c r="I326" s="170"/>
      <c r="J326" s="170"/>
      <c r="K326" s="170"/>
      <c r="L326" s="170"/>
    </row>
    <row r="327" customFormat="false" ht="15.75" hidden="false" customHeight="true" outlineLevel="0" collapsed="false">
      <c r="A327" s="170"/>
      <c r="B327" s="170"/>
      <c r="C327" s="170"/>
      <c r="E327" s="170"/>
      <c r="F327" s="170"/>
      <c r="G327" s="170"/>
      <c r="H327" s="170"/>
      <c r="I327" s="170"/>
      <c r="J327" s="170"/>
      <c r="K327" s="170"/>
      <c r="L327" s="170"/>
    </row>
    <row r="328" customFormat="false" ht="15.75" hidden="false" customHeight="true" outlineLevel="0" collapsed="false">
      <c r="A328" s="170"/>
      <c r="B328" s="170"/>
      <c r="C328" s="170"/>
      <c r="E328" s="170"/>
      <c r="F328" s="170"/>
      <c r="G328" s="170"/>
      <c r="H328" s="170"/>
      <c r="I328" s="170"/>
      <c r="J328" s="170"/>
      <c r="K328" s="170"/>
      <c r="L328" s="170"/>
    </row>
    <row r="329" customFormat="false" ht="15.75" hidden="false" customHeight="true" outlineLevel="0" collapsed="false">
      <c r="A329" s="170"/>
      <c r="B329" s="170"/>
      <c r="C329" s="170"/>
      <c r="E329" s="170"/>
      <c r="F329" s="170"/>
      <c r="G329" s="170"/>
      <c r="H329" s="170"/>
      <c r="I329" s="170"/>
      <c r="J329" s="170"/>
      <c r="K329" s="170"/>
      <c r="L329" s="170"/>
    </row>
    <row r="330" customFormat="false" ht="15.75" hidden="false" customHeight="true" outlineLevel="0" collapsed="false">
      <c r="A330" s="170"/>
      <c r="B330" s="170"/>
      <c r="C330" s="170"/>
      <c r="E330" s="170"/>
      <c r="F330" s="170"/>
      <c r="G330" s="170"/>
      <c r="H330" s="170"/>
      <c r="I330" s="170"/>
      <c r="J330" s="170"/>
      <c r="K330" s="170"/>
      <c r="L330" s="170"/>
    </row>
    <row r="331" customFormat="false" ht="15.75" hidden="false" customHeight="true" outlineLevel="0" collapsed="false">
      <c r="A331" s="170"/>
      <c r="B331" s="170"/>
      <c r="C331" s="170"/>
      <c r="E331" s="170"/>
      <c r="F331" s="170"/>
      <c r="G331" s="170"/>
      <c r="H331" s="170"/>
      <c r="I331" s="170"/>
      <c r="J331" s="170"/>
      <c r="K331" s="170"/>
      <c r="L331" s="170"/>
    </row>
    <row r="332" customFormat="false" ht="15.75" hidden="false" customHeight="true" outlineLevel="0" collapsed="false">
      <c r="A332" s="170"/>
      <c r="B332" s="170"/>
      <c r="C332" s="170"/>
      <c r="E332" s="170"/>
      <c r="F332" s="170"/>
      <c r="G332" s="170"/>
      <c r="H332" s="170"/>
      <c r="I332" s="170"/>
      <c r="J332" s="170"/>
      <c r="K332" s="170"/>
      <c r="L332" s="170"/>
    </row>
    <row r="333" customFormat="false" ht="15.75" hidden="false" customHeight="true" outlineLevel="0" collapsed="false">
      <c r="A333" s="170"/>
      <c r="B333" s="170"/>
      <c r="C333" s="170"/>
      <c r="E333" s="170"/>
      <c r="F333" s="170"/>
      <c r="G333" s="170"/>
      <c r="H333" s="170"/>
      <c r="I333" s="170"/>
      <c r="J333" s="170"/>
      <c r="K333" s="170"/>
      <c r="L333" s="170"/>
    </row>
    <row r="334" customFormat="false" ht="15.75" hidden="false" customHeight="true" outlineLevel="0" collapsed="false">
      <c r="A334" s="170"/>
      <c r="B334" s="170"/>
      <c r="C334" s="170"/>
      <c r="E334" s="170"/>
      <c r="F334" s="170"/>
      <c r="G334" s="170"/>
      <c r="H334" s="170"/>
      <c r="I334" s="170"/>
      <c r="J334" s="170"/>
      <c r="K334" s="170"/>
      <c r="L334" s="170"/>
    </row>
    <row r="335" customFormat="false" ht="15.75" hidden="false" customHeight="true" outlineLevel="0" collapsed="false">
      <c r="A335" s="170"/>
      <c r="B335" s="170"/>
      <c r="C335" s="170"/>
      <c r="E335" s="170"/>
      <c r="F335" s="170"/>
      <c r="G335" s="170"/>
      <c r="H335" s="170"/>
      <c r="I335" s="170"/>
      <c r="J335" s="170"/>
      <c r="K335" s="170"/>
      <c r="L335" s="170"/>
    </row>
    <row r="336" customFormat="false" ht="15.75" hidden="false" customHeight="true" outlineLevel="0" collapsed="false">
      <c r="A336" s="170"/>
      <c r="B336" s="170"/>
      <c r="C336" s="170"/>
      <c r="E336" s="170"/>
      <c r="F336" s="170"/>
      <c r="G336" s="170"/>
      <c r="H336" s="170"/>
      <c r="I336" s="170"/>
      <c r="J336" s="170"/>
      <c r="K336" s="170"/>
      <c r="L336" s="170"/>
    </row>
    <row r="337" customFormat="false" ht="15.75" hidden="false" customHeight="true" outlineLevel="0" collapsed="false">
      <c r="A337" s="170"/>
      <c r="B337" s="170"/>
      <c r="C337" s="170"/>
      <c r="E337" s="170"/>
      <c r="F337" s="170"/>
      <c r="G337" s="170"/>
      <c r="H337" s="170"/>
      <c r="I337" s="170"/>
      <c r="J337" s="170"/>
      <c r="K337" s="170"/>
      <c r="L337" s="170"/>
    </row>
    <row r="338" customFormat="false" ht="15.75" hidden="false" customHeight="true" outlineLevel="0" collapsed="false">
      <c r="A338" s="170"/>
      <c r="B338" s="170"/>
      <c r="C338" s="170"/>
      <c r="E338" s="170"/>
      <c r="F338" s="170"/>
      <c r="G338" s="170"/>
      <c r="H338" s="170"/>
      <c r="I338" s="170"/>
      <c r="J338" s="170"/>
      <c r="K338" s="170"/>
      <c r="L338" s="170"/>
    </row>
    <row r="339" customFormat="false" ht="15.75" hidden="false" customHeight="true" outlineLevel="0" collapsed="false">
      <c r="A339" s="170"/>
      <c r="B339" s="170"/>
      <c r="C339" s="170"/>
      <c r="E339" s="170"/>
      <c r="F339" s="170"/>
      <c r="G339" s="170"/>
      <c r="H339" s="170"/>
      <c r="I339" s="170"/>
      <c r="J339" s="170"/>
      <c r="K339" s="170"/>
      <c r="L339" s="170"/>
    </row>
    <row r="340" customFormat="false" ht="15.75" hidden="false" customHeight="true" outlineLevel="0" collapsed="false">
      <c r="A340" s="170"/>
      <c r="B340" s="170"/>
      <c r="C340" s="170"/>
      <c r="E340" s="170"/>
      <c r="F340" s="170"/>
      <c r="G340" s="170"/>
      <c r="H340" s="170"/>
      <c r="I340" s="170"/>
      <c r="J340" s="170"/>
      <c r="K340" s="170"/>
      <c r="L340" s="170"/>
    </row>
    <row r="341" customFormat="false" ht="15.75" hidden="false" customHeight="true" outlineLevel="0" collapsed="false">
      <c r="A341" s="170"/>
      <c r="B341" s="170"/>
      <c r="C341" s="170"/>
      <c r="E341" s="170"/>
      <c r="F341" s="170"/>
      <c r="G341" s="170"/>
      <c r="H341" s="170"/>
      <c r="I341" s="170"/>
      <c r="J341" s="170"/>
      <c r="K341" s="170"/>
      <c r="L341" s="170"/>
    </row>
    <row r="342" customFormat="false" ht="15.75" hidden="false" customHeight="true" outlineLevel="0" collapsed="false">
      <c r="A342" s="170"/>
      <c r="B342" s="170"/>
      <c r="C342" s="170"/>
      <c r="E342" s="170"/>
      <c r="F342" s="170"/>
      <c r="G342" s="170"/>
      <c r="H342" s="170"/>
      <c r="I342" s="170"/>
      <c r="J342" s="170"/>
      <c r="K342" s="170"/>
      <c r="L342" s="170"/>
    </row>
    <row r="343" customFormat="false" ht="15.75" hidden="false" customHeight="true" outlineLevel="0" collapsed="false">
      <c r="A343" s="170"/>
      <c r="B343" s="170"/>
      <c r="C343" s="170"/>
      <c r="E343" s="170"/>
      <c r="F343" s="170"/>
      <c r="G343" s="170"/>
      <c r="H343" s="170"/>
      <c r="I343" s="170"/>
      <c r="J343" s="170"/>
      <c r="K343" s="170"/>
      <c r="L343" s="170"/>
    </row>
    <row r="344" customFormat="false" ht="15.75" hidden="false" customHeight="true" outlineLevel="0" collapsed="false">
      <c r="A344" s="170"/>
      <c r="B344" s="170"/>
      <c r="C344" s="170"/>
      <c r="E344" s="170"/>
      <c r="F344" s="170"/>
      <c r="G344" s="170"/>
      <c r="H344" s="170"/>
      <c r="I344" s="170"/>
      <c r="J344" s="170"/>
      <c r="K344" s="170"/>
      <c r="L344" s="170"/>
    </row>
    <row r="345" customFormat="false" ht="15.75" hidden="false" customHeight="true" outlineLevel="0" collapsed="false">
      <c r="A345" s="170"/>
      <c r="B345" s="170"/>
      <c r="C345" s="170"/>
      <c r="E345" s="170"/>
      <c r="F345" s="170"/>
      <c r="G345" s="170"/>
      <c r="H345" s="170"/>
      <c r="I345" s="170"/>
      <c r="J345" s="170"/>
      <c r="K345" s="170"/>
      <c r="L345" s="170"/>
    </row>
    <row r="346" customFormat="false" ht="15.75" hidden="false" customHeight="true" outlineLevel="0" collapsed="false">
      <c r="A346" s="170"/>
      <c r="B346" s="170"/>
      <c r="C346" s="170"/>
      <c r="E346" s="170"/>
      <c r="F346" s="170"/>
      <c r="G346" s="170"/>
      <c r="H346" s="170"/>
      <c r="I346" s="170"/>
      <c r="J346" s="170"/>
      <c r="K346" s="170"/>
      <c r="L346" s="170"/>
    </row>
    <row r="347" customFormat="false" ht="15.75" hidden="false" customHeight="true" outlineLevel="0" collapsed="false">
      <c r="A347" s="170"/>
      <c r="B347" s="170"/>
      <c r="C347" s="170"/>
      <c r="E347" s="170"/>
      <c r="F347" s="170"/>
      <c r="G347" s="170"/>
      <c r="H347" s="170"/>
      <c r="I347" s="170"/>
      <c r="J347" s="170"/>
      <c r="K347" s="170"/>
      <c r="L347" s="170"/>
    </row>
    <row r="348" customFormat="false" ht="15.75" hidden="false" customHeight="true" outlineLevel="0" collapsed="false">
      <c r="A348" s="170"/>
      <c r="B348" s="170"/>
      <c r="C348" s="170"/>
      <c r="E348" s="170"/>
      <c r="F348" s="170"/>
      <c r="G348" s="170"/>
      <c r="H348" s="170"/>
      <c r="I348" s="170"/>
      <c r="J348" s="170"/>
      <c r="K348" s="170"/>
      <c r="L348" s="170"/>
    </row>
    <row r="349" customFormat="false" ht="15.75" hidden="false" customHeight="true" outlineLevel="0" collapsed="false">
      <c r="A349" s="170"/>
      <c r="B349" s="170"/>
      <c r="C349" s="170"/>
      <c r="E349" s="170"/>
      <c r="F349" s="170"/>
      <c r="G349" s="170"/>
      <c r="H349" s="170"/>
      <c r="I349" s="170"/>
      <c r="J349" s="170"/>
      <c r="K349" s="170"/>
      <c r="L349" s="170"/>
    </row>
    <row r="350" customFormat="false" ht="15.75" hidden="false" customHeight="true" outlineLevel="0" collapsed="false">
      <c r="A350" s="170"/>
      <c r="B350" s="170"/>
      <c r="C350" s="170"/>
      <c r="E350" s="170"/>
      <c r="F350" s="170"/>
      <c r="G350" s="170"/>
      <c r="H350" s="170"/>
      <c r="I350" s="170"/>
      <c r="J350" s="170"/>
      <c r="K350" s="170"/>
      <c r="L350" s="170"/>
    </row>
    <row r="351" customFormat="false" ht="15.75" hidden="false" customHeight="true" outlineLevel="0" collapsed="false">
      <c r="A351" s="170"/>
      <c r="B351" s="170"/>
      <c r="C351" s="170"/>
      <c r="E351" s="170"/>
      <c r="F351" s="170"/>
      <c r="G351" s="170"/>
      <c r="H351" s="170"/>
      <c r="I351" s="170"/>
      <c r="J351" s="170"/>
      <c r="K351" s="170"/>
      <c r="L351" s="170"/>
    </row>
    <row r="352" customFormat="false" ht="15.75" hidden="false" customHeight="true" outlineLevel="0" collapsed="false">
      <c r="A352" s="170"/>
      <c r="B352" s="170"/>
      <c r="C352" s="170"/>
      <c r="E352" s="170"/>
      <c r="F352" s="170"/>
      <c r="G352" s="170"/>
      <c r="H352" s="170"/>
      <c r="I352" s="170"/>
      <c r="J352" s="170"/>
      <c r="K352" s="170"/>
      <c r="L352" s="170"/>
    </row>
    <row r="353" customFormat="false" ht="15.75" hidden="false" customHeight="true" outlineLevel="0" collapsed="false">
      <c r="A353" s="170"/>
      <c r="B353" s="170"/>
      <c r="C353" s="170"/>
      <c r="E353" s="170"/>
      <c r="F353" s="170"/>
      <c r="G353" s="170"/>
      <c r="H353" s="170"/>
      <c r="I353" s="170"/>
      <c r="J353" s="170"/>
      <c r="K353" s="170"/>
      <c r="L353" s="170"/>
    </row>
    <row r="354" customFormat="false" ht="15.75" hidden="false" customHeight="true" outlineLevel="0" collapsed="false">
      <c r="A354" s="170"/>
      <c r="B354" s="170"/>
      <c r="C354" s="170"/>
      <c r="E354" s="170"/>
      <c r="F354" s="170"/>
      <c r="G354" s="170"/>
      <c r="H354" s="170"/>
      <c r="I354" s="170"/>
      <c r="J354" s="170"/>
      <c r="K354" s="170"/>
      <c r="L354" s="170"/>
    </row>
    <row r="355" customFormat="false" ht="15.75" hidden="false" customHeight="true" outlineLevel="0" collapsed="false">
      <c r="A355" s="170"/>
      <c r="B355" s="170"/>
      <c r="C355" s="170"/>
      <c r="E355" s="170"/>
      <c r="F355" s="170"/>
      <c r="G355" s="170"/>
      <c r="H355" s="170"/>
      <c r="I355" s="170"/>
      <c r="J355" s="170"/>
      <c r="K355" s="170"/>
      <c r="L355" s="170"/>
    </row>
    <row r="356" customFormat="false" ht="15.75" hidden="false" customHeight="true" outlineLevel="0" collapsed="false">
      <c r="A356" s="170"/>
      <c r="B356" s="170"/>
      <c r="C356" s="170"/>
      <c r="E356" s="170"/>
      <c r="F356" s="170"/>
      <c r="G356" s="170"/>
      <c r="H356" s="170"/>
      <c r="I356" s="170"/>
      <c r="J356" s="170"/>
      <c r="K356" s="170"/>
      <c r="L356" s="170"/>
    </row>
    <row r="357" customFormat="false" ht="15.75" hidden="false" customHeight="true" outlineLevel="0" collapsed="false">
      <c r="A357" s="170"/>
      <c r="B357" s="170"/>
      <c r="C357" s="170"/>
      <c r="E357" s="170"/>
      <c r="F357" s="170"/>
      <c r="G357" s="170"/>
      <c r="H357" s="170"/>
      <c r="I357" s="170"/>
      <c r="J357" s="170"/>
      <c r="K357" s="170"/>
      <c r="L357" s="170"/>
    </row>
    <row r="358" customFormat="false" ht="15.75" hidden="false" customHeight="true" outlineLevel="0" collapsed="false">
      <c r="A358" s="170"/>
      <c r="B358" s="170"/>
      <c r="C358" s="170"/>
      <c r="E358" s="170"/>
      <c r="F358" s="170"/>
      <c r="G358" s="170"/>
      <c r="H358" s="170"/>
      <c r="I358" s="170"/>
      <c r="J358" s="170"/>
      <c r="K358" s="170"/>
      <c r="L358" s="170"/>
    </row>
    <row r="359" customFormat="false" ht="15.75" hidden="false" customHeight="true" outlineLevel="0" collapsed="false">
      <c r="A359" s="170"/>
      <c r="B359" s="170"/>
      <c r="C359" s="170"/>
      <c r="E359" s="170"/>
      <c r="F359" s="170"/>
      <c r="G359" s="170"/>
      <c r="H359" s="170"/>
      <c r="I359" s="170"/>
      <c r="J359" s="170"/>
      <c r="K359" s="170"/>
      <c r="L359" s="170"/>
    </row>
    <row r="360" customFormat="false" ht="15.75" hidden="false" customHeight="true" outlineLevel="0" collapsed="false">
      <c r="A360" s="170"/>
      <c r="B360" s="170"/>
      <c r="C360" s="170"/>
      <c r="E360" s="170"/>
      <c r="F360" s="170"/>
      <c r="G360" s="170"/>
      <c r="H360" s="170"/>
      <c r="I360" s="170"/>
      <c r="J360" s="170"/>
      <c r="K360" s="170"/>
      <c r="L360" s="170"/>
    </row>
    <row r="361" customFormat="false" ht="15.75" hidden="false" customHeight="true" outlineLevel="0" collapsed="false">
      <c r="A361" s="170"/>
      <c r="B361" s="170"/>
      <c r="C361" s="170"/>
      <c r="E361" s="170"/>
      <c r="F361" s="170"/>
      <c r="G361" s="170"/>
      <c r="H361" s="170"/>
      <c r="I361" s="170"/>
      <c r="J361" s="170"/>
      <c r="K361" s="170"/>
      <c r="L361" s="170"/>
    </row>
    <row r="362" customFormat="false" ht="15.75" hidden="false" customHeight="true" outlineLevel="0" collapsed="false">
      <c r="A362" s="170"/>
      <c r="B362" s="170"/>
      <c r="C362" s="170"/>
      <c r="E362" s="170"/>
      <c r="F362" s="170"/>
      <c r="G362" s="170"/>
      <c r="H362" s="170"/>
      <c r="I362" s="170"/>
      <c r="J362" s="170"/>
      <c r="K362" s="170"/>
      <c r="L362" s="170"/>
    </row>
    <row r="363" customFormat="false" ht="15.75" hidden="false" customHeight="true" outlineLevel="0" collapsed="false">
      <c r="A363" s="170"/>
      <c r="B363" s="170"/>
      <c r="C363" s="170"/>
      <c r="E363" s="170"/>
      <c r="F363" s="170"/>
      <c r="G363" s="170"/>
      <c r="H363" s="170"/>
      <c r="I363" s="170"/>
      <c r="J363" s="170"/>
      <c r="K363" s="170"/>
      <c r="L363" s="170"/>
    </row>
    <row r="364" customFormat="false" ht="15.75" hidden="false" customHeight="true" outlineLevel="0" collapsed="false">
      <c r="A364" s="170"/>
      <c r="B364" s="170"/>
      <c r="C364" s="170"/>
      <c r="E364" s="170"/>
      <c r="F364" s="170"/>
      <c r="G364" s="170"/>
      <c r="H364" s="170"/>
      <c r="I364" s="170"/>
      <c r="J364" s="170"/>
      <c r="K364" s="170"/>
      <c r="L364" s="170"/>
    </row>
    <row r="365" customFormat="false" ht="15.75" hidden="false" customHeight="true" outlineLevel="0" collapsed="false">
      <c r="A365" s="170"/>
      <c r="B365" s="170"/>
      <c r="C365" s="170"/>
      <c r="E365" s="170"/>
      <c r="F365" s="170"/>
      <c r="G365" s="170"/>
      <c r="H365" s="170"/>
      <c r="I365" s="170"/>
      <c r="J365" s="170"/>
      <c r="K365" s="170"/>
      <c r="L365" s="170"/>
    </row>
    <row r="366" customFormat="false" ht="15.75" hidden="false" customHeight="true" outlineLevel="0" collapsed="false">
      <c r="A366" s="170"/>
      <c r="B366" s="170"/>
      <c r="C366" s="170"/>
      <c r="E366" s="170"/>
      <c r="F366" s="170"/>
      <c r="G366" s="170"/>
      <c r="H366" s="170"/>
      <c r="I366" s="170"/>
      <c r="J366" s="170"/>
      <c r="K366" s="170"/>
      <c r="L366" s="170"/>
    </row>
    <row r="367" customFormat="false" ht="15.75" hidden="false" customHeight="true" outlineLevel="0" collapsed="false">
      <c r="A367" s="170"/>
      <c r="B367" s="170"/>
      <c r="C367" s="170"/>
      <c r="E367" s="170"/>
      <c r="F367" s="170"/>
      <c r="G367" s="170"/>
      <c r="H367" s="170"/>
      <c r="I367" s="170"/>
      <c r="J367" s="170"/>
      <c r="K367" s="170"/>
      <c r="L367" s="170"/>
    </row>
    <row r="368" customFormat="false" ht="15.75" hidden="false" customHeight="true" outlineLevel="0" collapsed="false">
      <c r="A368" s="170"/>
      <c r="B368" s="170"/>
      <c r="C368" s="170"/>
      <c r="E368" s="170"/>
      <c r="F368" s="170"/>
      <c r="G368" s="170"/>
      <c r="H368" s="170"/>
      <c r="I368" s="170"/>
      <c r="J368" s="170"/>
      <c r="K368" s="170"/>
      <c r="L368" s="170"/>
    </row>
    <row r="369" customFormat="false" ht="15.75" hidden="false" customHeight="true" outlineLevel="0" collapsed="false">
      <c r="A369" s="170"/>
      <c r="B369" s="170"/>
      <c r="C369" s="170"/>
      <c r="E369" s="170"/>
      <c r="F369" s="170"/>
      <c r="G369" s="170"/>
      <c r="H369" s="170"/>
      <c r="I369" s="170"/>
      <c r="J369" s="170"/>
      <c r="K369" s="170"/>
      <c r="L369" s="170"/>
    </row>
    <row r="370" customFormat="false" ht="15.75" hidden="false" customHeight="true" outlineLevel="0" collapsed="false">
      <c r="A370" s="170"/>
      <c r="B370" s="170"/>
      <c r="C370" s="170"/>
      <c r="E370" s="170"/>
      <c r="F370" s="170"/>
      <c r="G370" s="170"/>
      <c r="H370" s="170"/>
      <c r="I370" s="170"/>
      <c r="J370" s="170"/>
      <c r="K370" s="170"/>
      <c r="L370" s="170"/>
    </row>
    <row r="371" customFormat="false" ht="15.75" hidden="false" customHeight="true" outlineLevel="0" collapsed="false">
      <c r="A371" s="170"/>
      <c r="B371" s="170"/>
      <c r="C371" s="170"/>
      <c r="E371" s="170"/>
      <c r="F371" s="170"/>
      <c r="G371" s="170"/>
      <c r="H371" s="170"/>
      <c r="I371" s="170"/>
      <c r="J371" s="170"/>
      <c r="K371" s="170"/>
      <c r="L371" s="170"/>
    </row>
    <row r="372" customFormat="false" ht="15.75" hidden="false" customHeight="true" outlineLevel="0" collapsed="false">
      <c r="A372" s="170"/>
      <c r="B372" s="170"/>
      <c r="C372" s="170"/>
      <c r="E372" s="170"/>
      <c r="F372" s="170"/>
      <c r="G372" s="170"/>
      <c r="H372" s="170"/>
      <c r="I372" s="170"/>
      <c r="J372" s="170"/>
      <c r="K372" s="170"/>
      <c r="L372" s="170"/>
    </row>
    <row r="373" customFormat="false" ht="15.75" hidden="false" customHeight="true" outlineLevel="0" collapsed="false">
      <c r="A373" s="170"/>
      <c r="B373" s="170"/>
      <c r="C373" s="170"/>
      <c r="E373" s="170"/>
      <c r="F373" s="170"/>
      <c r="G373" s="170"/>
      <c r="H373" s="170"/>
      <c r="I373" s="170"/>
      <c r="J373" s="170"/>
      <c r="K373" s="170"/>
      <c r="L373" s="170"/>
    </row>
    <row r="374" customFormat="false" ht="15.75" hidden="false" customHeight="true" outlineLevel="0" collapsed="false">
      <c r="A374" s="170"/>
      <c r="B374" s="170"/>
      <c r="C374" s="170"/>
      <c r="E374" s="170"/>
      <c r="F374" s="170"/>
      <c r="G374" s="170"/>
      <c r="H374" s="170"/>
      <c r="I374" s="170"/>
      <c r="J374" s="170"/>
      <c r="K374" s="170"/>
      <c r="L374" s="170"/>
    </row>
    <row r="375" customFormat="false" ht="15.75" hidden="false" customHeight="true" outlineLevel="0" collapsed="false">
      <c r="A375" s="170"/>
      <c r="B375" s="170"/>
      <c r="C375" s="170"/>
      <c r="E375" s="170"/>
      <c r="F375" s="170"/>
      <c r="G375" s="170"/>
      <c r="H375" s="170"/>
      <c r="I375" s="170"/>
      <c r="J375" s="170"/>
      <c r="K375" s="170"/>
      <c r="L375" s="170"/>
    </row>
    <row r="376" customFormat="false" ht="15.75" hidden="false" customHeight="true" outlineLevel="0" collapsed="false">
      <c r="A376" s="170"/>
      <c r="B376" s="170"/>
      <c r="C376" s="170"/>
      <c r="E376" s="170"/>
      <c r="F376" s="170"/>
      <c r="G376" s="170"/>
      <c r="H376" s="170"/>
      <c r="I376" s="170"/>
      <c r="J376" s="170"/>
      <c r="K376" s="170"/>
      <c r="L376" s="170"/>
    </row>
    <row r="377" customFormat="false" ht="15.75" hidden="false" customHeight="true" outlineLevel="0" collapsed="false">
      <c r="A377" s="170"/>
      <c r="B377" s="170"/>
      <c r="C377" s="170"/>
      <c r="E377" s="170"/>
      <c r="F377" s="170"/>
      <c r="G377" s="170"/>
      <c r="H377" s="170"/>
      <c r="I377" s="170"/>
      <c r="J377" s="170"/>
      <c r="K377" s="170"/>
      <c r="L377" s="170"/>
    </row>
    <row r="378" customFormat="false" ht="15.75" hidden="false" customHeight="true" outlineLevel="0" collapsed="false">
      <c r="A378" s="170"/>
      <c r="B378" s="170"/>
      <c r="C378" s="170"/>
      <c r="E378" s="170"/>
      <c r="F378" s="170"/>
      <c r="G378" s="170"/>
      <c r="H378" s="170"/>
      <c r="I378" s="170"/>
      <c r="J378" s="170"/>
      <c r="K378" s="170"/>
      <c r="L378" s="170"/>
    </row>
    <row r="379" customFormat="false" ht="15.75" hidden="false" customHeight="true" outlineLevel="0" collapsed="false">
      <c r="A379" s="170"/>
      <c r="B379" s="170"/>
      <c r="C379" s="170"/>
      <c r="E379" s="170"/>
      <c r="F379" s="170"/>
      <c r="G379" s="170"/>
      <c r="H379" s="170"/>
      <c r="I379" s="170"/>
      <c r="J379" s="170"/>
      <c r="K379" s="170"/>
      <c r="L379" s="170"/>
    </row>
    <row r="380" customFormat="false" ht="15.75" hidden="false" customHeight="true" outlineLevel="0" collapsed="false">
      <c r="A380" s="170"/>
      <c r="B380" s="170"/>
      <c r="C380" s="170"/>
      <c r="E380" s="170"/>
      <c r="F380" s="170"/>
      <c r="G380" s="170"/>
      <c r="H380" s="170"/>
      <c r="I380" s="170"/>
      <c r="J380" s="170"/>
      <c r="K380" s="170"/>
      <c r="L380" s="170"/>
    </row>
    <row r="381" customFormat="false" ht="15.75" hidden="false" customHeight="true" outlineLevel="0" collapsed="false">
      <c r="A381" s="170"/>
      <c r="B381" s="170"/>
      <c r="C381" s="170"/>
      <c r="E381" s="170"/>
      <c r="F381" s="170"/>
      <c r="G381" s="170"/>
      <c r="H381" s="170"/>
      <c r="I381" s="170"/>
      <c r="J381" s="170"/>
      <c r="K381" s="170"/>
      <c r="L381" s="170"/>
    </row>
    <row r="382" customFormat="false" ht="15.75" hidden="false" customHeight="true" outlineLevel="0" collapsed="false">
      <c r="A382" s="170"/>
      <c r="B382" s="170"/>
      <c r="C382" s="170"/>
      <c r="E382" s="170"/>
      <c r="F382" s="170"/>
      <c r="G382" s="170"/>
      <c r="H382" s="170"/>
      <c r="I382" s="170"/>
      <c r="J382" s="170"/>
      <c r="K382" s="170"/>
      <c r="L382" s="170"/>
    </row>
    <row r="383" customFormat="false" ht="15.75" hidden="false" customHeight="true" outlineLevel="0" collapsed="false">
      <c r="A383" s="170"/>
      <c r="B383" s="170"/>
      <c r="C383" s="170"/>
      <c r="E383" s="170"/>
      <c r="F383" s="170"/>
      <c r="G383" s="170"/>
      <c r="H383" s="170"/>
      <c r="I383" s="170"/>
      <c r="J383" s="170"/>
      <c r="K383" s="170"/>
      <c r="L383" s="170"/>
    </row>
    <row r="384" customFormat="false" ht="15.75" hidden="false" customHeight="true" outlineLevel="0" collapsed="false">
      <c r="A384" s="170"/>
      <c r="B384" s="170"/>
      <c r="C384" s="170"/>
      <c r="E384" s="170"/>
      <c r="F384" s="170"/>
      <c r="G384" s="170"/>
      <c r="H384" s="170"/>
      <c r="I384" s="170"/>
      <c r="J384" s="170"/>
      <c r="K384" s="170"/>
      <c r="L384" s="170"/>
    </row>
    <row r="385" customFormat="false" ht="15.75" hidden="false" customHeight="true" outlineLevel="0" collapsed="false">
      <c r="A385" s="170"/>
      <c r="B385" s="170"/>
      <c r="C385" s="170"/>
      <c r="E385" s="170"/>
      <c r="F385" s="170"/>
      <c r="G385" s="170"/>
      <c r="H385" s="170"/>
      <c r="I385" s="170"/>
      <c r="J385" s="170"/>
      <c r="K385" s="170"/>
      <c r="L385" s="170"/>
    </row>
    <row r="386" customFormat="false" ht="15.75" hidden="false" customHeight="true" outlineLevel="0" collapsed="false">
      <c r="A386" s="170"/>
      <c r="B386" s="170"/>
      <c r="C386" s="170"/>
      <c r="E386" s="170"/>
      <c r="F386" s="170"/>
      <c r="G386" s="170"/>
      <c r="H386" s="170"/>
      <c r="I386" s="170"/>
      <c r="J386" s="170"/>
      <c r="K386" s="170"/>
      <c r="L386" s="170"/>
    </row>
    <row r="387" customFormat="false" ht="15.75" hidden="false" customHeight="true" outlineLevel="0" collapsed="false">
      <c r="A387" s="170"/>
      <c r="B387" s="170"/>
      <c r="C387" s="170"/>
      <c r="E387" s="170"/>
      <c r="F387" s="170"/>
      <c r="G387" s="170"/>
      <c r="H387" s="170"/>
      <c r="I387" s="170"/>
      <c r="J387" s="170"/>
      <c r="K387" s="170"/>
      <c r="L387" s="170"/>
    </row>
    <row r="388" customFormat="false" ht="15.75" hidden="false" customHeight="true" outlineLevel="0" collapsed="false">
      <c r="A388" s="170"/>
      <c r="B388" s="170"/>
      <c r="C388" s="170"/>
      <c r="E388" s="170"/>
      <c r="F388" s="170"/>
      <c r="G388" s="170"/>
      <c r="H388" s="170"/>
      <c r="I388" s="170"/>
      <c r="J388" s="170"/>
      <c r="K388" s="170"/>
      <c r="L388" s="170"/>
    </row>
    <row r="389" customFormat="false" ht="15.75" hidden="false" customHeight="true" outlineLevel="0" collapsed="false">
      <c r="A389" s="170"/>
      <c r="B389" s="170"/>
      <c r="C389" s="170"/>
      <c r="E389" s="170"/>
      <c r="F389" s="170"/>
      <c r="G389" s="170"/>
      <c r="H389" s="170"/>
      <c r="I389" s="170"/>
      <c r="J389" s="170"/>
      <c r="K389" s="170"/>
      <c r="L389" s="170"/>
    </row>
    <row r="390" customFormat="false" ht="15.75" hidden="false" customHeight="true" outlineLevel="0" collapsed="false">
      <c r="A390" s="170"/>
      <c r="B390" s="170"/>
      <c r="C390" s="170"/>
      <c r="E390" s="170"/>
      <c r="F390" s="170"/>
      <c r="G390" s="170"/>
      <c r="H390" s="170"/>
      <c r="I390" s="170"/>
      <c r="J390" s="170"/>
      <c r="K390" s="170"/>
      <c r="L390" s="170"/>
    </row>
    <row r="391" customFormat="false" ht="15.75" hidden="false" customHeight="true" outlineLevel="0" collapsed="false">
      <c r="A391" s="170"/>
      <c r="B391" s="170"/>
      <c r="C391" s="170"/>
      <c r="E391" s="170"/>
      <c r="F391" s="170"/>
      <c r="G391" s="170"/>
      <c r="H391" s="170"/>
      <c r="I391" s="170"/>
      <c r="J391" s="170"/>
      <c r="K391" s="170"/>
      <c r="L391" s="170"/>
    </row>
    <row r="392" customFormat="false" ht="15.75" hidden="false" customHeight="true" outlineLevel="0" collapsed="false">
      <c r="A392" s="170"/>
      <c r="B392" s="170"/>
      <c r="C392" s="170"/>
      <c r="E392" s="170"/>
      <c r="F392" s="170"/>
      <c r="G392" s="170"/>
      <c r="H392" s="170"/>
      <c r="I392" s="170"/>
      <c r="J392" s="170"/>
      <c r="K392" s="170"/>
      <c r="L392" s="170"/>
    </row>
    <row r="393" customFormat="false" ht="15.75" hidden="false" customHeight="true" outlineLevel="0" collapsed="false">
      <c r="A393" s="170"/>
      <c r="B393" s="170"/>
      <c r="C393" s="170"/>
      <c r="E393" s="170"/>
      <c r="F393" s="170"/>
      <c r="G393" s="170"/>
      <c r="H393" s="170"/>
      <c r="I393" s="170"/>
      <c r="J393" s="170"/>
      <c r="K393" s="170"/>
      <c r="L393" s="170"/>
    </row>
    <row r="394" customFormat="false" ht="15.75" hidden="false" customHeight="true" outlineLevel="0" collapsed="false">
      <c r="A394" s="170"/>
      <c r="B394" s="170"/>
      <c r="C394" s="170"/>
      <c r="E394" s="170"/>
      <c r="F394" s="170"/>
      <c r="G394" s="170"/>
      <c r="H394" s="170"/>
      <c r="I394" s="170"/>
      <c r="J394" s="170"/>
      <c r="K394" s="170"/>
      <c r="L394" s="170"/>
    </row>
    <row r="395" customFormat="false" ht="15.75" hidden="false" customHeight="true" outlineLevel="0" collapsed="false">
      <c r="A395" s="170"/>
      <c r="B395" s="170"/>
      <c r="C395" s="170"/>
      <c r="E395" s="170"/>
      <c r="F395" s="170"/>
      <c r="G395" s="170"/>
      <c r="H395" s="170"/>
      <c r="I395" s="170"/>
      <c r="J395" s="170"/>
      <c r="K395" s="170"/>
      <c r="L395" s="170"/>
    </row>
    <row r="396" customFormat="false" ht="15.75" hidden="false" customHeight="true" outlineLevel="0" collapsed="false">
      <c r="A396" s="170"/>
      <c r="B396" s="170"/>
      <c r="C396" s="170"/>
      <c r="E396" s="170"/>
      <c r="F396" s="170"/>
      <c r="G396" s="170"/>
      <c r="H396" s="170"/>
      <c r="I396" s="170"/>
      <c r="J396" s="170"/>
      <c r="K396" s="170"/>
      <c r="L396" s="170"/>
    </row>
    <row r="397" customFormat="false" ht="15.75" hidden="false" customHeight="true" outlineLevel="0" collapsed="false">
      <c r="A397" s="170"/>
      <c r="B397" s="170"/>
      <c r="C397" s="170"/>
      <c r="E397" s="170"/>
      <c r="F397" s="170"/>
      <c r="G397" s="170"/>
      <c r="H397" s="170"/>
      <c r="I397" s="170"/>
      <c r="J397" s="170"/>
      <c r="K397" s="170"/>
      <c r="L397" s="170"/>
    </row>
    <row r="398" customFormat="false" ht="15.75" hidden="false" customHeight="true" outlineLevel="0" collapsed="false">
      <c r="A398" s="170"/>
      <c r="B398" s="170"/>
      <c r="C398" s="170"/>
      <c r="E398" s="170"/>
      <c r="F398" s="170"/>
      <c r="G398" s="170"/>
      <c r="H398" s="170"/>
      <c r="I398" s="170"/>
      <c r="J398" s="170"/>
      <c r="K398" s="170"/>
      <c r="L398" s="170"/>
    </row>
    <row r="399" customFormat="false" ht="15.75" hidden="false" customHeight="true" outlineLevel="0" collapsed="false">
      <c r="A399" s="170"/>
      <c r="B399" s="170"/>
      <c r="C399" s="170"/>
      <c r="E399" s="170"/>
      <c r="F399" s="170"/>
      <c r="G399" s="170"/>
      <c r="H399" s="170"/>
      <c r="I399" s="170"/>
      <c r="J399" s="170"/>
      <c r="K399" s="170"/>
      <c r="L399" s="170"/>
    </row>
    <row r="400" customFormat="false" ht="15.75" hidden="false" customHeight="true" outlineLevel="0" collapsed="false">
      <c r="A400" s="170"/>
      <c r="B400" s="170"/>
      <c r="C400" s="170"/>
      <c r="E400" s="170"/>
      <c r="F400" s="170"/>
      <c r="G400" s="170"/>
      <c r="H400" s="170"/>
      <c r="I400" s="170"/>
      <c r="J400" s="170"/>
      <c r="K400" s="170"/>
      <c r="L400" s="170"/>
    </row>
    <row r="401" customFormat="false" ht="15.75" hidden="false" customHeight="true" outlineLevel="0" collapsed="false">
      <c r="A401" s="170"/>
      <c r="B401" s="170"/>
      <c r="C401" s="170"/>
      <c r="E401" s="170"/>
      <c r="F401" s="170"/>
      <c r="G401" s="170"/>
      <c r="H401" s="170"/>
      <c r="I401" s="170"/>
      <c r="J401" s="170"/>
      <c r="K401" s="170"/>
      <c r="L401" s="170"/>
    </row>
    <row r="402" customFormat="false" ht="15.75" hidden="false" customHeight="true" outlineLevel="0" collapsed="false">
      <c r="A402" s="170"/>
      <c r="B402" s="170"/>
      <c r="C402" s="170"/>
      <c r="E402" s="170"/>
      <c r="F402" s="170"/>
      <c r="G402" s="170"/>
      <c r="H402" s="170"/>
      <c r="I402" s="170"/>
      <c r="J402" s="170"/>
      <c r="K402" s="170"/>
      <c r="L402" s="170"/>
    </row>
    <row r="403" customFormat="false" ht="15.75" hidden="false" customHeight="true" outlineLevel="0" collapsed="false">
      <c r="A403" s="170"/>
      <c r="B403" s="170"/>
      <c r="C403" s="170"/>
      <c r="E403" s="170"/>
      <c r="F403" s="170"/>
      <c r="G403" s="170"/>
      <c r="H403" s="170"/>
      <c r="I403" s="170"/>
      <c r="J403" s="170"/>
      <c r="K403" s="170"/>
      <c r="L403" s="170"/>
    </row>
    <row r="404" customFormat="false" ht="15.75" hidden="false" customHeight="true" outlineLevel="0" collapsed="false">
      <c r="A404" s="170"/>
      <c r="B404" s="170"/>
      <c r="C404" s="170"/>
      <c r="E404" s="170"/>
      <c r="F404" s="170"/>
      <c r="G404" s="170"/>
      <c r="H404" s="170"/>
      <c r="I404" s="170"/>
      <c r="J404" s="170"/>
      <c r="K404" s="170"/>
      <c r="L404" s="170"/>
    </row>
    <row r="405" customFormat="false" ht="15.75" hidden="false" customHeight="true" outlineLevel="0" collapsed="false">
      <c r="A405" s="170"/>
      <c r="B405" s="170"/>
      <c r="C405" s="170"/>
      <c r="E405" s="170"/>
      <c r="F405" s="170"/>
      <c r="G405" s="170"/>
      <c r="H405" s="170"/>
      <c r="I405" s="170"/>
      <c r="J405" s="170"/>
      <c r="K405" s="170"/>
      <c r="L405" s="170"/>
    </row>
    <row r="406" customFormat="false" ht="15.75" hidden="false" customHeight="true" outlineLevel="0" collapsed="false">
      <c r="A406" s="170"/>
      <c r="B406" s="170"/>
      <c r="C406" s="170"/>
      <c r="E406" s="170"/>
      <c r="F406" s="170"/>
      <c r="G406" s="170"/>
      <c r="H406" s="170"/>
      <c r="I406" s="170"/>
      <c r="J406" s="170"/>
      <c r="K406" s="170"/>
      <c r="L406" s="170"/>
    </row>
    <row r="407" customFormat="false" ht="15.75" hidden="false" customHeight="true" outlineLevel="0" collapsed="false">
      <c r="A407" s="170"/>
      <c r="B407" s="170"/>
      <c r="C407" s="170"/>
      <c r="E407" s="170"/>
      <c r="F407" s="170"/>
      <c r="G407" s="170"/>
      <c r="H407" s="170"/>
      <c r="I407" s="170"/>
      <c r="J407" s="170"/>
      <c r="K407" s="170"/>
      <c r="L407" s="170"/>
    </row>
    <row r="408" customFormat="false" ht="15.75" hidden="false" customHeight="true" outlineLevel="0" collapsed="false">
      <c r="A408" s="170"/>
      <c r="B408" s="170"/>
      <c r="C408" s="170"/>
      <c r="E408" s="170"/>
      <c r="F408" s="170"/>
      <c r="G408" s="170"/>
      <c r="H408" s="170"/>
      <c r="I408" s="170"/>
      <c r="J408" s="170"/>
      <c r="K408" s="170"/>
      <c r="L408" s="170"/>
    </row>
    <row r="409" customFormat="false" ht="15.75" hidden="false" customHeight="true" outlineLevel="0" collapsed="false">
      <c r="A409" s="170"/>
      <c r="B409" s="170"/>
      <c r="C409" s="170"/>
      <c r="E409" s="170"/>
      <c r="F409" s="170"/>
      <c r="G409" s="170"/>
      <c r="H409" s="170"/>
      <c r="I409" s="170"/>
      <c r="J409" s="170"/>
      <c r="K409" s="170"/>
      <c r="L409" s="170"/>
    </row>
    <row r="410" customFormat="false" ht="15.75" hidden="false" customHeight="true" outlineLevel="0" collapsed="false">
      <c r="A410" s="170"/>
      <c r="B410" s="170"/>
      <c r="C410" s="170"/>
      <c r="E410" s="170"/>
      <c r="F410" s="170"/>
      <c r="G410" s="170"/>
      <c r="H410" s="170"/>
      <c r="I410" s="170"/>
      <c r="J410" s="170"/>
      <c r="K410" s="170"/>
      <c r="L410" s="170"/>
    </row>
    <row r="411" customFormat="false" ht="15.75" hidden="false" customHeight="true" outlineLevel="0" collapsed="false">
      <c r="A411" s="170"/>
      <c r="B411" s="170"/>
      <c r="C411" s="170"/>
      <c r="E411" s="170"/>
      <c r="F411" s="170"/>
      <c r="G411" s="170"/>
      <c r="H411" s="170"/>
      <c r="I411" s="170"/>
      <c r="J411" s="170"/>
      <c r="K411" s="170"/>
      <c r="L411" s="170"/>
    </row>
    <row r="412" customFormat="false" ht="15.75" hidden="false" customHeight="true" outlineLevel="0" collapsed="false">
      <c r="A412" s="170"/>
      <c r="B412" s="170"/>
      <c r="C412" s="170"/>
      <c r="E412" s="170"/>
      <c r="F412" s="170"/>
      <c r="G412" s="170"/>
      <c r="H412" s="170"/>
      <c r="I412" s="170"/>
      <c r="J412" s="170"/>
      <c r="K412" s="170"/>
      <c r="L412" s="170"/>
    </row>
    <row r="413" customFormat="false" ht="15.75" hidden="false" customHeight="true" outlineLevel="0" collapsed="false">
      <c r="A413" s="170"/>
      <c r="B413" s="170"/>
      <c r="C413" s="170"/>
      <c r="E413" s="170"/>
      <c r="F413" s="170"/>
      <c r="G413" s="170"/>
      <c r="H413" s="170"/>
      <c r="I413" s="170"/>
      <c r="J413" s="170"/>
      <c r="K413" s="170"/>
      <c r="L413" s="170"/>
    </row>
    <row r="414" customFormat="false" ht="15.75" hidden="false" customHeight="true" outlineLevel="0" collapsed="false">
      <c r="A414" s="170"/>
      <c r="B414" s="170"/>
      <c r="C414" s="170"/>
      <c r="E414" s="170"/>
      <c r="F414" s="170"/>
      <c r="G414" s="170"/>
      <c r="H414" s="170"/>
      <c r="I414" s="170"/>
      <c r="J414" s="170"/>
      <c r="K414" s="170"/>
      <c r="L414" s="170"/>
    </row>
    <row r="415" customFormat="false" ht="15.75" hidden="false" customHeight="true" outlineLevel="0" collapsed="false">
      <c r="A415" s="170"/>
      <c r="B415" s="170"/>
      <c r="C415" s="170"/>
      <c r="E415" s="170"/>
      <c r="F415" s="170"/>
      <c r="G415" s="170"/>
      <c r="H415" s="170"/>
      <c r="I415" s="170"/>
      <c r="J415" s="170"/>
      <c r="K415" s="170"/>
      <c r="L415" s="170"/>
    </row>
    <row r="416" customFormat="false" ht="15.75" hidden="false" customHeight="true" outlineLevel="0" collapsed="false">
      <c r="A416" s="170"/>
      <c r="B416" s="170"/>
      <c r="C416" s="170"/>
      <c r="E416" s="170"/>
      <c r="F416" s="170"/>
      <c r="G416" s="170"/>
      <c r="H416" s="170"/>
      <c r="I416" s="170"/>
      <c r="J416" s="170"/>
      <c r="K416" s="170"/>
      <c r="L416" s="170"/>
    </row>
    <row r="417" customFormat="false" ht="15.75" hidden="false" customHeight="true" outlineLevel="0" collapsed="false">
      <c r="A417" s="170"/>
      <c r="B417" s="170"/>
      <c r="C417" s="170"/>
      <c r="E417" s="170"/>
      <c r="F417" s="170"/>
      <c r="G417" s="170"/>
      <c r="H417" s="170"/>
      <c r="I417" s="170"/>
      <c r="J417" s="170"/>
      <c r="K417" s="170"/>
      <c r="L417" s="170"/>
    </row>
    <row r="418" customFormat="false" ht="15.75" hidden="false" customHeight="true" outlineLevel="0" collapsed="false">
      <c r="A418" s="170"/>
      <c r="B418" s="170"/>
      <c r="C418" s="170"/>
      <c r="E418" s="170"/>
      <c r="F418" s="170"/>
      <c r="G418" s="170"/>
      <c r="H418" s="170"/>
      <c r="I418" s="170"/>
      <c r="J418" s="170"/>
      <c r="K418" s="170"/>
      <c r="L418" s="170"/>
    </row>
    <row r="419" customFormat="false" ht="15.75" hidden="false" customHeight="true" outlineLevel="0" collapsed="false">
      <c r="A419" s="170"/>
      <c r="B419" s="170"/>
      <c r="C419" s="170"/>
      <c r="E419" s="170"/>
      <c r="F419" s="170"/>
      <c r="G419" s="170"/>
      <c r="H419" s="170"/>
      <c r="I419" s="170"/>
      <c r="J419" s="170"/>
      <c r="K419" s="170"/>
      <c r="L419" s="170"/>
    </row>
    <row r="420" customFormat="false" ht="15.75" hidden="false" customHeight="true" outlineLevel="0" collapsed="false">
      <c r="A420" s="170"/>
      <c r="B420" s="170"/>
      <c r="C420" s="170"/>
      <c r="E420" s="170"/>
      <c r="F420" s="170"/>
      <c r="G420" s="170"/>
      <c r="H420" s="170"/>
      <c r="I420" s="170"/>
      <c r="J420" s="170"/>
      <c r="K420" s="170"/>
      <c r="L420" s="170"/>
    </row>
    <row r="421" customFormat="false" ht="15.75" hidden="false" customHeight="true" outlineLevel="0" collapsed="false">
      <c r="A421" s="170"/>
      <c r="B421" s="170"/>
      <c r="C421" s="170"/>
      <c r="E421" s="170"/>
      <c r="F421" s="170"/>
      <c r="G421" s="170"/>
      <c r="H421" s="170"/>
      <c r="I421" s="170"/>
      <c r="J421" s="170"/>
      <c r="K421" s="170"/>
      <c r="L421" s="170"/>
    </row>
    <row r="422" customFormat="false" ht="15.75" hidden="false" customHeight="true" outlineLevel="0" collapsed="false">
      <c r="A422" s="170"/>
      <c r="B422" s="170"/>
      <c r="C422" s="170"/>
      <c r="E422" s="170"/>
      <c r="F422" s="170"/>
      <c r="G422" s="170"/>
      <c r="H422" s="170"/>
      <c r="I422" s="170"/>
      <c r="J422" s="170"/>
      <c r="K422" s="170"/>
      <c r="L422" s="170"/>
    </row>
    <row r="423" customFormat="false" ht="15.75" hidden="false" customHeight="true" outlineLevel="0" collapsed="false">
      <c r="A423" s="170"/>
      <c r="B423" s="170"/>
      <c r="C423" s="170"/>
      <c r="E423" s="170"/>
      <c r="F423" s="170"/>
      <c r="G423" s="170"/>
      <c r="H423" s="170"/>
      <c r="I423" s="170"/>
      <c r="J423" s="170"/>
      <c r="K423" s="170"/>
      <c r="L423" s="170"/>
    </row>
    <row r="424" customFormat="false" ht="15.75" hidden="false" customHeight="true" outlineLevel="0" collapsed="false">
      <c r="A424" s="170"/>
      <c r="B424" s="170"/>
      <c r="C424" s="170"/>
      <c r="E424" s="170"/>
      <c r="F424" s="170"/>
      <c r="G424" s="170"/>
      <c r="H424" s="170"/>
      <c r="I424" s="170"/>
      <c r="J424" s="170"/>
      <c r="K424" s="170"/>
      <c r="L424" s="170"/>
    </row>
    <row r="425" customFormat="false" ht="15.75" hidden="false" customHeight="true" outlineLevel="0" collapsed="false">
      <c r="A425" s="170"/>
      <c r="B425" s="170"/>
      <c r="C425" s="170"/>
      <c r="E425" s="170"/>
      <c r="F425" s="170"/>
      <c r="G425" s="170"/>
      <c r="H425" s="170"/>
      <c r="I425" s="170"/>
      <c r="J425" s="170"/>
      <c r="K425" s="170"/>
      <c r="L425" s="170"/>
    </row>
    <row r="426" customFormat="false" ht="15.75" hidden="false" customHeight="true" outlineLevel="0" collapsed="false">
      <c r="A426" s="170"/>
      <c r="B426" s="170"/>
      <c r="C426" s="170"/>
      <c r="E426" s="170"/>
      <c r="F426" s="170"/>
      <c r="G426" s="170"/>
      <c r="H426" s="170"/>
      <c r="I426" s="170"/>
      <c r="J426" s="170"/>
      <c r="K426" s="170"/>
      <c r="L426" s="170"/>
    </row>
    <row r="427" customFormat="false" ht="15.75" hidden="false" customHeight="true" outlineLevel="0" collapsed="false">
      <c r="A427" s="170"/>
      <c r="B427" s="170"/>
      <c r="C427" s="170"/>
      <c r="E427" s="170"/>
      <c r="F427" s="170"/>
      <c r="G427" s="170"/>
      <c r="H427" s="170"/>
      <c r="I427" s="170"/>
      <c r="J427" s="170"/>
      <c r="K427" s="170"/>
      <c r="L427" s="170"/>
    </row>
    <row r="428" customFormat="false" ht="15.75" hidden="false" customHeight="true" outlineLevel="0" collapsed="false">
      <c r="A428" s="170"/>
      <c r="B428" s="170"/>
      <c r="C428" s="170"/>
      <c r="E428" s="170"/>
      <c r="F428" s="170"/>
      <c r="G428" s="170"/>
      <c r="H428" s="170"/>
      <c r="I428" s="170"/>
      <c r="J428" s="170"/>
      <c r="K428" s="170"/>
      <c r="L428" s="170"/>
    </row>
    <row r="429" customFormat="false" ht="15.75" hidden="false" customHeight="true" outlineLevel="0" collapsed="false">
      <c r="A429" s="170"/>
      <c r="B429" s="170"/>
      <c r="C429" s="170"/>
      <c r="E429" s="170"/>
      <c r="F429" s="170"/>
      <c r="G429" s="170"/>
      <c r="H429" s="170"/>
      <c r="I429" s="170"/>
      <c r="J429" s="170"/>
      <c r="K429" s="170"/>
      <c r="L429" s="170"/>
    </row>
    <row r="430" customFormat="false" ht="15.75" hidden="false" customHeight="true" outlineLevel="0" collapsed="false">
      <c r="A430" s="170"/>
      <c r="B430" s="170"/>
      <c r="C430" s="170"/>
      <c r="E430" s="170"/>
      <c r="F430" s="170"/>
      <c r="G430" s="170"/>
      <c r="H430" s="170"/>
      <c r="I430" s="170"/>
      <c r="J430" s="170"/>
      <c r="K430" s="170"/>
      <c r="L430" s="170"/>
    </row>
    <row r="431" customFormat="false" ht="15.75" hidden="false" customHeight="true" outlineLevel="0" collapsed="false">
      <c r="A431" s="170"/>
      <c r="B431" s="170"/>
      <c r="C431" s="170"/>
      <c r="E431" s="170"/>
      <c r="F431" s="170"/>
      <c r="G431" s="170"/>
      <c r="H431" s="170"/>
      <c r="I431" s="170"/>
      <c r="J431" s="170"/>
      <c r="K431" s="170"/>
      <c r="L431" s="170"/>
    </row>
    <row r="432" customFormat="false" ht="15.75" hidden="false" customHeight="true" outlineLevel="0" collapsed="false">
      <c r="A432" s="170"/>
      <c r="B432" s="170"/>
      <c r="C432" s="170"/>
      <c r="E432" s="170"/>
      <c r="F432" s="170"/>
      <c r="G432" s="170"/>
      <c r="H432" s="170"/>
      <c r="I432" s="170"/>
      <c r="J432" s="170"/>
      <c r="K432" s="170"/>
      <c r="L432" s="170"/>
    </row>
    <row r="433" customFormat="false" ht="15.75" hidden="false" customHeight="true" outlineLevel="0" collapsed="false">
      <c r="A433" s="170"/>
      <c r="B433" s="170"/>
      <c r="C433" s="170"/>
      <c r="E433" s="170"/>
      <c r="F433" s="170"/>
      <c r="G433" s="170"/>
      <c r="H433" s="170"/>
      <c r="I433" s="170"/>
      <c r="J433" s="170"/>
      <c r="K433" s="170"/>
      <c r="L433" s="170"/>
    </row>
    <row r="434" customFormat="false" ht="15.75" hidden="false" customHeight="true" outlineLevel="0" collapsed="false">
      <c r="A434" s="170"/>
      <c r="B434" s="170"/>
      <c r="C434" s="170"/>
      <c r="E434" s="170"/>
      <c r="F434" s="170"/>
      <c r="G434" s="170"/>
      <c r="H434" s="170"/>
      <c r="I434" s="170"/>
      <c r="J434" s="170"/>
      <c r="K434" s="170"/>
      <c r="L434" s="170"/>
    </row>
    <row r="435" customFormat="false" ht="15.75" hidden="false" customHeight="true" outlineLevel="0" collapsed="false">
      <c r="A435" s="170"/>
      <c r="B435" s="170"/>
      <c r="C435" s="170"/>
      <c r="E435" s="170"/>
      <c r="F435" s="170"/>
      <c r="G435" s="170"/>
      <c r="H435" s="170"/>
      <c r="I435" s="170"/>
      <c r="J435" s="170"/>
      <c r="K435" s="170"/>
      <c r="L435" s="170"/>
    </row>
    <row r="436" customFormat="false" ht="15.75" hidden="false" customHeight="true" outlineLevel="0" collapsed="false">
      <c r="A436" s="170"/>
      <c r="B436" s="170"/>
      <c r="C436" s="170"/>
      <c r="E436" s="170"/>
      <c r="F436" s="170"/>
      <c r="G436" s="170"/>
      <c r="H436" s="170"/>
      <c r="I436" s="170"/>
      <c r="J436" s="170"/>
      <c r="K436" s="170"/>
      <c r="L436" s="170"/>
    </row>
    <row r="437" customFormat="false" ht="15.75" hidden="false" customHeight="true" outlineLevel="0" collapsed="false">
      <c r="A437" s="170"/>
      <c r="B437" s="170"/>
      <c r="C437" s="170"/>
      <c r="E437" s="170"/>
      <c r="F437" s="170"/>
      <c r="G437" s="170"/>
      <c r="H437" s="170"/>
      <c r="I437" s="170"/>
      <c r="J437" s="170"/>
      <c r="K437" s="170"/>
      <c r="L437" s="170"/>
    </row>
    <row r="438" customFormat="false" ht="15.75" hidden="false" customHeight="true" outlineLevel="0" collapsed="false">
      <c r="A438" s="170"/>
      <c r="B438" s="170"/>
      <c r="C438" s="170"/>
      <c r="E438" s="170"/>
      <c r="F438" s="170"/>
      <c r="G438" s="170"/>
      <c r="H438" s="170"/>
      <c r="I438" s="170"/>
      <c r="J438" s="170"/>
      <c r="K438" s="170"/>
      <c r="L438" s="170"/>
    </row>
    <row r="439" customFormat="false" ht="15.75" hidden="false" customHeight="true" outlineLevel="0" collapsed="false">
      <c r="A439" s="170"/>
      <c r="B439" s="170"/>
      <c r="C439" s="170"/>
      <c r="E439" s="170"/>
      <c r="F439" s="170"/>
      <c r="G439" s="170"/>
      <c r="H439" s="170"/>
      <c r="I439" s="170"/>
      <c r="J439" s="170"/>
      <c r="K439" s="170"/>
      <c r="L439" s="170"/>
    </row>
    <row r="440" customFormat="false" ht="15.75" hidden="false" customHeight="true" outlineLevel="0" collapsed="false">
      <c r="A440" s="170"/>
      <c r="B440" s="170"/>
      <c r="C440" s="170"/>
      <c r="E440" s="170"/>
      <c r="F440" s="170"/>
      <c r="G440" s="170"/>
      <c r="H440" s="170"/>
      <c r="I440" s="170"/>
      <c r="J440" s="170"/>
      <c r="K440" s="170"/>
      <c r="L440" s="170"/>
    </row>
    <row r="441" customFormat="false" ht="15.75" hidden="false" customHeight="true" outlineLevel="0" collapsed="false">
      <c r="A441" s="170"/>
      <c r="B441" s="170"/>
      <c r="C441" s="170"/>
      <c r="E441" s="170"/>
      <c r="F441" s="170"/>
      <c r="G441" s="170"/>
      <c r="H441" s="170"/>
      <c r="I441" s="170"/>
      <c r="J441" s="170"/>
      <c r="K441" s="170"/>
      <c r="L441" s="170"/>
    </row>
    <row r="442" customFormat="false" ht="15.75" hidden="false" customHeight="true" outlineLevel="0" collapsed="false">
      <c r="A442" s="170"/>
      <c r="B442" s="170"/>
      <c r="C442" s="170"/>
      <c r="E442" s="170"/>
      <c r="F442" s="170"/>
      <c r="G442" s="170"/>
      <c r="H442" s="170"/>
      <c r="I442" s="170"/>
      <c r="J442" s="170"/>
      <c r="K442" s="170"/>
      <c r="L442" s="170"/>
    </row>
    <row r="443" customFormat="false" ht="15.75" hidden="false" customHeight="true" outlineLevel="0" collapsed="false">
      <c r="A443" s="170"/>
      <c r="B443" s="170"/>
      <c r="C443" s="170"/>
      <c r="E443" s="170"/>
      <c r="F443" s="170"/>
      <c r="G443" s="170"/>
      <c r="H443" s="170"/>
      <c r="I443" s="170"/>
      <c r="J443" s="170"/>
      <c r="K443" s="170"/>
      <c r="L443" s="170"/>
    </row>
    <row r="444" customFormat="false" ht="15.75" hidden="false" customHeight="true" outlineLevel="0" collapsed="false">
      <c r="A444" s="170"/>
      <c r="B444" s="170"/>
      <c r="C444" s="170"/>
      <c r="E444" s="170"/>
      <c r="F444" s="170"/>
      <c r="G444" s="170"/>
      <c r="H444" s="170"/>
      <c r="I444" s="170"/>
      <c r="J444" s="170"/>
      <c r="K444" s="170"/>
      <c r="L444" s="170"/>
    </row>
    <row r="445" customFormat="false" ht="15.75" hidden="false" customHeight="true" outlineLevel="0" collapsed="false">
      <c r="A445" s="170"/>
      <c r="B445" s="170"/>
      <c r="C445" s="170"/>
      <c r="E445" s="170"/>
      <c r="F445" s="170"/>
      <c r="G445" s="170"/>
      <c r="H445" s="170"/>
      <c r="I445" s="170"/>
      <c r="J445" s="170"/>
      <c r="K445" s="170"/>
      <c r="L445" s="170"/>
    </row>
    <row r="446" customFormat="false" ht="15.75" hidden="false" customHeight="true" outlineLevel="0" collapsed="false">
      <c r="A446" s="170"/>
      <c r="B446" s="170"/>
      <c r="C446" s="170"/>
      <c r="E446" s="170"/>
      <c r="F446" s="170"/>
      <c r="G446" s="170"/>
      <c r="H446" s="170"/>
      <c r="I446" s="170"/>
      <c r="J446" s="170"/>
      <c r="K446" s="170"/>
      <c r="L446" s="170"/>
    </row>
    <row r="447" customFormat="false" ht="15.75" hidden="false" customHeight="true" outlineLevel="0" collapsed="false">
      <c r="A447" s="170"/>
      <c r="B447" s="170"/>
      <c r="C447" s="170"/>
      <c r="E447" s="170"/>
      <c r="F447" s="170"/>
      <c r="G447" s="170"/>
      <c r="H447" s="170"/>
      <c r="I447" s="170"/>
      <c r="J447" s="170"/>
      <c r="K447" s="170"/>
      <c r="L447" s="170"/>
    </row>
    <row r="448" customFormat="false" ht="15.75" hidden="false" customHeight="true" outlineLevel="0" collapsed="false">
      <c r="A448" s="170"/>
      <c r="B448" s="170"/>
      <c r="C448" s="170"/>
      <c r="E448" s="170"/>
      <c r="F448" s="170"/>
      <c r="G448" s="170"/>
      <c r="H448" s="170"/>
      <c r="I448" s="170"/>
      <c r="J448" s="170"/>
      <c r="K448" s="170"/>
      <c r="L448" s="170"/>
    </row>
    <row r="449" customFormat="false" ht="15.75" hidden="false" customHeight="true" outlineLevel="0" collapsed="false">
      <c r="A449" s="170"/>
      <c r="B449" s="170"/>
      <c r="C449" s="170"/>
      <c r="E449" s="170"/>
      <c r="F449" s="170"/>
      <c r="G449" s="170"/>
      <c r="H449" s="170"/>
      <c r="I449" s="170"/>
      <c r="J449" s="170"/>
      <c r="K449" s="170"/>
      <c r="L449" s="170"/>
    </row>
    <row r="450" customFormat="false" ht="15.75" hidden="false" customHeight="true" outlineLevel="0" collapsed="false">
      <c r="A450" s="170"/>
      <c r="B450" s="170"/>
      <c r="C450" s="170"/>
      <c r="E450" s="170"/>
      <c r="F450" s="170"/>
      <c r="G450" s="170"/>
      <c r="H450" s="170"/>
      <c r="I450" s="170"/>
      <c r="J450" s="170"/>
      <c r="K450" s="170"/>
      <c r="L450" s="170"/>
    </row>
    <row r="451" customFormat="false" ht="15.75" hidden="false" customHeight="true" outlineLevel="0" collapsed="false">
      <c r="A451" s="170"/>
      <c r="B451" s="170"/>
      <c r="C451" s="170"/>
      <c r="E451" s="170"/>
      <c r="F451" s="170"/>
      <c r="G451" s="170"/>
      <c r="H451" s="170"/>
      <c r="I451" s="170"/>
      <c r="J451" s="170"/>
      <c r="K451" s="170"/>
      <c r="L451" s="170"/>
    </row>
    <row r="452" customFormat="false" ht="15.75" hidden="false" customHeight="true" outlineLevel="0" collapsed="false">
      <c r="A452" s="170"/>
      <c r="B452" s="170"/>
      <c r="C452" s="170"/>
      <c r="E452" s="170"/>
      <c r="F452" s="170"/>
      <c r="G452" s="170"/>
      <c r="H452" s="170"/>
      <c r="I452" s="170"/>
      <c r="J452" s="170"/>
      <c r="K452" s="170"/>
      <c r="L452" s="170"/>
    </row>
    <row r="453" customFormat="false" ht="15.75" hidden="false" customHeight="true" outlineLevel="0" collapsed="false">
      <c r="A453" s="170"/>
      <c r="B453" s="170"/>
      <c r="C453" s="170"/>
      <c r="E453" s="170"/>
      <c r="F453" s="170"/>
      <c r="G453" s="170"/>
      <c r="H453" s="170"/>
      <c r="I453" s="170"/>
      <c r="J453" s="170"/>
      <c r="K453" s="170"/>
      <c r="L453" s="170"/>
    </row>
    <row r="454" customFormat="false" ht="15.75" hidden="false" customHeight="true" outlineLevel="0" collapsed="false">
      <c r="A454" s="170"/>
      <c r="B454" s="170"/>
      <c r="C454" s="170"/>
      <c r="E454" s="170"/>
      <c r="F454" s="170"/>
      <c r="G454" s="170"/>
      <c r="H454" s="170"/>
      <c r="I454" s="170"/>
      <c r="J454" s="170"/>
      <c r="K454" s="170"/>
      <c r="L454" s="170"/>
    </row>
    <row r="455" customFormat="false" ht="15.75" hidden="false" customHeight="true" outlineLevel="0" collapsed="false">
      <c r="A455" s="170"/>
      <c r="B455" s="170"/>
      <c r="C455" s="170"/>
      <c r="E455" s="170"/>
      <c r="F455" s="170"/>
      <c r="G455" s="170"/>
      <c r="H455" s="170"/>
      <c r="I455" s="170"/>
      <c r="J455" s="170"/>
      <c r="K455" s="170"/>
      <c r="L455" s="170"/>
    </row>
    <row r="456" customFormat="false" ht="15.75" hidden="false" customHeight="true" outlineLevel="0" collapsed="false">
      <c r="A456" s="170"/>
      <c r="B456" s="170"/>
      <c r="C456" s="170"/>
      <c r="E456" s="170"/>
      <c r="F456" s="170"/>
      <c r="G456" s="170"/>
      <c r="H456" s="170"/>
      <c r="I456" s="170"/>
      <c r="J456" s="170"/>
      <c r="K456" s="170"/>
      <c r="L456" s="170"/>
    </row>
    <row r="457" customFormat="false" ht="15.75" hidden="false" customHeight="true" outlineLevel="0" collapsed="false">
      <c r="A457" s="170"/>
      <c r="B457" s="170"/>
      <c r="C457" s="170"/>
      <c r="E457" s="170"/>
      <c r="F457" s="170"/>
      <c r="G457" s="170"/>
      <c r="H457" s="170"/>
      <c r="I457" s="170"/>
      <c r="J457" s="170"/>
      <c r="K457" s="170"/>
      <c r="L457" s="170"/>
    </row>
    <row r="458" customFormat="false" ht="15.75" hidden="false" customHeight="true" outlineLevel="0" collapsed="false">
      <c r="A458" s="170"/>
      <c r="B458" s="170"/>
      <c r="C458" s="170"/>
      <c r="E458" s="170"/>
      <c r="F458" s="170"/>
      <c r="G458" s="170"/>
      <c r="H458" s="170"/>
      <c r="I458" s="170"/>
      <c r="J458" s="170"/>
      <c r="K458" s="170"/>
      <c r="L458" s="170"/>
    </row>
    <row r="459" customFormat="false" ht="15.75" hidden="false" customHeight="true" outlineLevel="0" collapsed="false">
      <c r="A459" s="170"/>
      <c r="B459" s="170"/>
      <c r="C459" s="170"/>
      <c r="E459" s="170"/>
      <c r="F459" s="170"/>
      <c r="G459" s="170"/>
      <c r="H459" s="170"/>
      <c r="I459" s="170"/>
      <c r="J459" s="170"/>
      <c r="K459" s="170"/>
      <c r="L459" s="170"/>
    </row>
    <row r="460" customFormat="false" ht="15.75" hidden="false" customHeight="true" outlineLevel="0" collapsed="false">
      <c r="A460" s="170"/>
      <c r="B460" s="170"/>
      <c r="C460" s="170"/>
      <c r="E460" s="170"/>
      <c r="F460" s="170"/>
      <c r="G460" s="170"/>
      <c r="H460" s="170"/>
      <c r="I460" s="170"/>
      <c r="J460" s="170"/>
      <c r="K460" s="170"/>
      <c r="L460" s="170"/>
    </row>
    <row r="461" customFormat="false" ht="15.75" hidden="false" customHeight="true" outlineLevel="0" collapsed="false">
      <c r="A461" s="170"/>
      <c r="B461" s="170"/>
      <c r="C461" s="170"/>
      <c r="E461" s="170"/>
      <c r="F461" s="170"/>
      <c r="G461" s="170"/>
      <c r="H461" s="170"/>
      <c r="I461" s="170"/>
      <c r="J461" s="170"/>
      <c r="K461" s="170"/>
      <c r="L461" s="170"/>
    </row>
    <row r="462" customFormat="false" ht="15.75" hidden="false" customHeight="true" outlineLevel="0" collapsed="false">
      <c r="A462" s="170"/>
      <c r="B462" s="170"/>
      <c r="C462" s="170"/>
      <c r="E462" s="170"/>
      <c r="F462" s="170"/>
      <c r="G462" s="170"/>
      <c r="H462" s="170"/>
      <c r="I462" s="170"/>
      <c r="J462" s="170"/>
      <c r="K462" s="170"/>
      <c r="L462" s="170"/>
    </row>
    <row r="463" customFormat="false" ht="15.75" hidden="false" customHeight="true" outlineLevel="0" collapsed="false">
      <c r="A463" s="170"/>
      <c r="B463" s="170"/>
      <c r="C463" s="170"/>
      <c r="E463" s="170"/>
      <c r="F463" s="170"/>
      <c r="G463" s="170"/>
      <c r="H463" s="170"/>
      <c r="I463" s="170"/>
      <c r="J463" s="170"/>
      <c r="K463" s="170"/>
      <c r="L463" s="170"/>
    </row>
    <row r="464" customFormat="false" ht="15.75" hidden="false" customHeight="true" outlineLevel="0" collapsed="false">
      <c r="A464" s="170"/>
      <c r="B464" s="170"/>
      <c r="C464" s="170"/>
      <c r="E464" s="170"/>
      <c r="F464" s="170"/>
      <c r="G464" s="170"/>
      <c r="H464" s="170"/>
      <c r="I464" s="170"/>
      <c r="J464" s="170"/>
      <c r="K464" s="170"/>
      <c r="L464" s="170"/>
    </row>
    <row r="465" customFormat="false" ht="15.75" hidden="false" customHeight="true" outlineLevel="0" collapsed="false">
      <c r="A465" s="170"/>
      <c r="B465" s="170"/>
      <c r="C465" s="170"/>
      <c r="E465" s="170"/>
      <c r="F465" s="170"/>
      <c r="G465" s="170"/>
      <c r="H465" s="170"/>
      <c r="I465" s="170"/>
      <c r="J465" s="170"/>
      <c r="K465" s="170"/>
      <c r="L465" s="170"/>
    </row>
    <row r="466" customFormat="false" ht="15.75" hidden="false" customHeight="true" outlineLevel="0" collapsed="false">
      <c r="A466" s="170"/>
      <c r="B466" s="170"/>
      <c r="C466" s="170"/>
      <c r="E466" s="170"/>
      <c r="F466" s="170"/>
      <c r="G466" s="170"/>
      <c r="H466" s="170"/>
      <c r="I466" s="170"/>
      <c r="J466" s="170"/>
      <c r="K466" s="170"/>
      <c r="L466" s="170"/>
    </row>
    <row r="467" customFormat="false" ht="15.75" hidden="false" customHeight="true" outlineLevel="0" collapsed="false">
      <c r="A467" s="170"/>
      <c r="B467" s="170"/>
      <c r="C467" s="170"/>
      <c r="E467" s="170"/>
      <c r="F467" s="170"/>
      <c r="G467" s="170"/>
      <c r="H467" s="170"/>
      <c r="I467" s="170"/>
      <c r="J467" s="170"/>
      <c r="K467" s="170"/>
      <c r="L467" s="170"/>
    </row>
    <row r="468" customFormat="false" ht="15.75" hidden="false" customHeight="true" outlineLevel="0" collapsed="false">
      <c r="A468" s="170"/>
      <c r="B468" s="170"/>
      <c r="C468" s="170"/>
      <c r="E468" s="170"/>
      <c r="F468" s="170"/>
      <c r="G468" s="170"/>
      <c r="H468" s="170"/>
      <c r="I468" s="170"/>
      <c r="J468" s="170"/>
      <c r="K468" s="170"/>
      <c r="L468" s="170"/>
    </row>
    <row r="469" customFormat="false" ht="15.75" hidden="false" customHeight="true" outlineLevel="0" collapsed="false">
      <c r="A469" s="170"/>
      <c r="B469" s="170"/>
      <c r="C469" s="170"/>
      <c r="E469" s="170"/>
      <c r="F469" s="170"/>
      <c r="G469" s="170"/>
      <c r="H469" s="170"/>
      <c r="I469" s="170"/>
      <c r="J469" s="170"/>
      <c r="K469" s="170"/>
      <c r="L469" s="170"/>
    </row>
    <row r="470" customFormat="false" ht="15.75" hidden="false" customHeight="true" outlineLevel="0" collapsed="false">
      <c r="A470" s="170"/>
      <c r="B470" s="170"/>
      <c r="C470" s="170"/>
      <c r="E470" s="170"/>
      <c r="F470" s="170"/>
      <c r="G470" s="170"/>
      <c r="H470" s="170"/>
      <c r="I470" s="170"/>
      <c r="J470" s="170"/>
      <c r="K470" s="170"/>
      <c r="L470" s="170"/>
    </row>
    <row r="471" customFormat="false" ht="15.75" hidden="false" customHeight="true" outlineLevel="0" collapsed="false">
      <c r="A471" s="170"/>
      <c r="B471" s="170"/>
      <c r="C471" s="170"/>
      <c r="E471" s="170"/>
      <c r="F471" s="170"/>
      <c r="G471" s="170"/>
      <c r="H471" s="170"/>
      <c r="I471" s="170"/>
      <c r="J471" s="170"/>
      <c r="K471" s="170"/>
      <c r="L471" s="170"/>
    </row>
    <row r="472" customFormat="false" ht="15.75" hidden="false" customHeight="true" outlineLevel="0" collapsed="false">
      <c r="A472" s="170"/>
      <c r="B472" s="170"/>
      <c r="C472" s="170"/>
      <c r="E472" s="170"/>
      <c r="F472" s="170"/>
      <c r="G472" s="170"/>
      <c r="H472" s="170"/>
      <c r="I472" s="170"/>
      <c r="J472" s="170"/>
      <c r="K472" s="170"/>
      <c r="L472" s="170"/>
    </row>
    <row r="473" customFormat="false" ht="15.75" hidden="false" customHeight="true" outlineLevel="0" collapsed="false">
      <c r="A473" s="170"/>
      <c r="B473" s="170"/>
      <c r="C473" s="170"/>
      <c r="E473" s="170"/>
      <c r="F473" s="170"/>
      <c r="G473" s="170"/>
      <c r="H473" s="170"/>
      <c r="I473" s="170"/>
      <c r="J473" s="170"/>
      <c r="K473" s="170"/>
      <c r="L473" s="170"/>
    </row>
    <row r="474" customFormat="false" ht="15.75" hidden="false" customHeight="true" outlineLevel="0" collapsed="false">
      <c r="A474" s="170"/>
      <c r="B474" s="170"/>
      <c r="C474" s="170"/>
      <c r="E474" s="170"/>
      <c r="F474" s="170"/>
      <c r="G474" s="170"/>
      <c r="H474" s="170"/>
      <c r="I474" s="170"/>
      <c r="J474" s="170"/>
      <c r="K474" s="170"/>
      <c r="L474" s="170"/>
    </row>
    <row r="475" customFormat="false" ht="15.75" hidden="false" customHeight="true" outlineLevel="0" collapsed="false">
      <c r="A475" s="170"/>
      <c r="B475" s="170"/>
      <c r="C475" s="170"/>
      <c r="E475" s="170"/>
      <c r="F475" s="170"/>
      <c r="G475" s="170"/>
      <c r="H475" s="170"/>
      <c r="I475" s="170"/>
      <c r="J475" s="170"/>
      <c r="K475" s="170"/>
      <c r="L475" s="170"/>
    </row>
    <row r="476" customFormat="false" ht="15.75" hidden="false" customHeight="true" outlineLevel="0" collapsed="false">
      <c r="A476" s="170"/>
      <c r="B476" s="170"/>
      <c r="C476" s="170"/>
      <c r="E476" s="170"/>
      <c r="F476" s="170"/>
      <c r="G476" s="170"/>
      <c r="H476" s="170"/>
      <c r="I476" s="170"/>
      <c r="J476" s="170"/>
      <c r="K476" s="170"/>
      <c r="L476" s="170"/>
    </row>
    <row r="477" customFormat="false" ht="15.75" hidden="false" customHeight="true" outlineLevel="0" collapsed="false">
      <c r="A477" s="170"/>
      <c r="B477" s="170"/>
      <c r="C477" s="170"/>
      <c r="E477" s="170"/>
      <c r="F477" s="170"/>
      <c r="G477" s="170"/>
      <c r="H477" s="170"/>
      <c r="I477" s="170"/>
      <c r="J477" s="170"/>
      <c r="K477" s="170"/>
      <c r="L477" s="170"/>
    </row>
    <row r="478" customFormat="false" ht="15.75" hidden="false" customHeight="true" outlineLevel="0" collapsed="false">
      <c r="A478" s="170"/>
      <c r="B478" s="170"/>
      <c r="C478" s="170"/>
      <c r="E478" s="170"/>
      <c r="F478" s="170"/>
      <c r="G478" s="170"/>
      <c r="H478" s="170"/>
      <c r="I478" s="170"/>
      <c r="J478" s="170"/>
      <c r="K478" s="170"/>
      <c r="L478" s="170"/>
    </row>
    <row r="479" customFormat="false" ht="15.75" hidden="false" customHeight="true" outlineLevel="0" collapsed="false">
      <c r="A479" s="170"/>
      <c r="B479" s="170"/>
      <c r="C479" s="170"/>
      <c r="E479" s="170"/>
      <c r="F479" s="170"/>
      <c r="G479" s="170"/>
      <c r="H479" s="170"/>
      <c r="I479" s="170"/>
      <c r="J479" s="170"/>
      <c r="K479" s="170"/>
      <c r="L479" s="170"/>
    </row>
    <row r="480" customFormat="false" ht="15.75" hidden="false" customHeight="true" outlineLevel="0" collapsed="false">
      <c r="A480" s="170"/>
      <c r="B480" s="170"/>
      <c r="C480" s="170"/>
      <c r="E480" s="170"/>
      <c r="F480" s="170"/>
      <c r="G480" s="170"/>
      <c r="H480" s="170"/>
      <c r="I480" s="170"/>
      <c r="J480" s="170"/>
      <c r="K480" s="170"/>
      <c r="L480" s="170"/>
    </row>
    <row r="481" customFormat="false" ht="15.75" hidden="false" customHeight="true" outlineLevel="0" collapsed="false">
      <c r="A481" s="170"/>
      <c r="B481" s="170"/>
      <c r="C481" s="170"/>
      <c r="E481" s="170"/>
      <c r="F481" s="170"/>
      <c r="G481" s="170"/>
      <c r="H481" s="170"/>
      <c r="I481" s="170"/>
      <c r="J481" s="170"/>
      <c r="K481" s="170"/>
      <c r="L481" s="170"/>
    </row>
    <row r="482" customFormat="false" ht="15.75" hidden="false" customHeight="true" outlineLevel="0" collapsed="false">
      <c r="A482" s="170"/>
      <c r="B482" s="170"/>
      <c r="C482" s="170"/>
      <c r="E482" s="170"/>
      <c r="F482" s="170"/>
      <c r="G482" s="170"/>
      <c r="H482" s="170"/>
      <c r="I482" s="170"/>
      <c r="J482" s="170"/>
      <c r="K482" s="170"/>
      <c r="L482" s="170"/>
    </row>
    <row r="483" customFormat="false" ht="15.75" hidden="false" customHeight="true" outlineLevel="0" collapsed="false">
      <c r="A483" s="170"/>
      <c r="B483" s="170"/>
      <c r="C483" s="170"/>
      <c r="E483" s="170"/>
      <c r="F483" s="170"/>
      <c r="G483" s="170"/>
      <c r="H483" s="170"/>
      <c r="I483" s="170"/>
      <c r="J483" s="170"/>
      <c r="K483" s="170"/>
      <c r="L483" s="170"/>
    </row>
    <row r="484" customFormat="false" ht="15.75" hidden="false" customHeight="true" outlineLevel="0" collapsed="false">
      <c r="A484" s="170"/>
      <c r="B484" s="170"/>
      <c r="C484" s="170"/>
      <c r="E484" s="170"/>
      <c r="F484" s="170"/>
      <c r="G484" s="170"/>
      <c r="H484" s="170"/>
      <c r="I484" s="170"/>
      <c r="J484" s="170"/>
      <c r="K484" s="170"/>
      <c r="L484" s="170"/>
    </row>
    <row r="485" customFormat="false" ht="15.75" hidden="false" customHeight="true" outlineLevel="0" collapsed="false">
      <c r="A485" s="170"/>
      <c r="B485" s="170"/>
      <c r="C485" s="170"/>
      <c r="E485" s="170"/>
      <c r="F485" s="170"/>
      <c r="G485" s="170"/>
      <c r="H485" s="170"/>
      <c r="I485" s="170"/>
      <c r="J485" s="170"/>
      <c r="K485" s="170"/>
      <c r="L485" s="170"/>
    </row>
    <row r="486" customFormat="false" ht="15.75" hidden="false" customHeight="true" outlineLevel="0" collapsed="false">
      <c r="A486" s="170"/>
      <c r="B486" s="170"/>
      <c r="C486" s="170"/>
      <c r="E486" s="170"/>
      <c r="F486" s="170"/>
      <c r="G486" s="170"/>
      <c r="H486" s="170"/>
      <c r="I486" s="170"/>
      <c r="J486" s="170"/>
      <c r="K486" s="170"/>
      <c r="L486" s="170"/>
    </row>
    <row r="487" customFormat="false" ht="15.75" hidden="false" customHeight="true" outlineLevel="0" collapsed="false">
      <c r="A487" s="170"/>
      <c r="B487" s="170"/>
      <c r="C487" s="170"/>
      <c r="E487" s="170"/>
      <c r="F487" s="170"/>
      <c r="G487" s="170"/>
      <c r="H487" s="170"/>
      <c r="I487" s="170"/>
      <c r="J487" s="170"/>
      <c r="K487" s="170"/>
      <c r="L487" s="170"/>
    </row>
    <row r="488" customFormat="false" ht="15.75" hidden="false" customHeight="true" outlineLevel="0" collapsed="false">
      <c r="A488" s="170"/>
      <c r="B488" s="170"/>
      <c r="C488" s="170"/>
      <c r="E488" s="170"/>
      <c r="F488" s="170"/>
      <c r="G488" s="170"/>
      <c r="H488" s="170"/>
      <c r="I488" s="170"/>
      <c r="J488" s="170"/>
      <c r="K488" s="170"/>
      <c r="L488" s="170"/>
    </row>
    <row r="489" customFormat="false" ht="15.75" hidden="false" customHeight="true" outlineLevel="0" collapsed="false">
      <c r="A489" s="170"/>
      <c r="B489" s="170"/>
      <c r="C489" s="170"/>
      <c r="E489" s="170"/>
      <c r="F489" s="170"/>
      <c r="G489" s="170"/>
      <c r="H489" s="170"/>
      <c r="I489" s="170"/>
      <c r="J489" s="170"/>
      <c r="K489" s="170"/>
      <c r="L489" s="170"/>
    </row>
    <row r="490" customFormat="false" ht="15.75" hidden="false" customHeight="true" outlineLevel="0" collapsed="false">
      <c r="A490" s="170"/>
      <c r="B490" s="170"/>
      <c r="C490" s="170"/>
      <c r="E490" s="170"/>
      <c r="F490" s="170"/>
      <c r="G490" s="170"/>
      <c r="H490" s="170"/>
      <c r="I490" s="170"/>
      <c r="J490" s="170"/>
      <c r="K490" s="170"/>
      <c r="L490" s="170"/>
    </row>
    <row r="491" customFormat="false" ht="15.75" hidden="false" customHeight="true" outlineLevel="0" collapsed="false">
      <c r="A491" s="170"/>
      <c r="B491" s="170"/>
      <c r="C491" s="170"/>
      <c r="E491" s="170"/>
      <c r="F491" s="170"/>
      <c r="G491" s="170"/>
      <c r="H491" s="170"/>
      <c r="I491" s="170"/>
      <c r="J491" s="170"/>
      <c r="K491" s="170"/>
      <c r="L491" s="170"/>
    </row>
    <row r="492" customFormat="false" ht="15.75" hidden="false" customHeight="true" outlineLevel="0" collapsed="false">
      <c r="A492" s="170"/>
      <c r="B492" s="170"/>
      <c r="C492" s="170"/>
      <c r="E492" s="170"/>
      <c r="F492" s="170"/>
      <c r="G492" s="170"/>
      <c r="H492" s="170"/>
      <c r="I492" s="170"/>
      <c r="J492" s="170"/>
      <c r="K492" s="170"/>
      <c r="L492" s="170"/>
    </row>
    <row r="493" customFormat="false" ht="15.75" hidden="false" customHeight="true" outlineLevel="0" collapsed="false">
      <c r="A493" s="170"/>
      <c r="B493" s="170"/>
      <c r="C493" s="170"/>
      <c r="E493" s="170"/>
      <c r="F493" s="170"/>
      <c r="G493" s="170"/>
      <c r="H493" s="170"/>
      <c r="I493" s="170"/>
      <c r="J493" s="170"/>
      <c r="K493" s="170"/>
      <c r="L493" s="170"/>
    </row>
    <row r="494" customFormat="false" ht="15.75" hidden="false" customHeight="true" outlineLevel="0" collapsed="false">
      <c r="A494" s="170"/>
      <c r="B494" s="170"/>
      <c r="C494" s="170"/>
      <c r="E494" s="170"/>
      <c r="F494" s="170"/>
      <c r="G494" s="170"/>
      <c r="H494" s="170"/>
      <c r="I494" s="170"/>
      <c r="J494" s="170"/>
      <c r="K494" s="170"/>
      <c r="L494" s="170"/>
    </row>
    <row r="495" customFormat="false" ht="15.75" hidden="false" customHeight="true" outlineLevel="0" collapsed="false">
      <c r="A495" s="170"/>
      <c r="B495" s="170"/>
      <c r="C495" s="170"/>
      <c r="E495" s="170"/>
      <c r="F495" s="170"/>
      <c r="G495" s="170"/>
      <c r="H495" s="170"/>
      <c r="I495" s="170"/>
      <c r="J495" s="170"/>
      <c r="K495" s="170"/>
      <c r="L495" s="170"/>
    </row>
    <row r="496" customFormat="false" ht="15.75" hidden="false" customHeight="true" outlineLevel="0" collapsed="false">
      <c r="A496" s="170"/>
      <c r="B496" s="170"/>
      <c r="C496" s="170"/>
      <c r="E496" s="170"/>
      <c r="F496" s="170"/>
      <c r="G496" s="170"/>
      <c r="H496" s="170"/>
      <c r="I496" s="170"/>
      <c r="J496" s="170"/>
      <c r="K496" s="170"/>
      <c r="L496" s="170"/>
    </row>
    <row r="497" customFormat="false" ht="15.75" hidden="false" customHeight="true" outlineLevel="0" collapsed="false">
      <c r="A497" s="170"/>
      <c r="B497" s="170"/>
      <c r="C497" s="170"/>
      <c r="E497" s="170"/>
      <c r="F497" s="170"/>
      <c r="G497" s="170"/>
      <c r="H497" s="170"/>
      <c r="I497" s="170"/>
      <c r="J497" s="170"/>
      <c r="K497" s="170"/>
      <c r="L497" s="170"/>
    </row>
    <row r="498" customFormat="false" ht="15.75" hidden="false" customHeight="true" outlineLevel="0" collapsed="false">
      <c r="A498" s="170"/>
      <c r="B498" s="170"/>
      <c r="C498" s="170"/>
      <c r="E498" s="170"/>
      <c r="F498" s="170"/>
      <c r="G498" s="170"/>
      <c r="H498" s="170"/>
      <c r="I498" s="170"/>
      <c r="J498" s="170"/>
      <c r="K498" s="170"/>
      <c r="L498" s="170"/>
    </row>
    <row r="499" customFormat="false" ht="15.75" hidden="false" customHeight="true" outlineLevel="0" collapsed="false">
      <c r="A499" s="170"/>
      <c r="B499" s="170"/>
      <c r="C499" s="170"/>
      <c r="E499" s="170"/>
      <c r="F499" s="170"/>
      <c r="G499" s="170"/>
      <c r="H499" s="170"/>
      <c r="I499" s="170"/>
      <c r="J499" s="170"/>
      <c r="K499" s="170"/>
      <c r="L499" s="170"/>
    </row>
    <row r="500" customFormat="false" ht="15.75" hidden="false" customHeight="true" outlineLevel="0" collapsed="false">
      <c r="A500" s="170"/>
      <c r="B500" s="170"/>
      <c r="C500" s="170"/>
      <c r="E500" s="170"/>
      <c r="F500" s="170"/>
      <c r="G500" s="170"/>
      <c r="H500" s="170"/>
      <c r="I500" s="170"/>
      <c r="J500" s="170"/>
      <c r="K500" s="170"/>
      <c r="L500" s="170"/>
    </row>
    <row r="501" customFormat="false" ht="15.75" hidden="false" customHeight="true" outlineLevel="0" collapsed="false">
      <c r="A501" s="170"/>
      <c r="B501" s="170"/>
      <c r="C501" s="170"/>
      <c r="E501" s="170"/>
      <c r="F501" s="170"/>
      <c r="G501" s="170"/>
      <c r="H501" s="170"/>
      <c r="I501" s="170"/>
      <c r="J501" s="170"/>
      <c r="K501" s="170"/>
      <c r="L501" s="170"/>
    </row>
    <row r="502" customFormat="false" ht="15.75" hidden="false" customHeight="true" outlineLevel="0" collapsed="false">
      <c r="A502" s="170"/>
      <c r="B502" s="170"/>
      <c r="C502" s="170"/>
      <c r="E502" s="170"/>
      <c r="F502" s="170"/>
      <c r="G502" s="170"/>
      <c r="H502" s="170"/>
      <c r="I502" s="170"/>
      <c r="J502" s="170"/>
      <c r="K502" s="170"/>
      <c r="L502" s="170"/>
    </row>
    <row r="503" customFormat="false" ht="15.75" hidden="false" customHeight="true" outlineLevel="0" collapsed="false">
      <c r="A503" s="170"/>
      <c r="B503" s="170"/>
      <c r="C503" s="170"/>
      <c r="E503" s="170"/>
      <c r="F503" s="170"/>
      <c r="G503" s="170"/>
      <c r="H503" s="170"/>
      <c r="I503" s="170"/>
      <c r="J503" s="170"/>
      <c r="K503" s="170"/>
      <c r="L503" s="170"/>
    </row>
    <row r="504" customFormat="false" ht="15.75" hidden="false" customHeight="true" outlineLevel="0" collapsed="false">
      <c r="A504" s="170"/>
      <c r="B504" s="170"/>
      <c r="C504" s="170"/>
      <c r="E504" s="170"/>
      <c r="F504" s="170"/>
      <c r="G504" s="170"/>
      <c r="H504" s="170"/>
      <c r="I504" s="170"/>
      <c r="J504" s="170"/>
      <c r="K504" s="170"/>
      <c r="L504" s="170"/>
    </row>
    <row r="505" customFormat="false" ht="15.75" hidden="false" customHeight="true" outlineLevel="0" collapsed="false">
      <c r="A505" s="170"/>
      <c r="B505" s="170"/>
      <c r="C505" s="170"/>
      <c r="E505" s="170"/>
      <c r="F505" s="170"/>
      <c r="G505" s="170"/>
      <c r="H505" s="170"/>
      <c r="I505" s="170"/>
      <c r="J505" s="170"/>
      <c r="K505" s="170"/>
      <c r="L505" s="170"/>
    </row>
    <row r="506" customFormat="false" ht="15.75" hidden="false" customHeight="true" outlineLevel="0" collapsed="false">
      <c r="A506" s="170"/>
      <c r="B506" s="170"/>
      <c r="C506" s="170"/>
      <c r="E506" s="170"/>
      <c r="F506" s="170"/>
      <c r="G506" s="170"/>
      <c r="H506" s="170"/>
      <c r="I506" s="170"/>
      <c r="J506" s="170"/>
      <c r="K506" s="170"/>
      <c r="L506" s="170"/>
    </row>
    <row r="507" customFormat="false" ht="15.75" hidden="false" customHeight="true" outlineLevel="0" collapsed="false">
      <c r="A507" s="170"/>
      <c r="B507" s="170"/>
      <c r="C507" s="170"/>
      <c r="E507" s="170"/>
      <c r="F507" s="170"/>
      <c r="G507" s="170"/>
      <c r="H507" s="170"/>
      <c r="I507" s="170"/>
      <c r="J507" s="170"/>
      <c r="K507" s="170"/>
      <c r="L507" s="170"/>
    </row>
    <row r="508" customFormat="false" ht="15.75" hidden="false" customHeight="true" outlineLevel="0" collapsed="false">
      <c r="A508" s="170"/>
      <c r="B508" s="170"/>
      <c r="C508" s="170"/>
      <c r="E508" s="170"/>
      <c r="F508" s="170"/>
      <c r="G508" s="170"/>
      <c r="H508" s="170"/>
      <c r="I508" s="170"/>
      <c r="J508" s="170"/>
      <c r="K508" s="170"/>
      <c r="L508" s="170"/>
    </row>
    <row r="509" customFormat="false" ht="15.75" hidden="false" customHeight="true" outlineLevel="0" collapsed="false">
      <c r="A509" s="170"/>
      <c r="B509" s="170"/>
      <c r="C509" s="170"/>
      <c r="E509" s="170"/>
      <c r="F509" s="170"/>
      <c r="G509" s="170"/>
      <c r="H509" s="170"/>
      <c r="I509" s="170"/>
      <c r="J509" s="170"/>
      <c r="K509" s="170"/>
      <c r="L509" s="170"/>
    </row>
    <row r="510" customFormat="false" ht="15.75" hidden="false" customHeight="true" outlineLevel="0" collapsed="false">
      <c r="A510" s="170"/>
      <c r="B510" s="170"/>
      <c r="C510" s="170"/>
      <c r="E510" s="170"/>
      <c r="F510" s="170"/>
      <c r="G510" s="170"/>
      <c r="H510" s="170"/>
      <c r="I510" s="170"/>
      <c r="J510" s="170"/>
      <c r="K510" s="170"/>
      <c r="L510" s="170"/>
    </row>
    <row r="511" customFormat="false" ht="15.75" hidden="false" customHeight="true" outlineLevel="0" collapsed="false">
      <c r="A511" s="170"/>
      <c r="B511" s="170"/>
      <c r="C511" s="170"/>
      <c r="E511" s="170"/>
      <c r="F511" s="170"/>
      <c r="G511" s="170"/>
      <c r="H511" s="170"/>
      <c r="I511" s="170"/>
      <c r="J511" s="170"/>
      <c r="K511" s="170"/>
      <c r="L511" s="170"/>
    </row>
    <row r="512" customFormat="false" ht="15.75" hidden="false" customHeight="true" outlineLevel="0" collapsed="false">
      <c r="A512" s="170"/>
      <c r="B512" s="170"/>
      <c r="C512" s="170"/>
      <c r="E512" s="170"/>
      <c r="F512" s="170"/>
      <c r="G512" s="170"/>
      <c r="H512" s="170"/>
      <c r="I512" s="170"/>
      <c r="J512" s="170"/>
      <c r="K512" s="170"/>
      <c r="L512" s="170"/>
    </row>
    <row r="513" customFormat="false" ht="15.75" hidden="false" customHeight="true" outlineLevel="0" collapsed="false">
      <c r="A513" s="170"/>
      <c r="B513" s="170"/>
      <c r="C513" s="170"/>
      <c r="E513" s="170"/>
      <c r="F513" s="170"/>
      <c r="G513" s="170"/>
      <c r="H513" s="170"/>
      <c r="I513" s="170"/>
      <c r="J513" s="170"/>
      <c r="K513" s="170"/>
      <c r="L513" s="170"/>
    </row>
    <row r="514" customFormat="false" ht="15.75" hidden="false" customHeight="true" outlineLevel="0" collapsed="false">
      <c r="A514" s="170"/>
      <c r="B514" s="170"/>
      <c r="C514" s="170"/>
      <c r="E514" s="170"/>
      <c r="F514" s="170"/>
      <c r="G514" s="170"/>
      <c r="H514" s="170"/>
      <c r="I514" s="170"/>
      <c r="J514" s="170"/>
      <c r="K514" s="170"/>
      <c r="L514" s="170"/>
    </row>
    <row r="515" customFormat="false" ht="15.75" hidden="false" customHeight="true" outlineLevel="0" collapsed="false">
      <c r="A515" s="170"/>
      <c r="B515" s="170"/>
      <c r="C515" s="170"/>
      <c r="E515" s="170"/>
      <c r="F515" s="170"/>
      <c r="G515" s="170"/>
      <c r="H515" s="170"/>
      <c r="I515" s="170"/>
      <c r="J515" s="170"/>
      <c r="K515" s="170"/>
      <c r="L515" s="170"/>
    </row>
    <row r="516" customFormat="false" ht="15.75" hidden="false" customHeight="true" outlineLevel="0" collapsed="false">
      <c r="A516" s="170"/>
      <c r="B516" s="170"/>
      <c r="C516" s="170"/>
      <c r="E516" s="170"/>
      <c r="F516" s="170"/>
      <c r="G516" s="170"/>
      <c r="H516" s="170"/>
      <c r="I516" s="170"/>
      <c r="J516" s="170"/>
      <c r="K516" s="170"/>
      <c r="L516" s="170"/>
    </row>
    <row r="517" customFormat="false" ht="15.75" hidden="false" customHeight="true" outlineLevel="0" collapsed="false">
      <c r="A517" s="170"/>
      <c r="B517" s="170"/>
      <c r="C517" s="170"/>
      <c r="E517" s="170"/>
      <c r="F517" s="170"/>
      <c r="G517" s="170"/>
      <c r="H517" s="170"/>
      <c r="I517" s="170"/>
      <c r="J517" s="170"/>
      <c r="K517" s="170"/>
      <c r="L517" s="170"/>
    </row>
    <row r="518" customFormat="false" ht="15.75" hidden="false" customHeight="true" outlineLevel="0" collapsed="false">
      <c r="A518" s="170"/>
      <c r="B518" s="170"/>
      <c r="C518" s="170"/>
      <c r="E518" s="170"/>
      <c r="F518" s="170"/>
      <c r="G518" s="170"/>
      <c r="H518" s="170"/>
      <c r="I518" s="170"/>
      <c r="J518" s="170"/>
      <c r="K518" s="170"/>
      <c r="L518" s="170"/>
    </row>
    <row r="519" customFormat="false" ht="15.75" hidden="false" customHeight="true" outlineLevel="0" collapsed="false">
      <c r="A519" s="170"/>
      <c r="B519" s="170"/>
      <c r="C519" s="170"/>
      <c r="E519" s="170"/>
      <c r="F519" s="170"/>
      <c r="G519" s="170"/>
      <c r="H519" s="170"/>
      <c r="I519" s="170"/>
      <c r="J519" s="170"/>
      <c r="K519" s="170"/>
      <c r="L519" s="170"/>
    </row>
    <row r="520" customFormat="false" ht="15.75" hidden="false" customHeight="true" outlineLevel="0" collapsed="false">
      <c r="A520" s="170"/>
      <c r="B520" s="170"/>
      <c r="C520" s="170"/>
      <c r="E520" s="170"/>
      <c r="F520" s="170"/>
      <c r="G520" s="170"/>
      <c r="H520" s="170"/>
      <c r="I520" s="170"/>
      <c r="J520" s="170"/>
      <c r="K520" s="170"/>
      <c r="L520" s="170"/>
    </row>
    <row r="521" customFormat="false" ht="15.75" hidden="false" customHeight="true" outlineLevel="0" collapsed="false">
      <c r="A521" s="170"/>
      <c r="B521" s="170"/>
      <c r="C521" s="170"/>
      <c r="E521" s="170"/>
      <c r="F521" s="170"/>
      <c r="G521" s="170"/>
      <c r="H521" s="170"/>
      <c r="I521" s="170"/>
      <c r="J521" s="170"/>
      <c r="K521" s="170"/>
      <c r="L521" s="170"/>
    </row>
    <row r="522" customFormat="false" ht="15.75" hidden="false" customHeight="true" outlineLevel="0" collapsed="false">
      <c r="A522" s="170"/>
      <c r="B522" s="170"/>
      <c r="C522" s="170"/>
      <c r="E522" s="170"/>
      <c r="F522" s="170"/>
      <c r="G522" s="170"/>
      <c r="H522" s="170"/>
      <c r="I522" s="170"/>
      <c r="J522" s="170"/>
      <c r="K522" s="170"/>
      <c r="L522" s="170"/>
    </row>
    <row r="523" customFormat="false" ht="15.75" hidden="false" customHeight="true" outlineLevel="0" collapsed="false">
      <c r="A523" s="170"/>
      <c r="B523" s="170"/>
      <c r="C523" s="170"/>
      <c r="E523" s="170"/>
      <c r="F523" s="170"/>
      <c r="G523" s="170"/>
      <c r="H523" s="170"/>
      <c r="I523" s="170"/>
      <c r="J523" s="170"/>
      <c r="K523" s="170"/>
      <c r="L523" s="170"/>
    </row>
    <row r="524" customFormat="false" ht="15.75" hidden="false" customHeight="true" outlineLevel="0" collapsed="false">
      <c r="A524" s="170"/>
      <c r="B524" s="170"/>
      <c r="C524" s="170"/>
      <c r="E524" s="170"/>
      <c r="F524" s="170"/>
      <c r="G524" s="170"/>
      <c r="H524" s="170"/>
      <c r="I524" s="170"/>
      <c r="J524" s="170"/>
      <c r="K524" s="170"/>
      <c r="L524" s="170"/>
    </row>
    <row r="525" customFormat="false" ht="15.75" hidden="false" customHeight="true" outlineLevel="0" collapsed="false">
      <c r="A525" s="170"/>
      <c r="B525" s="170"/>
      <c r="C525" s="170"/>
      <c r="E525" s="170"/>
      <c r="F525" s="170"/>
      <c r="G525" s="170"/>
      <c r="H525" s="170"/>
      <c r="I525" s="170"/>
      <c r="J525" s="170"/>
      <c r="K525" s="170"/>
      <c r="L525" s="170"/>
    </row>
    <row r="526" customFormat="false" ht="15.75" hidden="false" customHeight="true" outlineLevel="0" collapsed="false">
      <c r="A526" s="170"/>
      <c r="B526" s="170"/>
      <c r="C526" s="170"/>
      <c r="E526" s="170"/>
      <c r="F526" s="170"/>
      <c r="G526" s="170"/>
      <c r="H526" s="170"/>
      <c r="I526" s="170"/>
      <c r="J526" s="170"/>
      <c r="K526" s="170"/>
      <c r="L526" s="170"/>
    </row>
    <row r="527" customFormat="false" ht="15.75" hidden="false" customHeight="true" outlineLevel="0" collapsed="false">
      <c r="A527" s="170"/>
      <c r="B527" s="170"/>
      <c r="C527" s="170"/>
      <c r="E527" s="170"/>
      <c r="F527" s="170"/>
      <c r="G527" s="170"/>
      <c r="H527" s="170"/>
      <c r="I527" s="170"/>
      <c r="J527" s="170"/>
      <c r="K527" s="170"/>
      <c r="L527" s="170"/>
    </row>
    <row r="528" customFormat="false" ht="15.75" hidden="false" customHeight="true" outlineLevel="0" collapsed="false">
      <c r="A528" s="170"/>
      <c r="B528" s="170"/>
      <c r="C528" s="170"/>
      <c r="E528" s="170"/>
      <c r="F528" s="170"/>
      <c r="G528" s="170"/>
      <c r="H528" s="170"/>
      <c r="I528" s="170"/>
      <c r="J528" s="170"/>
      <c r="K528" s="170"/>
      <c r="L528" s="170"/>
    </row>
    <row r="529" customFormat="false" ht="15.75" hidden="false" customHeight="true" outlineLevel="0" collapsed="false">
      <c r="A529" s="170"/>
      <c r="B529" s="170"/>
      <c r="C529" s="170"/>
      <c r="E529" s="170"/>
      <c r="F529" s="170"/>
      <c r="G529" s="170"/>
      <c r="H529" s="170"/>
      <c r="I529" s="170"/>
      <c r="J529" s="170"/>
      <c r="K529" s="170"/>
      <c r="L529" s="170"/>
    </row>
    <row r="530" customFormat="false" ht="15.75" hidden="false" customHeight="true" outlineLevel="0" collapsed="false">
      <c r="A530" s="170"/>
      <c r="B530" s="170"/>
      <c r="C530" s="170"/>
      <c r="E530" s="170"/>
      <c r="F530" s="170"/>
      <c r="G530" s="170"/>
      <c r="H530" s="170"/>
      <c r="I530" s="170"/>
      <c r="J530" s="170"/>
      <c r="K530" s="170"/>
      <c r="L530" s="170"/>
    </row>
    <row r="531" customFormat="false" ht="15.75" hidden="false" customHeight="true" outlineLevel="0" collapsed="false">
      <c r="A531" s="170"/>
      <c r="B531" s="170"/>
      <c r="C531" s="170"/>
      <c r="E531" s="170"/>
      <c r="F531" s="170"/>
      <c r="G531" s="170"/>
      <c r="H531" s="170"/>
      <c r="I531" s="170"/>
      <c r="J531" s="170"/>
      <c r="K531" s="170"/>
      <c r="L531" s="170"/>
    </row>
    <row r="532" customFormat="false" ht="15.75" hidden="false" customHeight="true" outlineLevel="0" collapsed="false">
      <c r="A532" s="170"/>
      <c r="B532" s="170"/>
      <c r="C532" s="170"/>
      <c r="E532" s="170"/>
      <c r="F532" s="170"/>
      <c r="G532" s="170"/>
      <c r="H532" s="170"/>
      <c r="I532" s="170"/>
      <c r="J532" s="170"/>
      <c r="K532" s="170"/>
      <c r="L532" s="170"/>
    </row>
    <row r="533" customFormat="false" ht="15.75" hidden="false" customHeight="true" outlineLevel="0" collapsed="false">
      <c r="A533" s="170"/>
      <c r="B533" s="170"/>
      <c r="C533" s="170"/>
      <c r="E533" s="170"/>
      <c r="F533" s="170"/>
      <c r="G533" s="170"/>
      <c r="H533" s="170"/>
      <c r="I533" s="170"/>
      <c r="J533" s="170"/>
      <c r="K533" s="170"/>
      <c r="L533" s="170"/>
    </row>
    <row r="534" customFormat="false" ht="15.75" hidden="false" customHeight="true" outlineLevel="0" collapsed="false">
      <c r="A534" s="170"/>
      <c r="B534" s="170"/>
      <c r="C534" s="170"/>
      <c r="E534" s="170"/>
      <c r="F534" s="170"/>
      <c r="G534" s="170"/>
      <c r="H534" s="170"/>
      <c r="I534" s="170"/>
      <c r="J534" s="170"/>
      <c r="K534" s="170"/>
      <c r="L534" s="170"/>
    </row>
    <row r="535" customFormat="false" ht="15.75" hidden="false" customHeight="true" outlineLevel="0" collapsed="false">
      <c r="A535" s="170"/>
      <c r="B535" s="170"/>
      <c r="C535" s="170"/>
      <c r="E535" s="170"/>
      <c r="F535" s="170"/>
      <c r="G535" s="170"/>
      <c r="H535" s="170"/>
      <c r="I535" s="170"/>
      <c r="J535" s="170"/>
      <c r="K535" s="170"/>
      <c r="L535" s="170"/>
    </row>
    <row r="536" customFormat="false" ht="15.75" hidden="false" customHeight="true" outlineLevel="0" collapsed="false">
      <c r="A536" s="170"/>
      <c r="B536" s="170"/>
      <c r="C536" s="170"/>
      <c r="E536" s="170"/>
      <c r="F536" s="170"/>
      <c r="G536" s="170"/>
      <c r="H536" s="170"/>
      <c r="I536" s="170"/>
      <c r="J536" s="170"/>
      <c r="K536" s="170"/>
      <c r="L536" s="170"/>
    </row>
    <row r="537" customFormat="false" ht="15.75" hidden="false" customHeight="true" outlineLevel="0" collapsed="false">
      <c r="A537" s="170"/>
      <c r="B537" s="170"/>
      <c r="C537" s="170"/>
      <c r="E537" s="170"/>
      <c r="F537" s="170"/>
      <c r="G537" s="170"/>
      <c r="H537" s="170"/>
      <c r="I537" s="170"/>
      <c r="J537" s="170"/>
      <c r="K537" s="170"/>
      <c r="L537" s="170"/>
    </row>
    <row r="538" customFormat="false" ht="15.75" hidden="false" customHeight="true" outlineLevel="0" collapsed="false">
      <c r="A538" s="170"/>
      <c r="B538" s="170"/>
      <c r="C538" s="170"/>
      <c r="E538" s="170"/>
      <c r="F538" s="170"/>
      <c r="G538" s="170"/>
      <c r="H538" s="170"/>
      <c r="I538" s="170"/>
      <c r="J538" s="170"/>
      <c r="K538" s="170"/>
      <c r="L538" s="170"/>
    </row>
    <row r="539" customFormat="false" ht="15.75" hidden="false" customHeight="true" outlineLevel="0" collapsed="false">
      <c r="A539" s="170"/>
      <c r="B539" s="170"/>
      <c r="C539" s="170"/>
      <c r="E539" s="170"/>
      <c r="F539" s="170"/>
      <c r="G539" s="170"/>
      <c r="H539" s="170"/>
      <c r="I539" s="170"/>
      <c r="J539" s="170"/>
      <c r="K539" s="170"/>
      <c r="L539" s="170"/>
    </row>
    <row r="540" customFormat="false" ht="15.75" hidden="false" customHeight="true" outlineLevel="0" collapsed="false">
      <c r="A540" s="170"/>
      <c r="B540" s="170"/>
      <c r="C540" s="170"/>
      <c r="E540" s="170"/>
      <c r="F540" s="170"/>
      <c r="G540" s="170"/>
      <c r="H540" s="170"/>
      <c r="I540" s="170"/>
      <c r="J540" s="170"/>
      <c r="K540" s="170"/>
      <c r="L540" s="170"/>
    </row>
    <row r="541" customFormat="false" ht="15.75" hidden="false" customHeight="true" outlineLevel="0" collapsed="false">
      <c r="A541" s="170"/>
      <c r="B541" s="170"/>
      <c r="C541" s="170"/>
      <c r="E541" s="170"/>
      <c r="F541" s="170"/>
      <c r="G541" s="170"/>
      <c r="H541" s="170"/>
      <c r="I541" s="170"/>
      <c r="J541" s="170"/>
      <c r="K541" s="170"/>
      <c r="L541" s="170"/>
    </row>
    <row r="542" customFormat="false" ht="15.75" hidden="false" customHeight="true" outlineLevel="0" collapsed="false">
      <c r="A542" s="170"/>
      <c r="B542" s="170"/>
      <c r="C542" s="170"/>
      <c r="E542" s="170"/>
      <c r="F542" s="170"/>
      <c r="G542" s="170"/>
      <c r="H542" s="170"/>
      <c r="I542" s="170"/>
      <c r="J542" s="170"/>
      <c r="K542" s="170"/>
      <c r="L542" s="170"/>
    </row>
    <row r="543" customFormat="false" ht="15.75" hidden="false" customHeight="true" outlineLevel="0" collapsed="false">
      <c r="A543" s="170"/>
      <c r="B543" s="170"/>
      <c r="C543" s="170"/>
      <c r="E543" s="170"/>
      <c r="F543" s="170"/>
      <c r="G543" s="170"/>
      <c r="H543" s="170"/>
      <c r="I543" s="170"/>
      <c r="J543" s="170"/>
      <c r="K543" s="170"/>
      <c r="L543" s="170"/>
    </row>
    <row r="544" customFormat="false" ht="15.75" hidden="false" customHeight="true" outlineLevel="0" collapsed="false">
      <c r="A544" s="170"/>
      <c r="B544" s="170"/>
      <c r="C544" s="170"/>
      <c r="E544" s="170"/>
      <c r="F544" s="170"/>
      <c r="G544" s="170"/>
      <c r="H544" s="170"/>
      <c r="I544" s="170"/>
      <c r="J544" s="170"/>
      <c r="K544" s="170"/>
      <c r="L544" s="170"/>
    </row>
    <row r="545" customFormat="false" ht="15.75" hidden="false" customHeight="true" outlineLevel="0" collapsed="false">
      <c r="A545" s="170"/>
      <c r="B545" s="170"/>
      <c r="C545" s="170"/>
      <c r="E545" s="170"/>
      <c r="F545" s="170"/>
      <c r="G545" s="170"/>
      <c r="H545" s="170"/>
      <c r="I545" s="170"/>
      <c r="J545" s="170"/>
      <c r="K545" s="170"/>
      <c r="L545" s="170"/>
    </row>
    <row r="546" customFormat="false" ht="15.75" hidden="false" customHeight="true" outlineLevel="0" collapsed="false">
      <c r="A546" s="170"/>
      <c r="B546" s="170"/>
      <c r="C546" s="170"/>
      <c r="E546" s="170"/>
      <c r="F546" s="170"/>
      <c r="G546" s="170"/>
      <c r="H546" s="170"/>
      <c r="I546" s="170"/>
      <c r="J546" s="170"/>
      <c r="K546" s="170"/>
      <c r="L546" s="170"/>
    </row>
    <row r="547" customFormat="false" ht="15.75" hidden="false" customHeight="true" outlineLevel="0" collapsed="false">
      <c r="A547" s="170"/>
      <c r="B547" s="170"/>
      <c r="C547" s="170"/>
      <c r="E547" s="170"/>
      <c r="F547" s="170"/>
      <c r="G547" s="170"/>
      <c r="H547" s="170"/>
      <c r="I547" s="170"/>
      <c r="J547" s="170"/>
      <c r="K547" s="170"/>
      <c r="L547" s="170"/>
    </row>
    <row r="548" customFormat="false" ht="15.75" hidden="false" customHeight="true" outlineLevel="0" collapsed="false">
      <c r="A548" s="170"/>
      <c r="B548" s="170"/>
      <c r="C548" s="170"/>
      <c r="E548" s="170"/>
      <c r="F548" s="170"/>
      <c r="G548" s="170"/>
      <c r="H548" s="170"/>
      <c r="I548" s="170"/>
      <c r="J548" s="170"/>
      <c r="K548" s="170"/>
      <c r="L548" s="170"/>
    </row>
    <row r="549" customFormat="false" ht="15.75" hidden="false" customHeight="true" outlineLevel="0" collapsed="false">
      <c r="A549" s="170"/>
      <c r="B549" s="170"/>
      <c r="C549" s="170"/>
      <c r="E549" s="170"/>
      <c r="F549" s="170"/>
      <c r="G549" s="170"/>
      <c r="H549" s="170"/>
      <c r="I549" s="170"/>
      <c r="J549" s="170"/>
      <c r="K549" s="170"/>
      <c r="L549" s="170"/>
    </row>
    <row r="550" customFormat="false" ht="15.75" hidden="false" customHeight="true" outlineLevel="0" collapsed="false">
      <c r="A550" s="170"/>
      <c r="B550" s="170"/>
      <c r="C550" s="170"/>
      <c r="E550" s="170"/>
      <c r="F550" s="170"/>
      <c r="G550" s="170"/>
      <c r="H550" s="170"/>
      <c r="I550" s="170"/>
      <c r="J550" s="170"/>
      <c r="K550" s="170"/>
      <c r="L550" s="170"/>
    </row>
    <row r="551" customFormat="false" ht="15.75" hidden="false" customHeight="true" outlineLevel="0" collapsed="false">
      <c r="A551" s="170"/>
      <c r="B551" s="170"/>
      <c r="C551" s="170"/>
      <c r="E551" s="170"/>
      <c r="F551" s="170"/>
      <c r="G551" s="170"/>
      <c r="H551" s="170"/>
      <c r="I551" s="170"/>
      <c r="J551" s="170"/>
      <c r="K551" s="170"/>
      <c r="L551" s="170"/>
    </row>
    <row r="552" customFormat="false" ht="15.75" hidden="false" customHeight="true" outlineLevel="0" collapsed="false">
      <c r="A552" s="170"/>
      <c r="B552" s="170"/>
      <c r="C552" s="170"/>
      <c r="E552" s="170"/>
      <c r="F552" s="170"/>
      <c r="G552" s="170"/>
      <c r="H552" s="170"/>
      <c r="I552" s="170"/>
      <c r="J552" s="170"/>
      <c r="K552" s="170"/>
      <c r="L552" s="170"/>
    </row>
    <row r="553" customFormat="false" ht="15.75" hidden="false" customHeight="true" outlineLevel="0" collapsed="false">
      <c r="A553" s="170"/>
      <c r="B553" s="170"/>
      <c r="C553" s="170"/>
      <c r="E553" s="170"/>
      <c r="F553" s="170"/>
      <c r="G553" s="170"/>
      <c r="H553" s="170"/>
      <c r="I553" s="170"/>
      <c r="J553" s="170"/>
      <c r="K553" s="170"/>
      <c r="L553" s="170"/>
    </row>
    <row r="554" customFormat="false" ht="15.75" hidden="false" customHeight="true" outlineLevel="0" collapsed="false">
      <c r="A554" s="170"/>
      <c r="B554" s="170"/>
      <c r="C554" s="170"/>
      <c r="E554" s="170"/>
      <c r="F554" s="170"/>
      <c r="G554" s="170"/>
      <c r="H554" s="170"/>
      <c r="I554" s="170"/>
      <c r="J554" s="170"/>
      <c r="K554" s="170"/>
      <c r="L554" s="170"/>
    </row>
    <row r="555" customFormat="false" ht="15.75" hidden="false" customHeight="true" outlineLevel="0" collapsed="false">
      <c r="A555" s="170"/>
      <c r="B555" s="170"/>
      <c r="C555" s="170"/>
      <c r="E555" s="170"/>
      <c r="F555" s="170"/>
      <c r="G555" s="170"/>
      <c r="H555" s="170"/>
      <c r="I555" s="170"/>
      <c r="J555" s="170"/>
      <c r="K555" s="170"/>
      <c r="L555" s="170"/>
    </row>
    <row r="556" customFormat="false" ht="15.75" hidden="false" customHeight="true" outlineLevel="0" collapsed="false">
      <c r="A556" s="170"/>
      <c r="B556" s="170"/>
      <c r="C556" s="170"/>
      <c r="E556" s="170"/>
      <c r="F556" s="170"/>
      <c r="G556" s="170"/>
      <c r="H556" s="170"/>
      <c r="I556" s="170"/>
      <c r="J556" s="170"/>
      <c r="K556" s="170"/>
      <c r="L556" s="170"/>
    </row>
    <row r="557" customFormat="false" ht="15.75" hidden="false" customHeight="true" outlineLevel="0" collapsed="false">
      <c r="A557" s="170"/>
      <c r="B557" s="170"/>
      <c r="C557" s="170"/>
      <c r="E557" s="170"/>
      <c r="F557" s="170"/>
      <c r="G557" s="170"/>
      <c r="H557" s="170"/>
      <c r="I557" s="170"/>
      <c r="J557" s="170"/>
      <c r="K557" s="170"/>
      <c r="L557" s="170"/>
    </row>
    <row r="558" customFormat="false" ht="15.75" hidden="false" customHeight="true" outlineLevel="0" collapsed="false">
      <c r="A558" s="170"/>
      <c r="B558" s="170"/>
      <c r="C558" s="170"/>
      <c r="E558" s="170"/>
      <c r="F558" s="170"/>
      <c r="G558" s="170"/>
      <c r="H558" s="170"/>
      <c r="I558" s="170"/>
      <c r="J558" s="170"/>
      <c r="K558" s="170"/>
      <c r="L558" s="170"/>
    </row>
    <row r="559" customFormat="false" ht="15.75" hidden="false" customHeight="true" outlineLevel="0" collapsed="false">
      <c r="A559" s="170"/>
      <c r="B559" s="170"/>
      <c r="C559" s="170"/>
      <c r="E559" s="170"/>
      <c r="F559" s="170"/>
      <c r="G559" s="170"/>
      <c r="H559" s="170"/>
      <c r="I559" s="170"/>
      <c r="J559" s="170"/>
      <c r="K559" s="170"/>
      <c r="L559" s="170"/>
    </row>
    <row r="560" customFormat="false" ht="15.75" hidden="false" customHeight="true" outlineLevel="0" collapsed="false">
      <c r="A560" s="170"/>
      <c r="B560" s="170"/>
      <c r="C560" s="170"/>
      <c r="E560" s="170"/>
      <c r="F560" s="170"/>
      <c r="G560" s="170"/>
      <c r="H560" s="170"/>
      <c r="I560" s="170"/>
      <c r="J560" s="170"/>
      <c r="K560" s="170"/>
      <c r="L560" s="170"/>
    </row>
    <row r="561" customFormat="false" ht="15.75" hidden="false" customHeight="true" outlineLevel="0" collapsed="false">
      <c r="A561" s="170"/>
      <c r="B561" s="170"/>
      <c r="C561" s="170"/>
      <c r="E561" s="170"/>
      <c r="F561" s="170"/>
      <c r="G561" s="170"/>
      <c r="H561" s="170"/>
      <c r="I561" s="170"/>
      <c r="J561" s="170"/>
      <c r="K561" s="170"/>
      <c r="L561" s="170"/>
    </row>
    <row r="562" customFormat="false" ht="15.75" hidden="false" customHeight="true" outlineLevel="0" collapsed="false">
      <c r="A562" s="170"/>
      <c r="B562" s="170"/>
      <c r="C562" s="170"/>
      <c r="E562" s="170"/>
      <c r="F562" s="170"/>
      <c r="G562" s="170"/>
      <c r="H562" s="170"/>
      <c r="I562" s="170"/>
      <c r="J562" s="170"/>
      <c r="K562" s="170"/>
      <c r="L562" s="170"/>
    </row>
    <row r="563" customFormat="false" ht="15.75" hidden="false" customHeight="true" outlineLevel="0" collapsed="false">
      <c r="A563" s="170"/>
      <c r="B563" s="170"/>
      <c r="C563" s="170"/>
      <c r="E563" s="170"/>
      <c r="F563" s="170"/>
      <c r="G563" s="170"/>
      <c r="H563" s="170"/>
      <c r="I563" s="170"/>
      <c r="J563" s="170"/>
      <c r="K563" s="170"/>
      <c r="L563" s="170"/>
    </row>
    <row r="564" customFormat="false" ht="15.75" hidden="false" customHeight="true" outlineLevel="0" collapsed="false">
      <c r="A564" s="170"/>
      <c r="B564" s="170"/>
      <c r="C564" s="170"/>
      <c r="E564" s="170"/>
      <c r="F564" s="170"/>
      <c r="G564" s="170"/>
      <c r="H564" s="170"/>
      <c r="I564" s="170"/>
      <c r="J564" s="170"/>
      <c r="K564" s="170"/>
      <c r="L564" s="170"/>
    </row>
    <row r="565" customFormat="false" ht="15.75" hidden="false" customHeight="true" outlineLevel="0" collapsed="false">
      <c r="A565" s="170"/>
      <c r="B565" s="170"/>
      <c r="C565" s="170"/>
      <c r="E565" s="170"/>
      <c r="F565" s="170"/>
      <c r="G565" s="170"/>
      <c r="H565" s="170"/>
      <c r="I565" s="170"/>
      <c r="J565" s="170"/>
      <c r="K565" s="170"/>
      <c r="L565" s="170"/>
    </row>
    <row r="566" customFormat="false" ht="15.75" hidden="false" customHeight="true" outlineLevel="0" collapsed="false">
      <c r="A566" s="170"/>
      <c r="B566" s="170"/>
      <c r="C566" s="170"/>
      <c r="E566" s="170"/>
      <c r="F566" s="170"/>
      <c r="G566" s="170"/>
      <c r="H566" s="170"/>
      <c r="I566" s="170"/>
      <c r="J566" s="170"/>
      <c r="K566" s="170"/>
      <c r="L566" s="170"/>
    </row>
    <row r="567" customFormat="false" ht="15.75" hidden="false" customHeight="true" outlineLevel="0" collapsed="false">
      <c r="A567" s="170"/>
      <c r="B567" s="170"/>
      <c r="C567" s="170"/>
      <c r="E567" s="170"/>
      <c r="F567" s="170"/>
      <c r="G567" s="170"/>
      <c r="H567" s="170"/>
      <c r="I567" s="170"/>
      <c r="J567" s="170"/>
      <c r="K567" s="170"/>
      <c r="L567" s="170"/>
    </row>
    <row r="568" customFormat="false" ht="15.75" hidden="false" customHeight="true" outlineLevel="0" collapsed="false">
      <c r="A568" s="170"/>
      <c r="B568" s="170"/>
      <c r="C568" s="170"/>
      <c r="E568" s="170"/>
      <c r="F568" s="170"/>
      <c r="G568" s="170"/>
      <c r="H568" s="170"/>
      <c r="I568" s="170"/>
      <c r="J568" s="170"/>
      <c r="K568" s="170"/>
      <c r="L568" s="170"/>
    </row>
    <row r="569" customFormat="false" ht="15.75" hidden="false" customHeight="true" outlineLevel="0" collapsed="false">
      <c r="A569" s="170"/>
      <c r="B569" s="170"/>
      <c r="C569" s="170"/>
      <c r="E569" s="170"/>
      <c r="F569" s="170"/>
      <c r="G569" s="170"/>
      <c r="H569" s="170"/>
      <c r="I569" s="170"/>
      <c r="J569" s="170"/>
      <c r="K569" s="170"/>
      <c r="L569" s="170"/>
    </row>
    <row r="570" customFormat="false" ht="15.75" hidden="false" customHeight="true" outlineLevel="0" collapsed="false">
      <c r="A570" s="170"/>
      <c r="B570" s="170"/>
      <c r="C570" s="170"/>
      <c r="E570" s="170"/>
      <c r="F570" s="170"/>
      <c r="G570" s="170"/>
      <c r="H570" s="170"/>
      <c r="I570" s="170"/>
      <c r="J570" s="170"/>
      <c r="K570" s="170"/>
      <c r="L570" s="170"/>
    </row>
    <row r="571" customFormat="false" ht="15.75" hidden="false" customHeight="true" outlineLevel="0" collapsed="false">
      <c r="A571" s="170"/>
      <c r="B571" s="170"/>
      <c r="C571" s="170"/>
      <c r="E571" s="170"/>
      <c r="F571" s="170"/>
      <c r="G571" s="170"/>
      <c r="H571" s="170"/>
      <c r="I571" s="170"/>
      <c r="J571" s="170"/>
      <c r="K571" s="170"/>
      <c r="L571" s="170"/>
    </row>
    <row r="572" customFormat="false" ht="15.75" hidden="false" customHeight="true" outlineLevel="0" collapsed="false">
      <c r="A572" s="170"/>
      <c r="B572" s="170"/>
      <c r="C572" s="170"/>
      <c r="E572" s="170"/>
      <c r="F572" s="170"/>
      <c r="G572" s="170"/>
      <c r="H572" s="170"/>
      <c r="I572" s="170"/>
      <c r="J572" s="170"/>
      <c r="K572" s="170"/>
      <c r="L572" s="170"/>
    </row>
    <row r="573" customFormat="false" ht="15.75" hidden="false" customHeight="true" outlineLevel="0" collapsed="false">
      <c r="A573" s="170"/>
      <c r="B573" s="170"/>
      <c r="C573" s="170"/>
      <c r="E573" s="170"/>
      <c r="F573" s="170"/>
      <c r="G573" s="170"/>
      <c r="H573" s="170"/>
      <c r="I573" s="170"/>
      <c r="J573" s="170"/>
      <c r="K573" s="170"/>
      <c r="L573" s="170"/>
    </row>
    <row r="574" customFormat="false" ht="15.75" hidden="false" customHeight="true" outlineLevel="0" collapsed="false">
      <c r="A574" s="170"/>
      <c r="B574" s="170"/>
      <c r="C574" s="170"/>
      <c r="E574" s="170"/>
      <c r="F574" s="170"/>
      <c r="G574" s="170"/>
      <c r="H574" s="170"/>
      <c r="I574" s="170"/>
      <c r="J574" s="170"/>
      <c r="K574" s="170"/>
      <c r="L574" s="170"/>
    </row>
    <row r="575" customFormat="false" ht="15.75" hidden="false" customHeight="true" outlineLevel="0" collapsed="false">
      <c r="A575" s="170"/>
      <c r="B575" s="170"/>
      <c r="C575" s="170"/>
      <c r="E575" s="170"/>
      <c r="F575" s="170"/>
      <c r="G575" s="170"/>
      <c r="H575" s="170"/>
      <c r="I575" s="170"/>
      <c r="J575" s="170"/>
      <c r="K575" s="170"/>
      <c r="L575" s="170"/>
    </row>
    <row r="576" customFormat="false" ht="15.75" hidden="false" customHeight="true" outlineLevel="0" collapsed="false">
      <c r="A576" s="170"/>
      <c r="B576" s="170"/>
      <c r="C576" s="170"/>
      <c r="E576" s="170"/>
      <c r="F576" s="170"/>
      <c r="G576" s="170"/>
      <c r="H576" s="170"/>
      <c r="I576" s="170"/>
      <c r="J576" s="170"/>
      <c r="K576" s="170"/>
      <c r="L576" s="170"/>
    </row>
    <row r="577" customFormat="false" ht="15.75" hidden="false" customHeight="true" outlineLevel="0" collapsed="false">
      <c r="A577" s="170"/>
      <c r="B577" s="170"/>
      <c r="C577" s="170"/>
      <c r="E577" s="170"/>
      <c r="F577" s="170"/>
      <c r="G577" s="170"/>
      <c r="H577" s="170"/>
      <c r="I577" s="170"/>
      <c r="J577" s="170"/>
      <c r="K577" s="170"/>
      <c r="L577" s="170"/>
    </row>
    <row r="578" customFormat="false" ht="15.75" hidden="false" customHeight="true" outlineLevel="0" collapsed="false">
      <c r="A578" s="170"/>
      <c r="B578" s="170"/>
      <c r="C578" s="170"/>
      <c r="E578" s="170"/>
      <c r="F578" s="170"/>
      <c r="G578" s="170"/>
      <c r="H578" s="170"/>
      <c r="I578" s="170"/>
      <c r="J578" s="170"/>
      <c r="K578" s="170"/>
      <c r="L578" s="170"/>
    </row>
    <row r="579" customFormat="false" ht="15.75" hidden="false" customHeight="true" outlineLevel="0" collapsed="false">
      <c r="A579" s="170"/>
      <c r="B579" s="170"/>
      <c r="C579" s="170"/>
      <c r="E579" s="170"/>
      <c r="F579" s="170"/>
      <c r="G579" s="170"/>
      <c r="H579" s="170"/>
      <c r="I579" s="170"/>
      <c r="J579" s="170"/>
      <c r="K579" s="170"/>
      <c r="L579" s="170"/>
    </row>
    <row r="580" customFormat="false" ht="15.75" hidden="false" customHeight="true" outlineLevel="0" collapsed="false">
      <c r="A580" s="170"/>
      <c r="B580" s="170"/>
      <c r="C580" s="170"/>
      <c r="E580" s="170"/>
      <c r="F580" s="170"/>
      <c r="G580" s="170"/>
      <c r="H580" s="170"/>
      <c r="I580" s="170"/>
      <c r="J580" s="170"/>
      <c r="K580" s="170"/>
      <c r="L580" s="170"/>
    </row>
    <row r="581" customFormat="false" ht="15.75" hidden="false" customHeight="true" outlineLevel="0" collapsed="false">
      <c r="A581" s="170"/>
      <c r="B581" s="170"/>
      <c r="C581" s="170"/>
      <c r="E581" s="170"/>
      <c r="F581" s="170"/>
      <c r="G581" s="170"/>
      <c r="H581" s="170"/>
      <c r="I581" s="170"/>
      <c r="J581" s="170"/>
      <c r="K581" s="170"/>
      <c r="L581" s="170"/>
    </row>
    <row r="582" customFormat="false" ht="15.75" hidden="false" customHeight="true" outlineLevel="0" collapsed="false">
      <c r="A582" s="170"/>
      <c r="B582" s="170"/>
      <c r="C582" s="170"/>
      <c r="E582" s="170"/>
      <c r="F582" s="170"/>
      <c r="G582" s="170"/>
      <c r="H582" s="170"/>
      <c r="I582" s="170"/>
      <c r="J582" s="170"/>
      <c r="K582" s="170"/>
      <c r="L582" s="170"/>
    </row>
    <row r="583" customFormat="false" ht="15.75" hidden="false" customHeight="true" outlineLevel="0" collapsed="false">
      <c r="A583" s="170"/>
      <c r="B583" s="170"/>
      <c r="C583" s="170"/>
      <c r="E583" s="170"/>
      <c r="F583" s="170"/>
      <c r="G583" s="170"/>
      <c r="H583" s="170"/>
      <c r="I583" s="170"/>
      <c r="J583" s="170"/>
      <c r="K583" s="170"/>
      <c r="L583" s="170"/>
    </row>
    <row r="584" customFormat="false" ht="15.75" hidden="false" customHeight="true" outlineLevel="0" collapsed="false">
      <c r="A584" s="170"/>
      <c r="B584" s="170"/>
      <c r="C584" s="170"/>
      <c r="E584" s="170"/>
      <c r="F584" s="170"/>
      <c r="G584" s="170"/>
      <c r="H584" s="170"/>
      <c r="I584" s="170"/>
      <c r="J584" s="170"/>
      <c r="K584" s="170"/>
      <c r="L584" s="170"/>
    </row>
    <row r="585" customFormat="false" ht="15.75" hidden="false" customHeight="true" outlineLevel="0" collapsed="false">
      <c r="A585" s="170"/>
      <c r="B585" s="170"/>
      <c r="C585" s="170"/>
      <c r="E585" s="170"/>
      <c r="F585" s="170"/>
      <c r="G585" s="170"/>
      <c r="H585" s="170"/>
      <c r="I585" s="170"/>
      <c r="J585" s="170"/>
      <c r="K585" s="170"/>
      <c r="L585" s="170"/>
    </row>
    <row r="586" customFormat="false" ht="15.75" hidden="false" customHeight="true" outlineLevel="0" collapsed="false">
      <c r="A586" s="170"/>
      <c r="B586" s="170"/>
      <c r="C586" s="170"/>
      <c r="E586" s="170"/>
      <c r="F586" s="170"/>
      <c r="G586" s="170"/>
      <c r="H586" s="170"/>
      <c r="I586" s="170"/>
      <c r="J586" s="170"/>
      <c r="K586" s="170"/>
      <c r="L586" s="170"/>
    </row>
    <row r="587" customFormat="false" ht="15.75" hidden="false" customHeight="true" outlineLevel="0" collapsed="false">
      <c r="A587" s="170"/>
      <c r="B587" s="170"/>
      <c r="C587" s="170"/>
      <c r="E587" s="170"/>
      <c r="F587" s="170"/>
      <c r="G587" s="170"/>
      <c r="H587" s="170"/>
      <c r="I587" s="170"/>
      <c r="J587" s="170"/>
      <c r="K587" s="170"/>
      <c r="L587" s="170"/>
    </row>
    <row r="588" customFormat="false" ht="15.75" hidden="false" customHeight="true" outlineLevel="0" collapsed="false">
      <c r="A588" s="170"/>
      <c r="B588" s="170"/>
      <c r="C588" s="170"/>
      <c r="E588" s="170"/>
      <c r="F588" s="170"/>
      <c r="G588" s="170"/>
      <c r="H588" s="170"/>
      <c r="I588" s="170"/>
      <c r="J588" s="170"/>
      <c r="K588" s="170"/>
      <c r="L588" s="170"/>
    </row>
    <row r="589" customFormat="false" ht="15.75" hidden="false" customHeight="true" outlineLevel="0" collapsed="false">
      <c r="A589" s="170"/>
      <c r="B589" s="170"/>
      <c r="C589" s="170"/>
      <c r="E589" s="170"/>
      <c r="F589" s="170"/>
      <c r="G589" s="170"/>
      <c r="H589" s="170"/>
      <c r="I589" s="170"/>
      <c r="J589" s="170"/>
      <c r="K589" s="170"/>
      <c r="L589" s="170"/>
    </row>
    <row r="590" customFormat="false" ht="15.75" hidden="false" customHeight="true" outlineLevel="0" collapsed="false">
      <c r="A590" s="170"/>
      <c r="B590" s="170"/>
      <c r="C590" s="170"/>
      <c r="E590" s="170"/>
      <c r="F590" s="170"/>
      <c r="G590" s="170"/>
      <c r="H590" s="170"/>
      <c r="I590" s="170"/>
      <c r="J590" s="170"/>
      <c r="K590" s="170"/>
      <c r="L590" s="170"/>
    </row>
    <row r="591" customFormat="false" ht="15.75" hidden="false" customHeight="true" outlineLevel="0" collapsed="false">
      <c r="A591" s="170"/>
      <c r="B591" s="170"/>
      <c r="C591" s="170"/>
      <c r="E591" s="170"/>
      <c r="F591" s="170"/>
      <c r="G591" s="170"/>
      <c r="H591" s="170"/>
      <c r="I591" s="170"/>
      <c r="J591" s="170"/>
      <c r="K591" s="170"/>
      <c r="L591" s="170"/>
    </row>
    <row r="592" customFormat="false" ht="15.75" hidden="false" customHeight="true" outlineLevel="0" collapsed="false">
      <c r="A592" s="170"/>
      <c r="B592" s="170"/>
      <c r="C592" s="170"/>
      <c r="E592" s="170"/>
      <c r="F592" s="170"/>
      <c r="G592" s="170"/>
      <c r="H592" s="170"/>
      <c r="I592" s="170"/>
      <c r="J592" s="170"/>
      <c r="K592" s="170"/>
      <c r="L592" s="170"/>
    </row>
    <row r="593" customFormat="false" ht="15.75" hidden="false" customHeight="true" outlineLevel="0" collapsed="false">
      <c r="A593" s="170"/>
      <c r="B593" s="170"/>
      <c r="C593" s="170"/>
      <c r="E593" s="170"/>
      <c r="F593" s="170"/>
      <c r="G593" s="170"/>
      <c r="H593" s="170"/>
      <c r="I593" s="170"/>
      <c r="J593" s="170"/>
      <c r="K593" s="170"/>
      <c r="L593" s="170"/>
    </row>
    <row r="594" customFormat="false" ht="15.75" hidden="false" customHeight="true" outlineLevel="0" collapsed="false">
      <c r="A594" s="170"/>
      <c r="B594" s="170"/>
      <c r="C594" s="170"/>
      <c r="E594" s="170"/>
      <c r="F594" s="170"/>
      <c r="G594" s="170"/>
      <c r="H594" s="170"/>
      <c r="I594" s="170"/>
      <c r="J594" s="170"/>
      <c r="K594" s="170"/>
      <c r="L594" s="170"/>
    </row>
    <row r="595" customFormat="false" ht="15.75" hidden="false" customHeight="true" outlineLevel="0" collapsed="false">
      <c r="A595" s="170"/>
      <c r="B595" s="170"/>
      <c r="C595" s="170"/>
      <c r="E595" s="170"/>
      <c r="F595" s="170"/>
      <c r="G595" s="170"/>
      <c r="H595" s="170"/>
      <c r="I595" s="170"/>
      <c r="J595" s="170"/>
      <c r="K595" s="170"/>
      <c r="L595" s="170"/>
    </row>
    <row r="596" customFormat="false" ht="15.75" hidden="false" customHeight="true" outlineLevel="0" collapsed="false">
      <c r="A596" s="170"/>
      <c r="B596" s="170"/>
      <c r="C596" s="170"/>
      <c r="E596" s="170"/>
      <c r="F596" s="170"/>
      <c r="G596" s="170"/>
      <c r="H596" s="170"/>
      <c r="I596" s="170"/>
      <c r="J596" s="170"/>
      <c r="K596" s="170"/>
      <c r="L596" s="170"/>
    </row>
    <row r="597" customFormat="false" ht="15.75" hidden="false" customHeight="true" outlineLevel="0" collapsed="false">
      <c r="A597" s="170"/>
      <c r="B597" s="170"/>
      <c r="C597" s="170"/>
      <c r="E597" s="170"/>
      <c r="F597" s="170"/>
      <c r="G597" s="170"/>
      <c r="H597" s="170"/>
      <c r="I597" s="170"/>
      <c r="J597" s="170"/>
      <c r="K597" s="170"/>
      <c r="L597" s="170"/>
    </row>
    <row r="598" customFormat="false" ht="15.75" hidden="false" customHeight="true" outlineLevel="0" collapsed="false">
      <c r="A598" s="170"/>
      <c r="B598" s="170"/>
      <c r="C598" s="170"/>
      <c r="E598" s="170"/>
      <c r="F598" s="170"/>
      <c r="G598" s="170"/>
      <c r="H598" s="170"/>
      <c r="I598" s="170"/>
      <c r="J598" s="170"/>
      <c r="K598" s="170"/>
      <c r="L598" s="170"/>
    </row>
    <row r="599" customFormat="false" ht="15.75" hidden="false" customHeight="true" outlineLevel="0" collapsed="false">
      <c r="A599" s="170"/>
      <c r="B599" s="170"/>
      <c r="C599" s="170"/>
      <c r="E599" s="170"/>
      <c r="F599" s="170"/>
      <c r="G599" s="170"/>
      <c r="H599" s="170"/>
      <c r="I599" s="170"/>
      <c r="J599" s="170"/>
      <c r="K599" s="170"/>
      <c r="L599" s="170"/>
    </row>
    <row r="600" customFormat="false" ht="15.75" hidden="false" customHeight="true" outlineLevel="0" collapsed="false">
      <c r="A600" s="170"/>
      <c r="B600" s="170"/>
      <c r="C600" s="170"/>
      <c r="E600" s="170"/>
      <c r="F600" s="170"/>
      <c r="G600" s="170"/>
      <c r="H600" s="170"/>
      <c r="I600" s="170"/>
      <c r="J600" s="170"/>
      <c r="K600" s="170"/>
      <c r="L600" s="170"/>
    </row>
    <row r="601" customFormat="false" ht="15.75" hidden="false" customHeight="true" outlineLevel="0" collapsed="false">
      <c r="A601" s="170"/>
      <c r="B601" s="170"/>
      <c r="C601" s="170"/>
      <c r="E601" s="170"/>
      <c r="F601" s="170"/>
      <c r="G601" s="170"/>
      <c r="H601" s="170"/>
      <c r="I601" s="170"/>
      <c r="J601" s="170"/>
      <c r="K601" s="170"/>
      <c r="L601" s="170"/>
    </row>
    <row r="602" customFormat="false" ht="15.75" hidden="false" customHeight="true" outlineLevel="0" collapsed="false">
      <c r="A602" s="170"/>
      <c r="B602" s="170"/>
      <c r="C602" s="170"/>
      <c r="E602" s="170"/>
      <c r="F602" s="170"/>
      <c r="G602" s="170"/>
      <c r="H602" s="170"/>
      <c r="I602" s="170"/>
      <c r="J602" s="170"/>
      <c r="K602" s="170"/>
      <c r="L602" s="170"/>
    </row>
    <row r="603" customFormat="false" ht="15.75" hidden="false" customHeight="true" outlineLevel="0" collapsed="false">
      <c r="A603" s="170"/>
      <c r="B603" s="170"/>
      <c r="C603" s="170"/>
      <c r="E603" s="170"/>
      <c r="F603" s="170"/>
      <c r="G603" s="170"/>
      <c r="H603" s="170"/>
      <c r="I603" s="170"/>
      <c r="J603" s="170"/>
      <c r="K603" s="170"/>
      <c r="L603" s="170"/>
    </row>
    <row r="604" customFormat="false" ht="15.75" hidden="false" customHeight="true" outlineLevel="0" collapsed="false">
      <c r="A604" s="170"/>
      <c r="B604" s="170"/>
      <c r="C604" s="170"/>
      <c r="E604" s="170"/>
      <c r="F604" s="170"/>
      <c r="G604" s="170"/>
      <c r="H604" s="170"/>
      <c r="I604" s="170"/>
      <c r="J604" s="170"/>
      <c r="K604" s="170"/>
      <c r="L604" s="170"/>
    </row>
    <row r="605" customFormat="false" ht="15.75" hidden="false" customHeight="true" outlineLevel="0" collapsed="false">
      <c r="A605" s="170"/>
      <c r="B605" s="170"/>
      <c r="C605" s="170"/>
      <c r="E605" s="170"/>
      <c r="F605" s="170"/>
      <c r="G605" s="170"/>
      <c r="H605" s="170"/>
      <c r="I605" s="170"/>
      <c r="J605" s="170"/>
      <c r="K605" s="170"/>
      <c r="L605" s="170"/>
    </row>
    <row r="606" customFormat="false" ht="15.75" hidden="false" customHeight="true" outlineLevel="0" collapsed="false">
      <c r="A606" s="170"/>
      <c r="B606" s="170"/>
      <c r="C606" s="170"/>
      <c r="E606" s="170"/>
      <c r="F606" s="170"/>
      <c r="G606" s="170"/>
      <c r="H606" s="170"/>
      <c r="I606" s="170"/>
      <c r="J606" s="170"/>
      <c r="K606" s="170"/>
      <c r="L606" s="170"/>
    </row>
    <row r="607" customFormat="false" ht="15.75" hidden="false" customHeight="true" outlineLevel="0" collapsed="false">
      <c r="A607" s="170"/>
      <c r="B607" s="170"/>
      <c r="C607" s="170"/>
      <c r="E607" s="170"/>
      <c r="F607" s="170"/>
      <c r="G607" s="170"/>
      <c r="H607" s="170"/>
      <c r="I607" s="170"/>
      <c r="J607" s="170"/>
      <c r="K607" s="170"/>
      <c r="L607" s="170"/>
    </row>
    <row r="608" customFormat="false" ht="15.75" hidden="false" customHeight="true" outlineLevel="0" collapsed="false">
      <c r="A608" s="170"/>
      <c r="B608" s="170"/>
      <c r="C608" s="170"/>
      <c r="E608" s="170"/>
      <c r="F608" s="170"/>
      <c r="G608" s="170"/>
      <c r="H608" s="170"/>
      <c r="I608" s="170"/>
      <c r="J608" s="170"/>
      <c r="K608" s="170"/>
      <c r="L608" s="170"/>
    </row>
    <row r="609" customFormat="false" ht="15.75" hidden="false" customHeight="true" outlineLevel="0" collapsed="false">
      <c r="A609" s="170"/>
      <c r="B609" s="170"/>
      <c r="C609" s="170"/>
      <c r="E609" s="170"/>
      <c r="F609" s="170"/>
      <c r="G609" s="170"/>
      <c r="H609" s="170"/>
      <c r="I609" s="170"/>
      <c r="J609" s="170"/>
      <c r="K609" s="170"/>
      <c r="L609" s="170"/>
    </row>
    <row r="610" customFormat="false" ht="15.75" hidden="false" customHeight="true" outlineLevel="0" collapsed="false">
      <c r="A610" s="170"/>
      <c r="B610" s="170"/>
      <c r="C610" s="170"/>
      <c r="E610" s="170"/>
      <c r="F610" s="170"/>
      <c r="G610" s="170"/>
      <c r="H610" s="170"/>
      <c r="I610" s="170"/>
      <c r="J610" s="170"/>
      <c r="K610" s="170"/>
      <c r="L610" s="170"/>
    </row>
    <row r="611" customFormat="false" ht="15.75" hidden="false" customHeight="true" outlineLevel="0" collapsed="false">
      <c r="A611" s="170"/>
      <c r="B611" s="170"/>
      <c r="C611" s="170"/>
      <c r="E611" s="170"/>
      <c r="F611" s="170"/>
      <c r="G611" s="170"/>
      <c r="H611" s="170"/>
      <c r="I611" s="170"/>
      <c r="J611" s="170"/>
      <c r="K611" s="170"/>
      <c r="L611" s="170"/>
    </row>
    <row r="612" customFormat="false" ht="15.75" hidden="false" customHeight="true" outlineLevel="0" collapsed="false">
      <c r="A612" s="170"/>
      <c r="B612" s="170"/>
      <c r="C612" s="170"/>
      <c r="E612" s="170"/>
      <c r="F612" s="170"/>
      <c r="G612" s="170"/>
      <c r="H612" s="170"/>
      <c r="I612" s="170"/>
      <c r="J612" s="170"/>
      <c r="K612" s="170"/>
      <c r="L612" s="170"/>
    </row>
    <row r="613" customFormat="false" ht="15.75" hidden="false" customHeight="true" outlineLevel="0" collapsed="false">
      <c r="A613" s="170"/>
      <c r="B613" s="170"/>
      <c r="C613" s="170"/>
      <c r="E613" s="170"/>
      <c r="F613" s="170"/>
      <c r="G613" s="170"/>
      <c r="H613" s="170"/>
      <c r="I613" s="170"/>
      <c r="J613" s="170"/>
      <c r="K613" s="170"/>
      <c r="L613" s="170"/>
    </row>
    <row r="614" customFormat="false" ht="15.75" hidden="false" customHeight="true" outlineLevel="0" collapsed="false">
      <c r="A614" s="170"/>
      <c r="B614" s="170"/>
      <c r="C614" s="170"/>
      <c r="E614" s="170"/>
      <c r="F614" s="170"/>
      <c r="G614" s="170"/>
      <c r="H614" s="170"/>
      <c r="I614" s="170"/>
      <c r="J614" s="170"/>
      <c r="K614" s="170"/>
      <c r="L614" s="170"/>
    </row>
    <row r="615" customFormat="false" ht="15.75" hidden="false" customHeight="true" outlineLevel="0" collapsed="false">
      <c r="A615" s="170"/>
      <c r="B615" s="170"/>
      <c r="C615" s="170"/>
      <c r="E615" s="170"/>
      <c r="F615" s="170"/>
      <c r="G615" s="170"/>
      <c r="H615" s="170"/>
      <c r="I615" s="170"/>
      <c r="J615" s="170"/>
      <c r="K615" s="170"/>
      <c r="L615" s="170"/>
    </row>
    <row r="616" customFormat="false" ht="15.75" hidden="false" customHeight="true" outlineLevel="0" collapsed="false">
      <c r="A616" s="170"/>
      <c r="B616" s="170"/>
      <c r="C616" s="170"/>
      <c r="E616" s="170"/>
      <c r="F616" s="170"/>
      <c r="G616" s="170"/>
      <c r="H616" s="170"/>
      <c r="I616" s="170"/>
      <c r="J616" s="170"/>
      <c r="K616" s="170"/>
      <c r="L616" s="170"/>
    </row>
    <row r="617" customFormat="false" ht="15.75" hidden="false" customHeight="true" outlineLevel="0" collapsed="false">
      <c r="A617" s="170"/>
      <c r="B617" s="170"/>
      <c r="C617" s="170"/>
      <c r="E617" s="170"/>
      <c r="F617" s="170"/>
      <c r="G617" s="170"/>
      <c r="H617" s="170"/>
      <c r="I617" s="170"/>
      <c r="J617" s="170"/>
      <c r="K617" s="170"/>
      <c r="L617" s="170"/>
    </row>
    <row r="618" customFormat="false" ht="15.75" hidden="false" customHeight="true" outlineLevel="0" collapsed="false">
      <c r="A618" s="170"/>
      <c r="B618" s="170"/>
      <c r="C618" s="170"/>
      <c r="E618" s="170"/>
      <c r="F618" s="170"/>
      <c r="G618" s="170"/>
      <c r="H618" s="170"/>
      <c r="I618" s="170"/>
      <c r="J618" s="170"/>
      <c r="K618" s="170"/>
      <c r="L618" s="170"/>
    </row>
    <row r="619" customFormat="false" ht="15.75" hidden="false" customHeight="true" outlineLevel="0" collapsed="false">
      <c r="A619" s="170"/>
      <c r="B619" s="170"/>
      <c r="C619" s="170"/>
      <c r="E619" s="170"/>
      <c r="F619" s="170"/>
      <c r="G619" s="170"/>
      <c r="H619" s="170"/>
      <c r="I619" s="170"/>
      <c r="J619" s="170"/>
      <c r="K619" s="170"/>
      <c r="L619" s="170"/>
    </row>
    <row r="620" customFormat="false" ht="15.75" hidden="false" customHeight="true" outlineLevel="0" collapsed="false">
      <c r="A620" s="170"/>
      <c r="B620" s="170"/>
      <c r="C620" s="170"/>
      <c r="E620" s="170"/>
      <c r="F620" s="170"/>
      <c r="G620" s="170"/>
      <c r="H620" s="170"/>
      <c r="I620" s="170"/>
      <c r="J620" s="170"/>
      <c r="K620" s="170"/>
      <c r="L620" s="170"/>
    </row>
    <row r="621" customFormat="false" ht="15.75" hidden="false" customHeight="true" outlineLevel="0" collapsed="false">
      <c r="A621" s="170"/>
      <c r="B621" s="170"/>
      <c r="C621" s="170"/>
      <c r="E621" s="170"/>
      <c r="F621" s="170"/>
      <c r="G621" s="170"/>
      <c r="H621" s="170"/>
      <c r="I621" s="170"/>
      <c r="J621" s="170"/>
      <c r="K621" s="170"/>
      <c r="L621" s="170"/>
    </row>
    <row r="622" customFormat="false" ht="15.75" hidden="false" customHeight="true" outlineLevel="0" collapsed="false">
      <c r="A622" s="170"/>
      <c r="B622" s="170"/>
      <c r="C622" s="170"/>
      <c r="E622" s="170"/>
      <c r="F622" s="170"/>
      <c r="G622" s="170"/>
      <c r="H622" s="170"/>
      <c r="I622" s="170"/>
      <c r="J622" s="170"/>
      <c r="K622" s="170"/>
      <c r="L622" s="170"/>
    </row>
    <row r="623" customFormat="false" ht="15.75" hidden="false" customHeight="true" outlineLevel="0" collapsed="false">
      <c r="A623" s="170"/>
      <c r="B623" s="170"/>
      <c r="C623" s="170"/>
      <c r="E623" s="170"/>
      <c r="F623" s="170"/>
      <c r="G623" s="170"/>
      <c r="H623" s="170"/>
      <c r="I623" s="170"/>
      <c r="J623" s="170"/>
      <c r="K623" s="170"/>
      <c r="L623" s="170"/>
    </row>
    <row r="624" customFormat="false" ht="15.75" hidden="false" customHeight="true" outlineLevel="0" collapsed="false">
      <c r="A624" s="170"/>
      <c r="B624" s="170"/>
      <c r="C624" s="170"/>
      <c r="E624" s="170"/>
      <c r="F624" s="170"/>
      <c r="G624" s="170"/>
      <c r="H624" s="170"/>
      <c r="I624" s="170"/>
      <c r="J624" s="170"/>
      <c r="K624" s="170"/>
      <c r="L624" s="170"/>
    </row>
    <row r="625" customFormat="false" ht="15.75" hidden="false" customHeight="true" outlineLevel="0" collapsed="false">
      <c r="A625" s="170"/>
      <c r="B625" s="170"/>
      <c r="C625" s="170"/>
      <c r="E625" s="170"/>
      <c r="F625" s="170"/>
      <c r="G625" s="170"/>
      <c r="H625" s="170"/>
      <c r="I625" s="170"/>
      <c r="J625" s="170"/>
      <c r="K625" s="170"/>
      <c r="L625" s="170"/>
    </row>
    <row r="626" customFormat="false" ht="15.75" hidden="false" customHeight="true" outlineLevel="0" collapsed="false">
      <c r="A626" s="170"/>
      <c r="B626" s="170"/>
      <c r="C626" s="170"/>
      <c r="E626" s="170"/>
      <c r="F626" s="170"/>
      <c r="G626" s="170"/>
      <c r="H626" s="170"/>
      <c r="I626" s="170"/>
      <c r="J626" s="170"/>
      <c r="K626" s="170"/>
      <c r="L626" s="170"/>
    </row>
    <row r="627" customFormat="false" ht="15.75" hidden="false" customHeight="true" outlineLevel="0" collapsed="false">
      <c r="A627" s="170"/>
      <c r="B627" s="170"/>
      <c r="C627" s="170"/>
      <c r="E627" s="170"/>
      <c r="F627" s="170"/>
      <c r="G627" s="170"/>
      <c r="H627" s="170"/>
      <c r="I627" s="170"/>
      <c r="J627" s="170"/>
      <c r="K627" s="170"/>
      <c r="L627" s="170"/>
    </row>
    <row r="628" customFormat="false" ht="15.75" hidden="false" customHeight="true" outlineLevel="0" collapsed="false">
      <c r="A628" s="170"/>
      <c r="B628" s="170"/>
      <c r="C628" s="170"/>
      <c r="E628" s="170"/>
      <c r="F628" s="170"/>
      <c r="G628" s="170"/>
      <c r="H628" s="170"/>
      <c r="I628" s="170"/>
      <c r="J628" s="170"/>
      <c r="K628" s="170"/>
      <c r="L628" s="170"/>
    </row>
    <row r="629" customFormat="false" ht="15.75" hidden="false" customHeight="true" outlineLevel="0" collapsed="false">
      <c r="A629" s="170"/>
      <c r="B629" s="170"/>
      <c r="C629" s="170"/>
      <c r="E629" s="170"/>
      <c r="F629" s="170"/>
      <c r="G629" s="170"/>
      <c r="H629" s="170"/>
      <c r="I629" s="170"/>
      <c r="J629" s="170"/>
      <c r="K629" s="170"/>
      <c r="L629" s="170"/>
    </row>
    <row r="630" customFormat="false" ht="15.75" hidden="false" customHeight="true" outlineLevel="0" collapsed="false">
      <c r="A630" s="170"/>
      <c r="B630" s="170"/>
      <c r="C630" s="170"/>
      <c r="E630" s="170"/>
      <c r="F630" s="170"/>
      <c r="G630" s="170"/>
      <c r="H630" s="170"/>
      <c r="I630" s="170"/>
      <c r="J630" s="170"/>
      <c r="K630" s="170"/>
      <c r="L630" s="170"/>
    </row>
    <row r="631" customFormat="false" ht="15.75" hidden="false" customHeight="true" outlineLevel="0" collapsed="false">
      <c r="A631" s="170"/>
      <c r="B631" s="170"/>
      <c r="C631" s="170"/>
      <c r="E631" s="170"/>
      <c r="F631" s="170"/>
      <c r="G631" s="170"/>
      <c r="H631" s="170"/>
      <c r="I631" s="170"/>
      <c r="J631" s="170"/>
      <c r="K631" s="170"/>
      <c r="L631" s="170"/>
    </row>
    <row r="632" customFormat="false" ht="15.75" hidden="false" customHeight="true" outlineLevel="0" collapsed="false">
      <c r="A632" s="170"/>
      <c r="B632" s="170"/>
      <c r="C632" s="170"/>
      <c r="E632" s="170"/>
      <c r="F632" s="170"/>
      <c r="G632" s="170"/>
      <c r="H632" s="170"/>
      <c r="I632" s="170"/>
      <c r="J632" s="170"/>
      <c r="K632" s="170"/>
      <c r="L632" s="170"/>
    </row>
    <row r="633" customFormat="false" ht="15.75" hidden="false" customHeight="true" outlineLevel="0" collapsed="false">
      <c r="A633" s="170"/>
      <c r="B633" s="170"/>
      <c r="C633" s="170"/>
      <c r="E633" s="170"/>
      <c r="F633" s="170"/>
      <c r="G633" s="170"/>
      <c r="H633" s="170"/>
      <c r="I633" s="170"/>
      <c r="J633" s="170"/>
      <c r="K633" s="170"/>
      <c r="L633" s="170"/>
    </row>
    <row r="634" customFormat="false" ht="15.75" hidden="false" customHeight="true" outlineLevel="0" collapsed="false">
      <c r="A634" s="170"/>
      <c r="B634" s="170"/>
      <c r="C634" s="170"/>
      <c r="E634" s="170"/>
      <c r="F634" s="170"/>
      <c r="G634" s="170"/>
      <c r="H634" s="170"/>
      <c r="I634" s="170"/>
      <c r="J634" s="170"/>
      <c r="K634" s="170"/>
      <c r="L634" s="170"/>
    </row>
    <row r="635" customFormat="false" ht="15.75" hidden="false" customHeight="true" outlineLevel="0" collapsed="false">
      <c r="A635" s="170"/>
      <c r="B635" s="170"/>
      <c r="C635" s="170"/>
      <c r="E635" s="170"/>
      <c r="F635" s="170"/>
      <c r="G635" s="170"/>
      <c r="H635" s="170"/>
      <c r="I635" s="170"/>
      <c r="J635" s="170"/>
      <c r="K635" s="170"/>
      <c r="L635" s="170"/>
    </row>
    <row r="636" customFormat="false" ht="15.75" hidden="false" customHeight="true" outlineLevel="0" collapsed="false">
      <c r="A636" s="170"/>
      <c r="B636" s="170"/>
      <c r="C636" s="170"/>
      <c r="E636" s="170"/>
      <c r="F636" s="170"/>
      <c r="G636" s="170"/>
      <c r="H636" s="170"/>
      <c r="I636" s="170"/>
      <c r="J636" s="170"/>
      <c r="K636" s="170"/>
      <c r="L636" s="170"/>
    </row>
    <row r="637" customFormat="false" ht="15.75" hidden="false" customHeight="true" outlineLevel="0" collapsed="false">
      <c r="A637" s="170"/>
      <c r="B637" s="170"/>
      <c r="C637" s="170"/>
      <c r="E637" s="170"/>
      <c r="F637" s="170"/>
      <c r="G637" s="170"/>
      <c r="H637" s="170"/>
      <c r="I637" s="170"/>
      <c r="J637" s="170"/>
      <c r="K637" s="170"/>
      <c r="L637" s="170"/>
    </row>
    <row r="638" customFormat="false" ht="15.75" hidden="false" customHeight="true" outlineLevel="0" collapsed="false">
      <c r="A638" s="170"/>
      <c r="B638" s="170"/>
      <c r="C638" s="170"/>
      <c r="E638" s="170"/>
      <c r="F638" s="170"/>
      <c r="G638" s="170"/>
      <c r="H638" s="170"/>
      <c r="I638" s="170"/>
      <c r="J638" s="170"/>
      <c r="K638" s="170"/>
      <c r="L638" s="170"/>
    </row>
    <row r="639" customFormat="false" ht="15.75" hidden="false" customHeight="true" outlineLevel="0" collapsed="false">
      <c r="A639" s="170"/>
      <c r="B639" s="170"/>
      <c r="C639" s="170"/>
      <c r="E639" s="170"/>
      <c r="F639" s="170"/>
      <c r="G639" s="170"/>
      <c r="H639" s="170"/>
      <c r="I639" s="170"/>
      <c r="J639" s="170"/>
      <c r="K639" s="170"/>
      <c r="L639" s="170"/>
    </row>
    <row r="640" customFormat="false" ht="15.75" hidden="false" customHeight="true" outlineLevel="0" collapsed="false">
      <c r="A640" s="170"/>
      <c r="B640" s="170"/>
      <c r="C640" s="170"/>
      <c r="E640" s="170"/>
      <c r="F640" s="170"/>
      <c r="G640" s="170"/>
      <c r="H640" s="170"/>
      <c r="I640" s="170"/>
      <c r="J640" s="170"/>
      <c r="K640" s="170"/>
      <c r="L640" s="170"/>
    </row>
    <row r="641" customFormat="false" ht="15.75" hidden="false" customHeight="true" outlineLevel="0" collapsed="false">
      <c r="A641" s="170"/>
      <c r="B641" s="170"/>
      <c r="C641" s="170"/>
      <c r="E641" s="170"/>
      <c r="F641" s="170"/>
      <c r="G641" s="170"/>
      <c r="H641" s="170"/>
      <c r="I641" s="170"/>
      <c r="J641" s="170"/>
      <c r="K641" s="170"/>
      <c r="L641" s="170"/>
    </row>
    <row r="642" customFormat="false" ht="15.75" hidden="false" customHeight="true" outlineLevel="0" collapsed="false">
      <c r="A642" s="170"/>
      <c r="B642" s="170"/>
      <c r="C642" s="170"/>
      <c r="E642" s="170"/>
      <c r="F642" s="170"/>
      <c r="G642" s="170"/>
      <c r="H642" s="170"/>
      <c r="I642" s="170"/>
      <c r="J642" s="170"/>
      <c r="K642" s="170"/>
      <c r="L642" s="170"/>
    </row>
    <row r="643" customFormat="false" ht="15.75" hidden="false" customHeight="true" outlineLevel="0" collapsed="false">
      <c r="A643" s="170"/>
      <c r="B643" s="170"/>
      <c r="C643" s="170"/>
      <c r="E643" s="170"/>
      <c r="F643" s="170"/>
      <c r="G643" s="170"/>
      <c r="H643" s="170"/>
      <c r="I643" s="170"/>
      <c r="J643" s="170"/>
      <c r="K643" s="170"/>
      <c r="L643" s="170"/>
    </row>
    <row r="644" customFormat="false" ht="15.75" hidden="false" customHeight="true" outlineLevel="0" collapsed="false">
      <c r="A644" s="170"/>
      <c r="B644" s="170"/>
      <c r="C644" s="170"/>
      <c r="E644" s="170"/>
      <c r="F644" s="170"/>
      <c r="G644" s="170"/>
      <c r="H644" s="170"/>
      <c r="I644" s="170"/>
      <c r="J644" s="170"/>
      <c r="K644" s="170"/>
      <c r="L644" s="170"/>
    </row>
    <row r="645" customFormat="false" ht="15.75" hidden="false" customHeight="true" outlineLevel="0" collapsed="false">
      <c r="A645" s="170"/>
      <c r="B645" s="170"/>
      <c r="C645" s="170"/>
      <c r="E645" s="170"/>
      <c r="F645" s="170"/>
      <c r="G645" s="170"/>
      <c r="H645" s="170"/>
      <c r="I645" s="170"/>
      <c r="J645" s="170"/>
      <c r="K645" s="170"/>
      <c r="L645" s="170"/>
    </row>
    <row r="646" customFormat="false" ht="15.75" hidden="false" customHeight="true" outlineLevel="0" collapsed="false">
      <c r="A646" s="170"/>
      <c r="B646" s="170"/>
      <c r="C646" s="170"/>
      <c r="E646" s="170"/>
      <c r="F646" s="170"/>
      <c r="G646" s="170"/>
      <c r="H646" s="170"/>
      <c r="I646" s="170"/>
      <c r="J646" s="170"/>
      <c r="K646" s="170"/>
      <c r="L646" s="170"/>
    </row>
    <row r="647" customFormat="false" ht="15.75" hidden="false" customHeight="true" outlineLevel="0" collapsed="false">
      <c r="A647" s="170"/>
      <c r="B647" s="170"/>
      <c r="C647" s="170"/>
      <c r="E647" s="170"/>
      <c r="F647" s="170"/>
      <c r="G647" s="170"/>
      <c r="H647" s="170"/>
      <c r="I647" s="170"/>
      <c r="J647" s="170"/>
      <c r="K647" s="170"/>
      <c r="L647" s="170"/>
    </row>
    <row r="648" customFormat="false" ht="15.75" hidden="false" customHeight="true" outlineLevel="0" collapsed="false">
      <c r="A648" s="170"/>
      <c r="B648" s="170"/>
      <c r="C648" s="170"/>
      <c r="E648" s="170"/>
      <c r="F648" s="170"/>
      <c r="G648" s="170"/>
      <c r="H648" s="170"/>
      <c r="I648" s="170"/>
      <c r="J648" s="170"/>
      <c r="K648" s="170"/>
      <c r="L648" s="170"/>
    </row>
    <row r="649" customFormat="false" ht="15.75" hidden="false" customHeight="true" outlineLevel="0" collapsed="false">
      <c r="A649" s="170"/>
      <c r="B649" s="170"/>
      <c r="C649" s="170"/>
      <c r="E649" s="170"/>
      <c r="F649" s="170"/>
      <c r="G649" s="170"/>
      <c r="H649" s="170"/>
      <c r="I649" s="170"/>
      <c r="J649" s="170"/>
      <c r="K649" s="170"/>
      <c r="L649" s="170"/>
    </row>
    <row r="650" customFormat="false" ht="15.75" hidden="false" customHeight="true" outlineLevel="0" collapsed="false">
      <c r="A650" s="170"/>
      <c r="B650" s="170"/>
      <c r="C650" s="170"/>
      <c r="E650" s="170"/>
      <c r="F650" s="170"/>
      <c r="G650" s="170"/>
      <c r="H650" s="170"/>
      <c r="I650" s="170"/>
      <c r="J650" s="170"/>
      <c r="K650" s="170"/>
      <c r="L650" s="170"/>
    </row>
    <row r="651" customFormat="false" ht="15.75" hidden="false" customHeight="true" outlineLevel="0" collapsed="false">
      <c r="A651" s="170"/>
      <c r="B651" s="170"/>
      <c r="C651" s="170"/>
      <c r="E651" s="170"/>
      <c r="F651" s="170"/>
      <c r="G651" s="170"/>
      <c r="H651" s="170"/>
      <c r="I651" s="170"/>
      <c r="J651" s="170"/>
      <c r="K651" s="170"/>
      <c r="L651" s="170"/>
    </row>
    <row r="652" customFormat="false" ht="15.75" hidden="false" customHeight="true" outlineLevel="0" collapsed="false">
      <c r="A652" s="170"/>
      <c r="B652" s="170"/>
      <c r="C652" s="170"/>
      <c r="E652" s="170"/>
      <c r="F652" s="170"/>
      <c r="G652" s="170"/>
      <c r="H652" s="170"/>
      <c r="I652" s="170"/>
      <c r="J652" s="170"/>
      <c r="K652" s="170"/>
      <c r="L652" s="170"/>
    </row>
    <row r="653" customFormat="false" ht="15.75" hidden="false" customHeight="true" outlineLevel="0" collapsed="false">
      <c r="A653" s="170"/>
      <c r="B653" s="170"/>
      <c r="C653" s="170"/>
      <c r="E653" s="170"/>
      <c r="F653" s="170"/>
      <c r="G653" s="170"/>
      <c r="H653" s="170"/>
      <c r="I653" s="170"/>
      <c r="J653" s="170"/>
      <c r="K653" s="170"/>
      <c r="L653" s="170"/>
    </row>
    <row r="654" customFormat="false" ht="15.75" hidden="false" customHeight="true" outlineLevel="0" collapsed="false">
      <c r="A654" s="170"/>
      <c r="B654" s="170"/>
      <c r="C654" s="170"/>
      <c r="E654" s="170"/>
      <c r="F654" s="170"/>
      <c r="G654" s="170"/>
      <c r="H654" s="170"/>
      <c r="I654" s="170"/>
      <c r="J654" s="170"/>
      <c r="K654" s="170"/>
      <c r="L654" s="170"/>
    </row>
    <row r="655" customFormat="false" ht="15.75" hidden="false" customHeight="true" outlineLevel="0" collapsed="false">
      <c r="A655" s="170"/>
      <c r="B655" s="170"/>
      <c r="C655" s="170"/>
      <c r="E655" s="170"/>
      <c r="F655" s="170"/>
      <c r="G655" s="170"/>
      <c r="H655" s="170"/>
      <c r="I655" s="170"/>
      <c r="J655" s="170"/>
      <c r="K655" s="170"/>
      <c r="L655" s="170"/>
    </row>
    <row r="656" customFormat="false" ht="15.75" hidden="false" customHeight="true" outlineLevel="0" collapsed="false">
      <c r="A656" s="170"/>
      <c r="B656" s="170"/>
      <c r="C656" s="170"/>
      <c r="E656" s="170"/>
      <c r="F656" s="170"/>
      <c r="G656" s="170"/>
      <c r="H656" s="170"/>
      <c r="I656" s="170"/>
      <c r="J656" s="170"/>
      <c r="K656" s="170"/>
      <c r="L656" s="170"/>
    </row>
    <row r="657" customFormat="false" ht="15.75" hidden="false" customHeight="true" outlineLevel="0" collapsed="false">
      <c r="A657" s="170"/>
      <c r="B657" s="170"/>
      <c r="C657" s="170"/>
      <c r="E657" s="170"/>
      <c r="F657" s="170"/>
      <c r="G657" s="170"/>
      <c r="H657" s="170"/>
      <c r="I657" s="170"/>
      <c r="J657" s="170"/>
      <c r="K657" s="170"/>
      <c r="L657" s="170"/>
    </row>
    <row r="658" customFormat="false" ht="15.75" hidden="false" customHeight="true" outlineLevel="0" collapsed="false">
      <c r="A658" s="170"/>
      <c r="B658" s="170"/>
      <c r="C658" s="170"/>
      <c r="E658" s="170"/>
      <c r="F658" s="170"/>
      <c r="G658" s="170"/>
      <c r="H658" s="170"/>
      <c r="I658" s="170"/>
      <c r="J658" s="170"/>
      <c r="K658" s="170"/>
      <c r="L658" s="170"/>
    </row>
    <row r="659" customFormat="false" ht="15.75" hidden="false" customHeight="true" outlineLevel="0" collapsed="false">
      <c r="A659" s="170"/>
      <c r="B659" s="170"/>
      <c r="C659" s="170"/>
      <c r="E659" s="170"/>
      <c r="F659" s="170"/>
      <c r="G659" s="170"/>
      <c r="H659" s="170"/>
      <c r="I659" s="170"/>
      <c r="J659" s="170"/>
      <c r="K659" s="170"/>
      <c r="L659" s="170"/>
    </row>
    <row r="660" customFormat="false" ht="15.75" hidden="false" customHeight="true" outlineLevel="0" collapsed="false">
      <c r="A660" s="170"/>
      <c r="B660" s="170"/>
      <c r="C660" s="170"/>
      <c r="E660" s="170"/>
      <c r="F660" s="170"/>
      <c r="G660" s="170"/>
      <c r="H660" s="170"/>
      <c r="I660" s="170"/>
      <c r="J660" s="170"/>
      <c r="K660" s="170"/>
      <c r="L660" s="170"/>
    </row>
    <row r="661" customFormat="false" ht="15.75" hidden="false" customHeight="true" outlineLevel="0" collapsed="false">
      <c r="A661" s="170"/>
      <c r="B661" s="170"/>
      <c r="C661" s="170"/>
      <c r="E661" s="170"/>
      <c r="F661" s="170"/>
      <c r="G661" s="170"/>
      <c r="H661" s="170"/>
      <c r="I661" s="170"/>
      <c r="J661" s="170"/>
      <c r="K661" s="170"/>
      <c r="L661" s="170"/>
    </row>
    <row r="662" customFormat="false" ht="15.75" hidden="false" customHeight="true" outlineLevel="0" collapsed="false">
      <c r="A662" s="170"/>
      <c r="B662" s="170"/>
      <c r="C662" s="170"/>
      <c r="E662" s="170"/>
      <c r="F662" s="170"/>
      <c r="G662" s="170"/>
      <c r="H662" s="170"/>
      <c r="I662" s="170"/>
      <c r="J662" s="170"/>
      <c r="K662" s="170"/>
      <c r="L662" s="170"/>
    </row>
    <row r="663" customFormat="false" ht="15.75" hidden="false" customHeight="true" outlineLevel="0" collapsed="false">
      <c r="A663" s="170"/>
      <c r="B663" s="170"/>
      <c r="C663" s="170"/>
      <c r="E663" s="170"/>
      <c r="F663" s="170"/>
      <c r="G663" s="170"/>
      <c r="H663" s="170"/>
      <c r="I663" s="170"/>
      <c r="J663" s="170"/>
      <c r="K663" s="170"/>
      <c r="L663" s="170"/>
    </row>
    <row r="664" customFormat="false" ht="15.75" hidden="false" customHeight="true" outlineLevel="0" collapsed="false">
      <c r="A664" s="170"/>
      <c r="B664" s="170"/>
      <c r="C664" s="170"/>
      <c r="E664" s="170"/>
      <c r="F664" s="170"/>
      <c r="G664" s="170"/>
      <c r="H664" s="170"/>
      <c r="I664" s="170"/>
      <c r="J664" s="170"/>
      <c r="K664" s="170"/>
      <c r="L664" s="170"/>
    </row>
    <row r="665" customFormat="false" ht="15.75" hidden="false" customHeight="true" outlineLevel="0" collapsed="false">
      <c r="A665" s="170"/>
      <c r="B665" s="170"/>
      <c r="C665" s="170"/>
      <c r="E665" s="170"/>
      <c r="F665" s="170"/>
      <c r="G665" s="170"/>
      <c r="H665" s="170"/>
      <c r="I665" s="170"/>
      <c r="J665" s="170"/>
      <c r="K665" s="170"/>
      <c r="L665" s="170"/>
    </row>
    <row r="666" customFormat="false" ht="15.75" hidden="false" customHeight="true" outlineLevel="0" collapsed="false">
      <c r="A666" s="170"/>
      <c r="B666" s="170"/>
      <c r="C666" s="170"/>
      <c r="E666" s="170"/>
      <c r="F666" s="170"/>
      <c r="G666" s="170"/>
      <c r="H666" s="170"/>
      <c r="I666" s="170"/>
      <c r="J666" s="170"/>
      <c r="K666" s="170"/>
      <c r="L666" s="170"/>
    </row>
    <row r="667" customFormat="false" ht="15.75" hidden="false" customHeight="true" outlineLevel="0" collapsed="false">
      <c r="A667" s="170"/>
      <c r="B667" s="170"/>
      <c r="C667" s="170"/>
      <c r="E667" s="170"/>
      <c r="F667" s="170"/>
      <c r="G667" s="170"/>
      <c r="H667" s="170"/>
      <c r="I667" s="170"/>
      <c r="J667" s="170"/>
      <c r="K667" s="170"/>
      <c r="L667" s="170"/>
    </row>
    <row r="668" customFormat="false" ht="15.75" hidden="false" customHeight="true" outlineLevel="0" collapsed="false">
      <c r="A668" s="170"/>
      <c r="B668" s="170"/>
      <c r="C668" s="170"/>
      <c r="E668" s="170"/>
      <c r="F668" s="170"/>
      <c r="G668" s="170"/>
      <c r="H668" s="170"/>
      <c r="I668" s="170"/>
      <c r="J668" s="170"/>
      <c r="K668" s="170"/>
      <c r="L668" s="170"/>
    </row>
    <row r="669" customFormat="false" ht="15.75" hidden="false" customHeight="true" outlineLevel="0" collapsed="false">
      <c r="A669" s="170"/>
      <c r="B669" s="170"/>
      <c r="C669" s="170"/>
      <c r="E669" s="170"/>
      <c r="F669" s="170"/>
      <c r="G669" s="170"/>
      <c r="H669" s="170"/>
      <c r="I669" s="170"/>
      <c r="J669" s="170"/>
      <c r="K669" s="170"/>
      <c r="L669" s="170"/>
    </row>
    <row r="670" customFormat="false" ht="15.75" hidden="false" customHeight="true" outlineLevel="0" collapsed="false">
      <c r="A670" s="170"/>
      <c r="B670" s="170"/>
      <c r="C670" s="170"/>
      <c r="E670" s="170"/>
      <c r="F670" s="170"/>
      <c r="G670" s="170"/>
      <c r="H670" s="170"/>
      <c r="I670" s="170"/>
      <c r="J670" s="170"/>
      <c r="K670" s="170"/>
      <c r="L670" s="170"/>
    </row>
    <row r="671" customFormat="false" ht="15.75" hidden="false" customHeight="true" outlineLevel="0" collapsed="false">
      <c r="A671" s="170"/>
      <c r="B671" s="170"/>
      <c r="C671" s="170"/>
      <c r="E671" s="170"/>
      <c r="F671" s="170"/>
      <c r="G671" s="170"/>
      <c r="H671" s="170"/>
      <c r="I671" s="170"/>
      <c r="J671" s="170"/>
      <c r="K671" s="170"/>
      <c r="L671" s="170"/>
    </row>
    <row r="672" customFormat="false" ht="15.75" hidden="false" customHeight="true" outlineLevel="0" collapsed="false">
      <c r="A672" s="170"/>
      <c r="B672" s="170"/>
      <c r="C672" s="170"/>
      <c r="E672" s="170"/>
      <c r="F672" s="170"/>
      <c r="G672" s="170"/>
      <c r="H672" s="170"/>
      <c r="I672" s="170"/>
      <c r="J672" s="170"/>
      <c r="K672" s="170"/>
      <c r="L672" s="170"/>
    </row>
    <row r="673" customFormat="false" ht="15.75" hidden="false" customHeight="true" outlineLevel="0" collapsed="false">
      <c r="A673" s="170"/>
      <c r="B673" s="170"/>
      <c r="C673" s="170"/>
      <c r="E673" s="170"/>
      <c r="F673" s="170"/>
      <c r="G673" s="170"/>
      <c r="H673" s="170"/>
      <c r="I673" s="170"/>
      <c r="J673" s="170"/>
      <c r="K673" s="170"/>
      <c r="L673" s="170"/>
    </row>
    <row r="674" customFormat="false" ht="15.75" hidden="false" customHeight="true" outlineLevel="0" collapsed="false">
      <c r="A674" s="170"/>
      <c r="B674" s="170"/>
      <c r="C674" s="170"/>
      <c r="E674" s="170"/>
      <c r="F674" s="170"/>
      <c r="G674" s="170"/>
      <c r="H674" s="170"/>
      <c r="I674" s="170"/>
      <c r="J674" s="170"/>
      <c r="K674" s="170"/>
      <c r="L674" s="170"/>
    </row>
    <row r="675" customFormat="false" ht="15.75" hidden="false" customHeight="true" outlineLevel="0" collapsed="false">
      <c r="A675" s="170"/>
      <c r="B675" s="170"/>
      <c r="C675" s="170"/>
      <c r="E675" s="170"/>
      <c r="F675" s="170"/>
      <c r="G675" s="170"/>
      <c r="H675" s="170"/>
      <c r="I675" s="170"/>
      <c r="J675" s="170"/>
      <c r="K675" s="170"/>
      <c r="L675" s="170"/>
    </row>
    <row r="676" customFormat="false" ht="15.75" hidden="false" customHeight="true" outlineLevel="0" collapsed="false">
      <c r="A676" s="170"/>
      <c r="B676" s="170"/>
      <c r="C676" s="170"/>
      <c r="E676" s="170"/>
      <c r="F676" s="170"/>
      <c r="G676" s="170"/>
      <c r="H676" s="170"/>
      <c r="I676" s="170"/>
      <c r="J676" s="170"/>
      <c r="K676" s="170"/>
      <c r="L676" s="170"/>
    </row>
    <row r="677" customFormat="false" ht="15.75" hidden="false" customHeight="true" outlineLevel="0" collapsed="false">
      <c r="A677" s="170"/>
      <c r="B677" s="170"/>
      <c r="C677" s="170"/>
      <c r="E677" s="170"/>
      <c r="F677" s="170"/>
      <c r="G677" s="170"/>
      <c r="H677" s="170"/>
      <c r="I677" s="170"/>
      <c r="J677" s="170"/>
      <c r="K677" s="170"/>
      <c r="L677" s="170"/>
    </row>
    <row r="678" customFormat="false" ht="15.75" hidden="false" customHeight="true" outlineLevel="0" collapsed="false">
      <c r="A678" s="170"/>
      <c r="B678" s="170"/>
      <c r="C678" s="170"/>
      <c r="E678" s="170"/>
      <c r="F678" s="170"/>
      <c r="G678" s="170"/>
      <c r="H678" s="170"/>
      <c r="I678" s="170"/>
      <c r="J678" s="170"/>
      <c r="K678" s="170"/>
      <c r="L678" s="170"/>
    </row>
    <row r="679" customFormat="false" ht="15.75" hidden="false" customHeight="true" outlineLevel="0" collapsed="false">
      <c r="A679" s="170"/>
      <c r="B679" s="170"/>
      <c r="C679" s="170"/>
      <c r="E679" s="170"/>
      <c r="F679" s="170"/>
      <c r="G679" s="170"/>
      <c r="H679" s="170"/>
      <c r="I679" s="170"/>
      <c r="J679" s="170"/>
      <c r="K679" s="170"/>
      <c r="L679" s="170"/>
    </row>
    <row r="680" customFormat="false" ht="15.75" hidden="false" customHeight="true" outlineLevel="0" collapsed="false">
      <c r="A680" s="170"/>
      <c r="B680" s="170"/>
      <c r="C680" s="170"/>
      <c r="E680" s="170"/>
      <c r="F680" s="170"/>
      <c r="G680" s="170"/>
      <c r="H680" s="170"/>
      <c r="I680" s="170"/>
      <c r="J680" s="170"/>
      <c r="K680" s="170"/>
      <c r="L680" s="170"/>
    </row>
    <row r="681" customFormat="false" ht="15.75" hidden="false" customHeight="true" outlineLevel="0" collapsed="false">
      <c r="A681" s="170"/>
      <c r="B681" s="170"/>
      <c r="C681" s="170"/>
      <c r="E681" s="170"/>
      <c r="F681" s="170"/>
      <c r="G681" s="170"/>
      <c r="H681" s="170"/>
      <c r="I681" s="170"/>
      <c r="J681" s="170"/>
      <c r="K681" s="170"/>
      <c r="L681" s="170"/>
    </row>
    <row r="682" customFormat="false" ht="15.75" hidden="false" customHeight="true" outlineLevel="0" collapsed="false">
      <c r="A682" s="170"/>
      <c r="B682" s="170"/>
      <c r="C682" s="170"/>
      <c r="E682" s="170"/>
      <c r="F682" s="170"/>
      <c r="G682" s="170"/>
      <c r="H682" s="170"/>
      <c r="I682" s="170"/>
      <c r="J682" s="170"/>
      <c r="K682" s="170"/>
      <c r="L682" s="170"/>
    </row>
    <row r="683" customFormat="false" ht="15.75" hidden="false" customHeight="true" outlineLevel="0" collapsed="false">
      <c r="A683" s="170"/>
      <c r="B683" s="170"/>
      <c r="C683" s="170"/>
      <c r="E683" s="170"/>
      <c r="F683" s="170"/>
      <c r="G683" s="170"/>
      <c r="H683" s="170"/>
      <c r="I683" s="170"/>
      <c r="J683" s="170"/>
      <c r="K683" s="170"/>
      <c r="L683" s="170"/>
    </row>
    <row r="684" customFormat="false" ht="15.75" hidden="false" customHeight="true" outlineLevel="0" collapsed="false">
      <c r="A684" s="170"/>
      <c r="B684" s="170"/>
      <c r="C684" s="170"/>
      <c r="E684" s="170"/>
      <c r="F684" s="170"/>
      <c r="G684" s="170"/>
      <c r="H684" s="170"/>
      <c r="I684" s="170"/>
      <c r="J684" s="170"/>
      <c r="K684" s="170"/>
      <c r="L684" s="170"/>
    </row>
    <row r="685" customFormat="false" ht="15.75" hidden="false" customHeight="true" outlineLevel="0" collapsed="false">
      <c r="A685" s="170"/>
      <c r="B685" s="170"/>
      <c r="C685" s="170"/>
      <c r="E685" s="170"/>
      <c r="F685" s="170"/>
      <c r="G685" s="170"/>
      <c r="H685" s="170"/>
      <c r="I685" s="170"/>
      <c r="J685" s="170"/>
      <c r="K685" s="170"/>
      <c r="L685" s="170"/>
    </row>
    <row r="686" customFormat="false" ht="15.75" hidden="false" customHeight="true" outlineLevel="0" collapsed="false">
      <c r="A686" s="170"/>
      <c r="B686" s="170"/>
      <c r="C686" s="170"/>
      <c r="E686" s="170"/>
      <c r="F686" s="170"/>
      <c r="G686" s="170"/>
      <c r="H686" s="170"/>
      <c r="I686" s="170"/>
      <c r="J686" s="170"/>
      <c r="K686" s="170"/>
      <c r="L686" s="170"/>
    </row>
    <row r="687" customFormat="false" ht="15.75" hidden="false" customHeight="true" outlineLevel="0" collapsed="false">
      <c r="A687" s="170"/>
      <c r="B687" s="170"/>
      <c r="C687" s="170"/>
      <c r="E687" s="170"/>
      <c r="F687" s="170"/>
      <c r="G687" s="170"/>
      <c r="H687" s="170"/>
      <c r="I687" s="170"/>
      <c r="J687" s="170"/>
      <c r="K687" s="170"/>
      <c r="L687" s="170"/>
    </row>
    <row r="688" customFormat="false" ht="15.75" hidden="false" customHeight="true" outlineLevel="0" collapsed="false">
      <c r="A688" s="170"/>
      <c r="B688" s="170"/>
      <c r="C688" s="170"/>
      <c r="E688" s="170"/>
      <c r="F688" s="170"/>
      <c r="G688" s="170"/>
      <c r="H688" s="170"/>
      <c r="I688" s="170"/>
      <c r="J688" s="170"/>
      <c r="K688" s="170"/>
      <c r="L688" s="170"/>
    </row>
    <row r="689" customFormat="false" ht="15.75" hidden="false" customHeight="true" outlineLevel="0" collapsed="false">
      <c r="A689" s="170"/>
      <c r="B689" s="170"/>
      <c r="C689" s="170"/>
      <c r="E689" s="170"/>
      <c r="F689" s="170"/>
      <c r="G689" s="170"/>
      <c r="H689" s="170"/>
      <c r="I689" s="170"/>
      <c r="J689" s="170"/>
      <c r="K689" s="170"/>
      <c r="L689" s="170"/>
    </row>
    <row r="690" customFormat="false" ht="15.75" hidden="false" customHeight="true" outlineLevel="0" collapsed="false">
      <c r="A690" s="170"/>
      <c r="B690" s="170"/>
      <c r="C690" s="170"/>
      <c r="E690" s="170"/>
      <c r="F690" s="170"/>
      <c r="G690" s="170"/>
      <c r="H690" s="170"/>
      <c r="I690" s="170"/>
      <c r="J690" s="170"/>
      <c r="K690" s="170"/>
      <c r="L690" s="170"/>
    </row>
    <row r="691" customFormat="false" ht="15.75" hidden="false" customHeight="true" outlineLevel="0" collapsed="false">
      <c r="A691" s="170"/>
      <c r="B691" s="170"/>
      <c r="C691" s="170"/>
      <c r="E691" s="170"/>
      <c r="F691" s="170"/>
      <c r="G691" s="170"/>
      <c r="H691" s="170"/>
      <c r="I691" s="170"/>
      <c r="J691" s="170"/>
      <c r="K691" s="170"/>
      <c r="L691" s="170"/>
    </row>
    <row r="692" customFormat="false" ht="15.75" hidden="false" customHeight="true" outlineLevel="0" collapsed="false">
      <c r="A692" s="170"/>
      <c r="B692" s="170"/>
      <c r="C692" s="170"/>
      <c r="E692" s="170"/>
      <c r="F692" s="170"/>
      <c r="G692" s="170"/>
      <c r="H692" s="170"/>
      <c r="I692" s="170"/>
      <c r="J692" s="170"/>
      <c r="K692" s="170"/>
      <c r="L692" s="170"/>
    </row>
    <row r="693" customFormat="false" ht="15.75" hidden="false" customHeight="true" outlineLevel="0" collapsed="false">
      <c r="A693" s="170"/>
      <c r="B693" s="170"/>
      <c r="C693" s="170"/>
      <c r="E693" s="170"/>
      <c r="F693" s="170"/>
      <c r="G693" s="170"/>
      <c r="H693" s="170"/>
      <c r="I693" s="170"/>
      <c r="J693" s="170"/>
      <c r="K693" s="170"/>
      <c r="L693" s="170"/>
    </row>
    <row r="694" customFormat="false" ht="15.75" hidden="false" customHeight="true" outlineLevel="0" collapsed="false">
      <c r="A694" s="170"/>
      <c r="B694" s="170"/>
      <c r="C694" s="170"/>
      <c r="E694" s="170"/>
      <c r="F694" s="170"/>
      <c r="G694" s="170"/>
      <c r="H694" s="170"/>
      <c r="I694" s="170"/>
      <c r="J694" s="170"/>
      <c r="K694" s="170"/>
      <c r="L694" s="170"/>
    </row>
    <row r="695" customFormat="false" ht="15.75" hidden="false" customHeight="true" outlineLevel="0" collapsed="false">
      <c r="A695" s="170"/>
      <c r="B695" s="170"/>
      <c r="C695" s="170"/>
      <c r="E695" s="170"/>
      <c r="F695" s="170"/>
      <c r="G695" s="170"/>
      <c r="H695" s="170"/>
      <c r="I695" s="170"/>
      <c r="J695" s="170"/>
      <c r="K695" s="170"/>
      <c r="L695" s="170"/>
    </row>
    <row r="696" customFormat="false" ht="15.75" hidden="false" customHeight="true" outlineLevel="0" collapsed="false">
      <c r="A696" s="170"/>
      <c r="B696" s="170"/>
      <c r="C696" s="170"/>
      <c r="E696" s="170"/>
      <c r="F696" s="170"/>
      <c r="G696" s="170"/>
      <c r="H696" s="170"/>
      <c r="I696" s="170"/>
      <c r="J696" s="170"/>
      <c r="K696" s="170"/>
      <c r="L696" s="170"/>
    </row>
    <row r="697" customFormat="false" ht="15.75" hidden="false" customHeight="true" outlineLevel="0" collapsed="false">
      <c r="A697" s="170"/>
      <c r="B697" s="170"/>
      <c r="C697" s="170"/>
      <c r="E697" s="170"/>
      <c r="F697" s="170"/>
      <c r="G697" s="170"/>
      <c r="H697" s="170"/>
      <c r="I697" s="170"/>
      <c r="J697" s="170"/>
      <c r="K697" s="170"/>
      <c r="L697" s="170"/>
    </row>
    <row r="698" customFormat="false" ht="15.75" hidden="false" customHeight="true" outlineLevel="0" collapsed="false">
      <c r="A698" s="170"/>
      <c r="B698" s="170"/>
      <c r="C698" s="170"/>
      <c r="E698" s="170"/>
      <c r="F698" s="170"/>
      <c r="G698" s="170"/>
      <c r="H698" s="170"/>
      <c r="I698" s="170"/>
      <c r="J698" s="170"/>
      <c r="K698" s="170"/>
      <c r="L698" s="170"/>
    </row>
    <row r="699" customFormat="false" ht="15.75" hidden="false" customHeight="true" outlineLevel="0" collapsed="false">
      <c r="A699" s="170"/>
      <c r="B699" s="170"/>
      <c r="C699" s="170"/>
      <c r="E699" s="170"/>
      <c r="F699" s="170"/>
      <c r="G699" s="170"/>
      <c r="H699" s="170"/>
      <c r="I699" s="170"/>
      <c r="J699" s="170"/>
      <c r="K699" s="170"/>
      <c r="L699" s="170"/>
    </row>
    <row r="700" customFormat="false" ht="15.75" hidden="false" customHeight="true" outlineLevel="0" collapsed="false">
      <c r="A700" s="170"/>
      <c r="B700" s="170"/>
      <c r="C700" s="170"/>
      <c r="E700" s="170"/>
      <c r="F700" s="170"/>
      <c r="G700" s="170"/>
      <c r="H700" s="170"/>
      <c r="I700" s="170"/>
      <c r="J700" s="170"/>
      <c r="K700" s="170"/>
      <c r="L700" s="170"/>
    </row>
    <row r="701" customFormat="false" ht="15.75" hidden="false" customHeight="true" outlineLevel="0" collapsed="false">
      <c r="A701" s="170"/>
      <c r="B701" s="170"/>
      <c r="C701" s="170"/>
      <c r="E701" s="170"/>
      <c r="F701" s="170"/>
      <c r="G701" s="170"/>
      <c r="H701" s="170"/>
      <c r="I701" s="170"/>
      <c r="J701" s="170"/>
      <c r="K701" s="170"/>
      <c r="L701" s="170"/>
    </row>
    <row r="702" customFormat="false" ht="15.75" hidden="false" customHeight="true" outlineLevel="0" collapsed="false">
      <c r="A702" s="170"/>
      <c r="B702" s="170"/>
      <c r="C702" s="170"/>
      <c r="E702" s="170"/>
      <c r="F702" s="170"/>
      <c r="G702" s="170"/>
      <c r="H702" s="170"/>
      <c r="I702" s="170"/>
      <c r="J702" s="170"/>
      <c r="K702" s="170"/>
      <c r="L702" s="170"/>
    </row>
    <row r="703" customFormat="false" ht="15.75" hidden="false" customHeight="true" outlineLevel="0" collapsed="false">
      <c r="A703" s="170"/>
      <c r="B703" s="170"/>
      <c r="C703" s="170"/>
      <c r="E703" s="170"/>
      <c r="F703" s="170"/>
      <c r="G703" s="170"/>
      <c r="H703" s="170"/>
      <c r="I703" s="170"/>
      <c r="J703" s="170"/>
      <c r="K703" s="170"/>
      <c r="L703" s="170"/>
    </row>
    <row r="704" customFormat="false" ht="15.75" hidden="false" customHeight="true" outlineLevel="0" collapsed="false">
      <c r="A704" s="170"/>
      <c r="B704" s="170"/>
      <c r="C704" s="170"/>
      <c r="E704" s="170"/>
      <c r="F704" s="170"/>
      <c r="G704" s="170"/>
      <c r="H704" s="170"/>
      <c r="I704" s="170"/>
      <c r="J704" s="170"/>
      <c r="K704" s="170"/>
      <c r="L704" s="170"/>
    </row>
    <row r="705" customFormat="false" ht="15.75" hidden="false" customHeight="true" outlineLevel="0" collapsed="false">
      <c r="A705" s="170"/>
      <c r="B705" s="170"/>
      <c r="C705" s="170"/>
      <c r="E705" s="170"/>
      <c r="F705" s="170"/>
      <c r="G705" s="170"/>
      <c r="H705" s="170"/>
      <c r="I705" s="170"/>
      <c r="J705" s="170"/>
      <c r="K705" s="170"/>
      <c r="L705" s="170"/>
    </row>
    <row r="706" customFormat="false" ht="15.75" hidden="false" customHeight="true" outlineLevel="0" collapsed="false">
      <c r="A706" s="170"/>
      <c r="B706" s="170"/>
      <c r="C706" s="170"/>
      <c r="E706" s="170"/>
      <c r="F706" s="170"/>
      <c r="G706" s="170"/>
      <c r="H706" s="170"/>
      <c r="I706" s="170"/>
      <c r="J706" s="170"/>
      <c r="K706" s="170"/>
      <c r="L706" s="170"/>
    </row>
    <row r="707" customFormat="false" ht="15.75" hidden="false" customHeight="true" outlineLevel="0" collapsed="false">
      <c r="A707" s="170"/>
      <c r="B707" s="170"/>
      <c r="C707" s="170"/>
      <c r="E707" s="170"/>
      <c r="F707" s="170"/>
      <c r="G707" s="170"/>
      <c r="H707" s="170"/>
      <c r="I707" s="170"/>
      <c r="J707" s="170"/>
      <c r="K707" s="170"/>
      <c r="L707" s="170"/>
    </row>
    <row r="708" customFormat="false" ht="15.75" hidden="false" customHeight="true" outlineLevel="0" collapsed="false">
      <c r="A708" s="170"/>
      <c r="B708" s="170"/>
      <c r="C708" s="170"/>
      <c r="E708" s="170"/>
      <c r="F708" s="170"/>
      <c r="G708" s="170"/>
      <c r="H708" s="170"/>
      <c r="I708" s="170"/>
      <c r="J708" s="170"/>
      <c r="K708" s="170"/>
      <c r="L708" s="170"/>
    </row>
    <row r="709" customFormat="false" ht="15.75" hidden="false" customHeight="true" outlineLevel="0" collapsed="false">
      <c r="A709" s="170"/>
      <c r="B709" s="170"/>
      <c r="C709" s="170"/>
      <c r="E709" s="170"/>
      <c r="F709" s="170"/>
      <c r="G709" s="170"/>
      <c r="H709" s="170"/>
      <c r="I709" s="170"/>
      <c r="J709" s="170"/>
      <c r="K709" s="170"/>
      <c r="L709" s="170"/>
    </row>
    <row r="710" customFormat="false" ht="15.75" hidden="false" customHeight="true" outlineLevel="0" collapsed="false">
      <c r="A710" s="170"/>
      <c r="B710" s="170"/>
      <c r="C710" s="170"/>
      <c r="E710" s="170"/>
      <c r="F710" s="170"/>
      <c r="G710" s="170"/>
      <c r="H710" s="170"/>
      <c r="I710" s="170"/>
      <c r="J710" s="170"/>
      <c r="K710" s="170"/>
      <c r="L710" s="170"/>
    </row>
    <row r="711" customFormat="false" ht="15.75" hidden="false" customHeight="true" outlineLevel="0" collapsed="false">
      <c r="A711" s="170"/>
      <c r="B711" s="170"/>
      <c r="C711" s="170"/>
      <c r="E711" s="170"/>
      <c r="F711" s="170"/>
      <c r="G711" s="170"/>
      <c r="H711" s="170"/>
      <c r="I711" s="170"/>
      <c r="J711" s="170"/>
      <c r="K711" s="170"/>
      <c r="L711" s="170"/>
    </row>
    <row r="712" customFormat="false" ht="15.75" hidden="false" customHeight="true" outlineLevel="0" collapsed="false">
      <c r="A712" s="170"/>
      <c r="B712" s="170"/>
      <c r="C712" s="170"/>
      <c r="E712" s="170"/>
      <c r="F712" s="170"/>
      <c r="G712" s="170"/>
      <c r="H712" s="170"/>
      <c r="I712" s="170"/>
      <c r="J712" s="170"/>
      <c r="K712" s="170"/>
      <c r="L712" s="170"/>
    </row>
    <row r="713" customFormat="false" ht="15.75" hidden="false" customHeight="true" outlineLevel="0" collapsed="false">
      <c r="A713" s="170"/>
      <c r="B713" s="170"/>
      <c r="C713" s="170"/>
      <c r="E713" s="170"/>
      <c r="F713" s="170"/>
      <c r="G713" s="170"/>
      <c r="H713" s="170"/>
      <c r="I713" s="170"/>
      <c r="J713" s="170"/>
      <c r="K713" s="170"/>
      <c r="L713" s="170"/>
    </row>
    <row r="714" customFormat="false" ht="15.75" hidden="false" customHeight="true" outlineLevel="0" collapsed="false">
      <c r="A714" s="170"/>
      <c r="B714" s="170"/>
      <c r="C714" s="170"/>
      <c r="E714" s="170"/>
      <c r="F714" s="170"/>
      <c r="G714" s="170"/>
      <c r="H714" s="170"/>
      <c r="I714" s="170"/>
      <c r="J714" s="170"/>
      <c r="K714" s="170"/>
      <c r="L714" s="170"/>
    </row>
    <row r="715" customFormat="false" ht="15.75" hidden="false" customHeight="true" outlineLevel="0" collapsed="false">
      <c r="A715" s="170"/>
      <c r="B715" s="170"/>
      <c r="C715" s="170"/>
      <c r="E715" s="170"/>
      <c r="F715" s="170"/>
      <c r="G715" s="170"/>
      <c r="H715" s="170"/>
      <c r="I715" s="170"/>
      <c r="J715" s="170"/>
      <c r="K715" s="170"/>
      <c r="L715" s="170"/>
    </row>
    <row r="716" customFormat="false" ht="15.75" hidden="false" customHeight="true" outlineLevel="0" collapsed="false">
      <c r="A716" s="170"/>
      <c r="B716" s="170"/>
      <c r="C716" s="170"/>
      <c r="E716" s="170"/>
      <c r="F716" s="170"/>
      <c r="G716" s="170"/>
      <c r="H716" s="170"/>
      <c r="I716" s="170"/>
      <c r="J716" s="170"/>
      <c r="K716" s="170"/>
      <c r="L716" s="170"/>
    </row>
    <row r="717" customFormat="false" ht="15.75" hidden="false" customHeight="true" outlineLevel="0" collapsed="false">
      <c r="A717" s="170"/>
      <c r="B717" s="170"/>
      <c r="C717" s="170"/>
      <c r="E717" s="170"/>
      <c r="F717" s="170"/>
      <c r="G717" s="170"/>
      <c r="H717" s="170"/>
      <c r="I717" s="170"/>
      <c r="J717" s="170"/>
      <c r="K717" s="170"/>
      <c r="L717" s="170"/>
    </row>
    <row r="718" customFormat="false" ht="15.75" hidden="false" customHeight="true" outlineLevel="0" collapsed="false">
      <c r="A718" s="170"/>
      <c r="B718" s="170"/>
      <c r="C718" s="170"/>
      <c r="E718" s="170"/>
      <c r="F718" s="170"/>
      <c r="G718" s="170"/>
      <c r="H718" s="170"/>
      <c r="I718" s="170"/>
      <c r="J718" s="170"/>
      <c r="K718" s="170"/>
      <c r="L718" s="170"/>
    </row>
    <row r="719" customFormat="false" ht="15.75" hidden="false" customHeight="true" outlineLevel="0" collapsed="false">
      <c r="A719" s="170"/>
      <c r="B719" s="170"/>
      <c r="C719" s="170"/>
      <c r="E719" s="170"/>
      <c r="F719" s="170"/>
      <c r="G719" s="170"/>
      <c r="H719" s="170"/>
      <c r="I719" s="170"/>
      <c r="J719" s="170"/>
      <c r="K719" s="170"/>
      <c r="L719" s="170"/>
    </row>
    <row r="720" customFormat="false" ht="15.75" hidden="false" customHeight="true" outlineLevel="0" collapsed="false">
      <c r="A720" s="170"/>
      <c r="B720" s="170"/>
      <c r="C720" s="170"/>
      <c r="E720" s="170"/>
      <c r="F720" s="170"/>
      <c r="G720" s="170"/>
      <c r="H720" s="170"/>
      <c r="I720" s="170"/>
      <c r="J720" s="170"/>
      <c r="K720" s="170"/>
      <c r="L720" s="170"/>
    </row>
    <row r="721" customFormat="false" ht="15.75" hidden="false" customHeight="true" outlineLevel="0" collapsed="false">
      <c r="A721" s="170"/>
      <c r="B721" s="170"/>
      <c r="C721" s="170"/>
      <c r="E721" s="170"/>
      <c r="F721" s="170"/>
      <c r="G721" s="170"/>
      <c r="H721" s="170"/>
      <c r="I721" s="170"/>
      <c r="J721" s="170"/>
      <c r="K721" s="170"/>
      <c r="L721" s="170"/>
    </row>
    <row r="722" customFormat="false" ht="15.75" hidden="false" customHeight="true" outlineLevel="0" collapsed="false">
      <c r="A722" s="170"/>
      <c r="B722" s="170"/>
      <c r="C722" s="170"/>
      <c r="E722" s="170"/>
      <c r="F722" s="170"/>
      <c r="G722" s="170"/>
      <c r="H722" s="170"/>
      <c r="I722" s="170"/>
      <c r="J722" s="170"/>
      <c r="K722" s="170"/>
      <c r="L722" s="170"/>
    </row>
    <row r="723" customFormat="false" ht="15.75" hidden="false" customHeight="true" outlineLevel="0" collapsed="false">
      <c r="A723" s="170"/>
      <c r="B723" s="170"/>
      <c r="C723" s="170"/>
      <c r="E723" s="170"/>
      <c r="F723" s="170"/>
      <c r="G723" s="170"/>
      <c r="H723" s="170"/>
      <c r="I723" s="170"/>
      <c r="J723" s="170"/>
      <c r="K723" s="170"/>
      <c r="L723" s="170"/>
    </row>
    <row r="724" customFormat="false" ht="15.75" hidden="false" customHeight="true" outlineLevel="0" collapsed="false">
      <c r="A724" s="170"/>
      <c r="B724" s="170"/>
      <c r="C724" s="170"/>
      <c r="E724" s="170"/>
      <c r="F724" s="170"/>
      <c r="G724" s="170"/>
      <c r="H724" s="170"/>
      <c r="I724" s="170"/>
      <c r="J724" s="170"/>
      <c r="K724" s="170"/>
      <c r="L724" s="170"/>
    </row>
    <row r="725" customFormat="false" ht="15.75" hidden="false" customHeight="true" outlineLevel="0" collapsed="false">
      <c r="A725" s="170"/>
      <c r="B725" s="170"/>
      <c r="C725" s="170"/>
      <c r="E725" s="170"/>
      <c r="F725" s="170"/>
      <c r="G725" s="170"/>
      <c r="H725" s="170"/>
      <c r="I725" s="170"/>
      <c r="J725" s="170"/>
      <c r="K725" s="170"/>
      <c r="L725" s="170"/>
    </row>
    <row r="726" customFormat="false" ht="15.75" hidden="false" customHeight="true" outlineLevel="0" collapsed="false">
      <c r="A726" s="170"/>
      <c r="B726" s="170"/>
      <c r="C726" s="170"/>
      <c r="E726" s="170"/>
      <c r="F726" s="170"/>
      <c r="G726" s="170"/>
      <c r="H726" s="170"/>
      <c r="I726" s="170"/>
      <c r="J726" s="170"/>
      <c r="K726" s="170"/>
      <c r="L726" s="170"/>
    </row>
    <row r="727" customFormat="false" ht="15.75" hidden="false" customHeight="true" outlineLevel="0" collapsed="false">
      <c r="A727" s="170"/>
      <c r="B727" s="170"/>
      <c r="C727" s="170"/>
      <c r="E727" s="170"/>
      <c r="F727" s="170"/>
      <c r="G727" s="170"/>
      <c r="H727" s="170"/>
      <c r="I727" s="170"/>
      <c r="J727" s="170"/>
      <c r="K727" s="170"/>
      <c r="L727" s="170"/>
    </row>
    <row r="728" customFormat="false" ht="15.75" hidden="false" customHeight="true" outlineLevel="0" collapsed="false">
      <c r="A728" s="170"/>
      <c r="B728" s="170"/>
      <c r="C728" s="170"/>
      <c r="E728" s="170"/>
      <c r="F728" s="170"/>
      <c r="G728" s="170"/>
      <c r="H728" s="170"/>
      <c r="I728" s="170"/>
      <c r="J728" s="170"/>
      <c r="K728" s="170"/>
      <c r="L728" s="170"/>
    </row>
    <row r="729" customFormat="false" ht="15.75" hidden="false" customHeight="true" outlineLevel="0" collapsed="false">
      <c r="A729" s="170"/>
      <c r="B729" s="170"/>
      <c r="C729" s="170"/>
      <c r="E729" s="170"/>
      <c r="F729" s="170"/>
      <c r="G729" s="170"/>
      <c r="H729" s="170"/>
      <c r="I729" s="170"/>
      <c r="J729" s="170"/>
      <c r="K729" s="170"/>
      <c r="L729" s="170"/>
    </row>
    <row r="730" customFormat="false" ht="15.75" hidden="false" customHeight="true" outlineLevel="0" collapsed="false">
      <c r="A730" s="170"/>
      <c r="B730" s="170"/>
      <c r="C730" s="170"/>
      <c r="E730" s="170"/>
      <c r="F730" s="170"/>
      <c r="G730" s="170"/>
      <c r="H730" s="170"/>
      <c r="I730" s="170"/>
      <c r="J730" s="170"/>
      <c r="K730" s="170"/>
      <c r="L730" s="170"/>
    </row>
    <row r="731" customFormat="false" ht="15.75" hidden="false" customHeight="true" outlineLevel="0" collapsed="false">
      <c r="A731" s="170"/>
      <c r="B731" s="170"/>
      <c r="C731" s="170"/>
      <c r="E731" s="170"/>
      <c r="F731" s="170"/>
      <c r="G731" s="170"/>
      <c r="H731" s="170"/>
      <c r="I731" s="170"/>
      <c r="J731" s="170"/>
      <c r="K731" s="170"/>
      <c r="L731" s="170"/>
    </row>
    <row r="732" customFormat="false" ht="15.75" hidden="false" customHeight="true" outlineLevel="0" collapsed="false">
      <c r="A732" s="170"/>
      <c r="B732" s="170"/>
      <c r="C732" s="170"/>
      <c r="E732" s="170"/>
      <c r="F732" s="170"/>
      <c r="G732" s="170"/>
      <c r="H732" s="170"/>
      <c r="I732" s="170"/>
      <c r="J732" s="170"/>
      <c r="K732" s="170"/>
      <c r="L732" s="170"/>
    </row>
    <row r="733" customFormat="false" ht="15.75" hidden="false" customHeight="true" outlineLevel="0" collapsed="false">
      <c r="A733" s="170"/>
      <c r="B733" s="170"/>
      <c r="C733" s="170"/>
      <c r="E733" s="170"/>
      <c r="F733" s="170"/>
      <c r="G733" s="170"/>
      <c r="H733" s="170"/>
      <c r="I733" s="170"/>
      <c r="J733" s="170"/>
      <c r="K733" s="170"/>
      <c r="L733" s="170"/>
    </row>
    <row r="734" customFormat="false" ht="15.75" hidden="false" customHeight="true" outlineLevel="0" collapsed="false">
      <c r="A734" s="170"/>
      <c r="B734" s="170"/>
      <c r="C734" s="170"/>
      <c r="E734" s="170"/>
      <c r="F734" s="170"/>
      <c r="G734" s="170"/>
      <c r="H734" s="170"/>
      <c r="I734" s="170"/>
      <c r="J734" s="170"/>
      <c r="K734" s="170"/>
      <c r="L734" s="170"/>
    </row>
    <row r="735" customFormat="false" ht="15.75" hidden="false" customHeight="true" outlineLevel="0" collapsed="false">
      <c r="A735" s="170"/>
      <c r="B735" s="170"/>
      <c r="C735" s="170"/>
      <c r="E735" s="170"/>
      <c r="F735" s="170"/>
      <c r="G735" s="170"/>
      <c r="H735" s="170"/>
      <c r="I735" s="170"/>
      <c r="J735" s="170"/>
      <c r="K735" s="170"/>
      <c r="L735" s="170"/>
    </row>
    <row r="736" customFormat="false" ht="15.75" hidden="false" customHeight="true" outlineLevel="0" collapsed="false">
      <c r="A736" s="170"/>
      <c r="B736" s="170"/>
      <c r="C736" s="170"/>
      <c r="E736" s="170"/>
      <c r="F736" s="170"/>
      <c r="G736" s="170"/>
      <c r="H736" s="170"/>
      <c r="I736" s="170"/>
      <c r="J736" s="170"/>
      <c r="K736" s="170"/>
      <c r="L736" s="170"/>
    </row>
    <row r="737" customFormat="false" ht="15.75" hidden="false" customHeight="true" outlineLevel="0" collapsed="false">
      <c r="A737" s="170"/>
      <c r="B737" s="170"/>
      <c r="C737" s="170"/>
      <c r="E737" s="170"/>
      <c r="F737" s="170"/>
      <c r="G737" s="170"/>
      <c r="H737" s="170"/>
      <c r="I737" s="170"/>
      <c r="J737" s="170"/>
      <c r="K737" s="170"/>
      <c r="L737" s="170"/>
    </row>
    <row r="738" customFormat="false" ht="15.75" hidden="false" customHeight="true" outlineLevel="0" collapsed="false">
      <c r="A738" s="170"/>
      <c r="B738" s="170"/>
      <c r="C738" s="170"/>
      <c r="E738" s="170"/>
      <c r="F738" s="170"/>
      <c r="G738" s="170"/>
      <c r="H738" s="170"/>
      <c r="I738" s="170"/>
      <c r="J738" s="170"/>
      <c r="K738" s="170"/>
      <c r="L738" s="170"/>
    </row>
    <row r="739" customFormat="false" ht="15.75" hidden="false" customHeight="true" outlineLevel="0" collapsed="false">
      <c r="A739" s="170"/>
      <c r="B739" s="170"/>
      <c r="C739" s="170"/>
      <c r="E739" s="170"/>
      <c r="F739" s="170"/>
      <c r="G739" s="170"/>
      <c r="H739" s="170"/>
      <c r="I739" s="170"/>
      <c r="J739" s="170"/>
      <c r="K739" s="170"/>
      <c r="L739" s="170"/>
    </row>
    <row r="740" customFormat="false" ht="15.75" hidden="false" customHeight="true" outlineLevel="0" collapsed="false">
      <c r="A740" s="170"/>
      <c r="B740" s="170"/>
      <c r="C740" s="170"/>
      <c r="E740" s="170"/>
      <c r="F740" s="170"/>
      <c r="G740" s="170"/>
      <c r="H740" s="170"/>
      <c r="I740" s="170"/>
      <c r="J740" s="170"/>
      <c r="K740" s="170"/>
      <c r="L740" s="170"/>
    </row>
    <row r="741" customFormat="false" ht="15.75" hidden="false" customHeight="true" outlineLevel="0" collapsed="false">
      <c r="A741" s="170"/>
      <c r="B741" s="170"/>
      <c r="C741" s="170"/>
      <c r="E741" s="170"/>
      <c r="F741" s="170"/>
      <c r="G741" s="170"/>
      <c r="H741" s="170"/>
      <c r="I741" s="170"/>
      <c r="J741" s="170"/>
      <c r="K741" s="170"/>
      <c r="L741" s="170"/>
    </row>
    <row r="742" customFormat="false" ht="15.75" hidden="false" customHeight="true" outlineLevel="0" collapsed="false">
      <c r="A742" s="170"/>
      <c r="B742" s="170"/>
      <c r="C742" s="170"/>
      <c r="E742" s="170"/>
      <c r="F742" s="170"/>
      <c r="G742" s="170"/>
      <c r="H742" s="170"/>
      <c r="I742" s="170"/>
      <c r="J742" s="170"/>
      <c r="K742" s="170"/>
      <c r="L742" s="170"/>
    </row>
    <row r="743" customFormat="false" ht="15.75" hidden="false" customHeight="true" outlineLevel="0" collapsed="false">
      <c r="A743" s="170"/>
      <c r="B743" s="170"/>
      <c r="C743" s="170"/>
      <c r="E743" s="170"/>
      <c r="F743" s="170"/>
      <c r="G743" s="170"/>
      <c r="H743" s="170"/>
      <c r="I743" s="170"/>
      <c r="J743" s="170"/>
      <c r="K743" s="170"/>
      <c r="L743" s="170"/>
    </row>
    <row r="744" customFormat="false" ht="15.75" hidden="false" customHeight="true" outlineLevel="0" collapsed="false">
      <c r="A744" s="170"/>
      <c r="B744" s="170"/>
      <c r="C744" s="170"/>
      <c r="E744" s="170"/>
      <c r="F744" s="170"/>
      <c r="G744" s="170"/>
      <c r="H744" s="170"/>
      <c r="I744" s="170"/>
      <c r="J744" s="170"/>
      <c r="K744" s="170"/>
      <c r="L744" s="170"/>
    </row>
    <row r="745" customFormat="false" ht="15.75" hidden="false" customHeight="true" outlineLevel="0" collapsed="false">
      <c r="A745" s="170"/>
      <c r="B745" s="170"/>
      <c r="C745" s="170"/>
      <c r="E745" s="170"/>
      <c r="F745" s="170"/>
      <c r="G745" s="170"/>
      <c r="H745" s="170"/>
      <c r="I745" s="170"/>
      <c r="J745" s="170"/>
      <c r="K745" s="170"/>
      <c r="L745" s="170"/>
    </row>
    <row r="746" customFormat="false" ht="15.75" hidden="false" customHeight="true" outlineLevel="0" collapsed="false">
      <c r="A746" s="170"/>
      <c r="B746" s="170"/>
      <c r="C746" s="170"/>
      <c r="E746" s="170"/>
      <c r="F746" s="170"/>
      <c r="G746" s="170"/>
      <c r="H746" s="170"/>
      <c r="I746" s="170"/>
      <c r="J746" s="170"/>
      <c r="K746" s="170"/>
      <c r="L746" s="170"/>
    </row>
    <row r="747" customFormat="false" ht="15.75" hidden="false" customHeight="true" outlineLevel="0" collapsed="false">
      <c r="A747" s="170"/>
      <c r="B747" s="170"/>
      <c r="C747" s="170"/>
      <c r="E747" s="170"/>
      <c r="F747" s="170"/>
      <c r="G747" s="170"/>
      <c r="H747" s="170"/>
      <c r="I747" s="170"/>
      <c r="J747" s="170"/>
      <c r="K747" s="170"/>
      <c r="L747" s="170"/>
    </row>
    <row r="748" customFormat="false" ht="15.75" hidden="false" customHeight="true" outlineLevel="0" collapsed="false">
      <c r="A748" s="170"/>
      <c r="B748" s="170"/>
      <c r="C748" s="170"/>
      <c r="E748" s="170"/>
      <c r="F748" s="170"/>
      <c r="G748" s="170"/>
      <c r="H748" s="170"/>
      <c r="I748" s="170"/>
      <c r="J748" s="170"/>
      <c r="K748" s="170"/>
      <c r="L748" s="170"/>
    </row>
    <row r="749" customFormat="false" ht="15.75" hidden="false" customHeight="true" outlineLevel="0" collapsed="false">
      <c r="A749" s="170"/>
      <c r="B749" s="170"/>
      <c r="C749" s="170"/>
      <c r="E749" s="170"/>
      <c r="F749" s="170"/>
      <c r="G749" s="170"/>
      <c r="H749" s="170"/>
      <c r="I749" s="170"/>
      <c r="J749" s="170"/>
      <c r="K749" s="170"/>
      <c r="L749" s="170"/>
    </row>
    <row r="750" customFormat="false" ht="15.75" hidden="false" customHeight="true" outlineLevel="0" collapsed="false">
      <c r="A750" s="170"/>
      <c r="B750" s="170"/>
      <c r="C750" s="170"/>
      <c r="E750" s="170"/>
      <c r="F750" s="170"/>
      <c r="G750" s="170"/>
      <c r="H750" s="170"/>
      <c r="I750" s="170"/>
      <c r="J750" s="170"/>
      <c r="K750" s="170"/>
      <c r="L750" s="170"/>
    </row>
    <row r="751" customFormat="false" ht="15.75" hidden="false" customHeight="true" outlineLevel="0" collapsed="false">
      <c r="A751" s="170"/>
      <c r="B751" s="170"/>
      <c r="C751" s="170"/>
      <c r="E751" s="170"/>
      <c r="F751" s="170"/>
      <c r="G751" s="170"/>
      <c r="H751" s="170"/>
      <c r="I751" s="170"/>
      <c r="J751" s="170"/>
      <c r="K751" s="170"/>
      <c r="L751" s="170"/>
    </row>
    <row r="752" customFormat="false" ht="15.75" hidden="false" customHeight="true" outlineLevel="0" collapsed="false">
      <c r="A752" s="170"/>
      <c r="B752" s="170"/>
      <c r="C752" s="170"/>
      <c r="E752" s="170"/>
      <c r="F752" s="170"/>
      <c r="G752" s="170"/>
      <c r="H752" s="170"/>
      <c r="I752" s="170"/>
      <c r="J752" s="170"/>
      <c r="K752" s="170"/>
      <c r="L752" s="170"/>
    </row>
    <row r="753" customFormat="false" ht="15.75" hidden="false" customHeight="true" outlineLevel="0" collapsed="false">
      <c r="A753" s="170"/>
      <c r="B753" s="170"/>
      <c r="C753" s="170"/>
      <c r="E753" s="170"/>
      <c r="F753" s="170"/>
      <c r="G753" s="170"/>
      <c r="H753" s="170"/>
      <c r="I753" s="170"/>
      <c r="J753" s="170"/>
      <c r="K753" s="170"/>
      <c r="L753" s="170"/>
    </row>
    <row r="754" customFormat="false" ht="15.75" hidden="false" customHeight="true" outlineLevel="0" collapsed="false">
      <c r="A754" s="170"/>
      <c r="B754" s="170"/>
      <c r="C754" s="170"/>
      <c r="E754" s="170"/>
      <c r="F754" s="170"/>
      <c r="G754" s="170"/>
      <c r="H754" s="170"/>
      <c r="I754" s="170"/>
      <c r="J754" s="170"/>
      <c r="K754" s="170"/>
      <c r="L754" s="170"/>
    </row>
    <row r="755" customFormat="false" ht="15.75" hidden="false" customHeight="true" outlineLevel="0" collapsed="false">
      <c r="A755" s="170"/>
      <c r="B755" s="170"/>
      <c r="C755" s="170"/>
      <c r="E755" s="170"/>
      <c r="F755" s="170"/>
      <c r="G755" s="170"/>
      <c r="H755" s="170"/>
      <c r="I755" s="170"/>
      <c r="J755" s="170"/>
      <c r="K755" s="170"/>
      <c r="L755" s="170"/>
    </row>
    <row r="756" customFormat="false" ht="15.75" hidden="false" customHeight="true" outlineLevel="0" collapsed="false">
      <c r="A756" s="170"/>
      <c r="B756" s="170"/>
      <c r="C756" s="170"/>
      <c r="E756" s="170"/>
      <c r="F756" s="170"/>
      <c r="G756" s="170"/>
      <c r="H756" s="170"/>
      <c r="I756" s="170"/>
      <c r="J756" s="170"/>
      <c r="K756" s="170"/>
      <c r="L756" s="170"/>
    </row>
    <row r="757" customFormat="false" ht="15.75" hidden="false" customHeight="true" outlineLevel="0" collapsed="false">
      <c r="A757" s="170"/>
      <c r="B757" s="170"/>
      <c r="C757" s="170"/>
      <c r="E757" s="170"/>
      <c r="F757" s="170"/>
      <c r="G757" s="170"/>
      <c r="H757" s="170"/>
      <c r="I757" s="170"/>
      <c r="J757" s="170"/>
      <c r="K757" s="170"/>
      <c r="L757" s="170"/>
    </row>
    <row r="758" customFormat="false" ht="15.75" hidden="false" customHeight="true" outlineLevel="0" collapsed="false">
      <c r="A758" s="170"/>
      <c r="B758" s="170"/>
      <c r="C758" s="170"/>
      <c r="E758" s="170"/>
      <c r="F758" s="170"/>
      <c r="G758" s="170"/>
      <c r="H758" s="170"/>
      <c r="I758" s="170"/>
      <c r="J758" s="170"/>
      <c r="K758" s="170"/>
      <c r="L758" s="170"/>
    </row>
    <row r="759" customFormat="false" ht="15.75" hidden="false" customHeight="true" outlineLevel="0" collapsed="false">
      <c r="A759" s="170"/>
      <c r="B759" s="170"/>
      <c r="C759" s="170"/>
      <c r="E759" s="170"/>
      <c r="F759" s="170"/>
      <c r="G759" s="170"/>
      <c r="H759" s="170"/>
      <c r="I759" s="170"/>
      <c r="J759" s="170"/>
      <c r="K759" s="170"/>
      <c r="L759" s="170"/>
    </row>
    <row r="760" customFormat="false" ht="15.75" hidden="false" customHeight="true" outlineLevel="0" collapsed="false">
      <c r="A760" s="170"/>
      <c r="B760" s="170"/>
      <c r="C760" s="170"/>
      <c r="E760" s="170"/>
      <c r="F760" s="170"/>
      <c r="G760" s="170"/>
      <c r="H760" s="170"/>
      <c r="I760" s="170"/>
      <c r="J760" s="170"/>
      <c r="K760" s="170"/>
      <c r="L760" s="170"/>
    </row>
    <row r="761" customFormat="false" ht="15.75" hidden="false" customHeight="true" outlineLevel="0" collapsed="false">
      <c r="A761" s="170"/>
      <c r="B761" s="170"/>
      <c r="C761" s="170"/>
      <c r="E761" s="170"/>
      <c r="F761" s="170"/>
      <c r="G761" s="170"/>
      <c r="H761" s="170"/>
      <c r="I761" s="170"/>
      <c r="J761" s="170"/>
      <c r="K761" s="170"/>
      <c r="L761" s="170"/>
    </row>
    <row r="762" customFormat="false" ht="15.75" hidden="false" customHeight="true" outlineLevel="0" collapsed="false">
      <c r="A762" s="170"/>
      <c r="B762" s="170"/>
      <c r="C762" s="170"/>
      <c r="E762" s="170"/>
      <c r="F762" s="170"/>
      <c r="G762" s="170"/>
      <c r="H762" s="170"/>
      <c r="I762" s="170"/>
      <c r="J762" s="170"/>
      <c r="K762" s="170"/>
      <c r="L762" s="170"/>
    </row>
    <row r="763" customFormat="false" ht="15.75" hidden="false" customHeight="true" outlineLevel="0" collapsed="false">
      <c r="A763" s="170"/>
      <c r="B763" s="170"/>
      <c r="C763" s="170"/>
      <c r="E763" s="170"/>
      <c r="F763" s="170"/>
      <c r="G763" s="170"/>
      <c r="H763" s="170"/>
      <c r="I763" s="170"/>
      <c r="J763" s="170"/>
      <c r="K763" s="170"/>
      <c r="L763" s="170"/>
    </row>
    <row r="764" customFormat="false" ht="15.75" hidden="false" customHeight="true" outlineLevel="0" collapsed="false">
      <c r="A764" s="170"/>
      <c r="B764" s="170"/>
      <c r="C764" s="170"/>
      <c r="E764" s="170"/>
      <c r="F764" s="170"/>
      <c r="G764" s="170"/>
      <c r="H764" s="170"/>
      <c r="I764" s="170"/>
      <c r="J764" s="170"/>
      <c r="K764" s="170"/>
      <c r="L764" s="170"/>
    </row>
    <row r="765" customFormat="false" ht="15.75" hidden="false" customHeight="true" outlineLevel="0" collapsed="false">
      <c r="A765" s="170"/>
      <c r="B765" s="170"/>
      <c r="C765" s="170"/>
      <c r="E765" s="170"/>
      <c r="F765" s="170"/>
      <c r="G765" s="170"/>
      <c r="H765" s="170"/>
      <c r="I765" s="170"/>
      <c r="J765" s="170"/>
      <c r="K765" s="170"/>
      <c r="L765" s="170"/>
    </row>
    <row r="766" customFormat="false" ht="15.75" hidden="false" customHeight="true" outlineLevel="0" collapsed="false">
      <c r="A766" s="170"/>
      <c r="B766" s="170"/>
      <c r="C766" s="170"/>
      <c r="E766" s="170"/>
      <c r="F766" s="170"/>
      <c r="G766" s="170"/>
      <c r="H766" s="170"/>
      <c r="I766" s="170"/>
      <c r="J766" s="170"/>
      <c r="K766" s="170"/>
      <c r="L766" s="170"/>
    </row>
    <row r="767" customFormat="false" ht="15.75" hidden="false" customHeight="true" outlineLevel="0" collapsed="false">
      <c r="A767" s="170"/>
      <c r="B767" s="170"/>
      <c r="C767" s="170"/>
      <c r="E767" s="170"/>
      <c r="F767" s="170"/>
      <c r="G767" s="170"/>
      <c r="H767" s="170"/>
      <c r="I767" s="170"/>
      <c r="J767" s="170"/>
      <c r="K767" s="170"/>
      <c r="L767" s="170"/>
    </row>
    <row r="768" customFormat="false" ht="15.75" hidden="false" customHeight="true" outlineLevel="0" collapsed="false">
      <c r="A768" s="170"/>
      <c r="B768" s="170"/>
      <c r="C768" s="170"/>
      <c r="E768" s="170"/>
      <c r="F768" s="170"/>
      <c r="G768" s="170"/>
      <c r="H768" s="170"/>
      <c r="I768" s="170"/>
      <c r="J768" s="170"/>
      <c r="K768" s="170"/>
      <c r="L768" s="170"/>
    </row>
    <row r="769" customFormat="false" ht="15.75" hidden="false" customHeight="true" outlineLevel="0" collapsed="false">
      <c r="A769" s="170"/>
      <c r="B769" s="170"/>
      <c r="C769" s="170"/>
      <c r="E769" s="170"/>
      <c r="F769" s="170"/>
      <c r="G769" s="170"/>
      <c r="H769" s="170"/>
      <c r="I769" s="170"/>
      <c r="J769" s="170"/>
      <c r="K769" s="170"/>
      <c r="L769" s="170"/>
    </row>
    <row r="770" customFormat="false" ht="15.75" hidden="false" customHeight="true" outlineLevel="0" collapsed="false">
      <c r="A770" s="170"/>
      <c r="B770" s="170"/>
      <c r="C770" s="170"/>
      <c r="E770" s="170"/>
      <c r="F770" s="170"/>
      <c r="G770" s="170"/>
      <c r="H770" s="170"/>
      <c r="I770" s="170"/>
      <c r="J770" s="170"/>
      <c r="K770" s="170"/>
      <c r="L770" s="170"/>
    </row>
    <row r="771" customFormat="false" ht="15.75" hidden="false" customHeight="true" outlineLevel="0" collapsed="false">
      <c r="A771" s="170"/>
      <c r="B771" s="170"/>
      <c r="C771" s="170"/>
      <c r="E771" s="170"/>
      <c r="F771" s="170"/>
      <c r="G771" s="170"/>
      <c r="H771" s="170"/>
      <c r="I771" s="170"/>
      <c r="J771" s="170"/>
      <c r="K771" s="170"/>
      <c r="L771" s="170"/>
    </row>
    <row r="772" customFormat="false" ht="15.75" hidden="false" customHeight="true" outlineLevel="0" collapsed="false">
      <c r="A772" s="170"/>
      <c r="B772" s="170"/>
      <c r="C772" s="170"/>
      <c r="E772" s="170"/>
      <c r="F772" s="170"/>
      <c r="G772" s="170"/>
      <c r="H772" s="170"/>
      <c r="I772" s="170"/>
      <c r="J772" s="170"/>
      <c r="K772" s="170"/>
      <c r="L772" s="170"/>
    </row>
    <row r="773" customFormat="false" ht="15.75" hidden="false" customHeight="true" outlineLevel="0" collapsed="false">
      <c r="A773" s="170"/>
      <c r="B773" s="170"/>
      <c r="C773" s="170"/>
      <c r="E773" s="170"/>
      <c r="F773" s="170"/>
      <c r="G773" s="170"/>
      <c r="H773" s="170"/>
      <c r="I773" s="170"/>
      <c r="J773" s="170"/>
      <c r="K773" s="170"/>
      <c r="L773" s="170"/>
    </row>
    <row r="774" customFormat="false" ht="15.75" hidden="false" customHeight="true" outlineLevel="0" collapsed="false">
      <c r="A774" s="170"/>
      <c r="B774" s="170"/>
      <c r="C774" s="170"/>
      <c r="E774" s="170"/>
      <c r="F774" s="170"/>
      <c r="G774" s="170"/>
      <c r="H774" s="170"/>
      <c r="I774" s="170"/>
      <c r="J774" s="170"/>
      <c r="K774" s="170"/>
      <c r="L774" s="170"/>
    </row>
    <row r="775" customFormat="false" ht="15.75" hidden="false" customHeight="true" outlineLevel="0" collapsed="false">
      <c r="A775" s="170"/>
      <c r="B775" s="170"/>
      <c r="C775" s="170"/>
      <c r="E775" s="170"/>
      <c r="F775" s="170"/>
      <c r="G775" s="170"/>
      <c r="H775" s="170"/>
      <c r="I775" s="170"/>
      <c r="J775" s="170"/>
      <c r="K775" s="170"/>
      <c r="L775" s="170"/>
    </row>
    <row r="776" customFormat="false" ht="15.75" hidden="false" customHeight="true" outlineLevel="0" collapsed="false">
      <c r="A776" s="170"/>
      <c r="B776" s="170"/>
      <c r="C776" s="170"/>
      <c r="E776" s="170"/>
      <c r="F776" s="170"/>
      <c r="G776" s="170"/>
      <c r="H776" s="170"/>
      <c r="I776" s="170"/>
      <c r="J776" s="170"/>
      <c r="K776" s="170"/>
      <c r="L776" s="170"/>
    </row>
    <row r="777" customFormat="false" ht="15.75" hidden="false" customHeight="true" outlineLevel="0" collapsed="false">
      <c r="A777" s="170"/>
      <c r="B777" s="170"/>
      <c r="C777" s="170"/>
      <c r="E777" s="170"/>
      <c r="F777" s="170"/>
      <c r="G777" s="170"/>
      <c r="H777" s="170"/>
      <c r="I777" s="170"/>
      <c r="J777" s="170"/>
      <c r="K777" s="170"/>
      <c r="L777" s="170"/>
    </row>
    <row r="778" customFormat="false" ht="15.75" hidden="false" customHeight="true" outlineLevel="0" collapsed="false">
      <c r="A778" s="170"/>
      <c r="B778" s="170"/>
      <c r="C778" s="170"/>
      <c r="E778" s="170"/>
      <c r="F778" s="170"/>
      <c r="G778" s="170"/>
      <c r="H778" s="170"/>
      <c r="I778" s="170"/>
      <c r="J778" s="170"/>
      <c r="K778" s="170"/>
      <c r="L778" s="170"/>
    </row>
    <row r="779" customFormat="false" ht="15.75" hidden="false" customHeight="true" outlineLevel="0" collapsed="false">
      <c r="A779" s="170"/>
      <c r="B779" s="170"/>
      <c r="C779" s="170"/>
      <c r="E779" s="170"/>
      <c r="F779" s="170"/>
      <c r="G779" s="170"/>
      <c r="H779" s="170"/>
      <c r="I779" s="170"/>
      <c r="J779" s="170"/>
      <c r="K779" s="170"/>
      <c r="L779" s="170"/>
    </row>
    <row r="780" customFormat="false" ht="15.75" hidden="false" customHeight="true" outlineLevel="0" collapsed="false">
      <c r="A780" s="170"/>
      <c r="B780" s="170"/>
      <c r="C780" s="170"/>
      <c r="E780" s="170"/>
      <c r="F780" s="170"/>
      <c r="G780" s="170"/>
      <c r="H780" s="170"/>
      <c r="I780" s="170"/>
      <c r="J780" s="170"/>
      <c r="K780" s="170"/>
      <c r="L780" s="170"/>
    </row>
    <row r="781" customFormat="false" ht="15.75" hidden="false" customHeight="true" outlineLevel="0" collapsed="false">
      <c r="A781" s="170"/>
      <c r="B781" s="170"/>
      <c r="C781" s="170"/>
      <c r="E781" s="170"/>
      <c r="F781" s="170"/>
      <c r="G781" s="170"/>
      <c r="H781" s="170"/>
      <c r="I781" s="170"/>
      <c r="J781" s="170"/>
      <c r="K781" s="170"/>
      <c r="L781" s="170"/>
    </row>
    <row r="782" customFormat="false" ht="15.75" hidden="false" customHeight="true" outlineLevel="0" collapsed="false">
      <c r="A782" s="170"/>
      <c r="B782" s="170"/>
      <c r="C782" s="170"/>
      <c r="E782" s="170"/>
      <c r="F782" s="170"/>
      <c r="G782" s="170"/>
      <c r="H782" s="170"/>
      <c r="I782" s="170"/>
      <c r="J782" s="170"/>
      <c r="K782" s="170"/>
      <c r="L782" s="170"/>
    </row>
    <row r="783" customFormat="false" ht="15.75" hidden="false" customHeight="true" outlineLevel="0" collapsed="false">
      <c r="A783" s="170"/>
      <c r="B783" s="170"/>
      <c r="C783" s="170"/>
      <c r="E783" s="170"/>
      <c r="F783" s="170"/>
      <c r="G783" s="170"/>
      <c r="H783" s="170"/>
      <c r="I783" s="170"/>
      <c r="J783" s="170"/>
      <c r="K783" s="170"/>
      <c r="L783" s="170"/>
    </row>
    <row r="784" customFormat="false" ht="15.75" hidden="false" customHeight="true" outlineLevel="0" collapsed="false">
      <c r="A784" s="170"/>
      <c r="B784" s="170"/>
      <c r="C784" s="170"/>
      <c r="E784" s="170"/>
      <c r="F784" s="170"/>
      <c r="G784" s="170"/>
      <c r="H784" s="170"/>
      <c r="I784" s="170"/>
      <c r="J784" s="170"/>
      <c r="K784" s="170"/>
      <c r="L784" s="170"/>
    </row>
    <row r="785" customFormat="false" ht="15.75" hidden="false" customHeight="true" outlineLevel="0" collapsed="false">
      <c r="A785" s="170"/>
      <c r="B785" s="170"/>
      <c r="C785" s="170"/>
      <c r="E785" s="170"/>
      <c r="F785" s="170"/>
      <c r="G785" s="170"/>
      <c r="H785" s="170"/>
      <c r="I785" s="170"/>
      <c r="J785" s="170"/>
      <c r="K785" s="170"/>
      <c r="L785" s="170"/>
    </row>
    <row r="786" customFormat="false" ht="15.75" hidden="false" customHeight="true" outlineLevel="0" collapsed="false">
      <c r="A786" s="170"/>
      <c r="B786" s="170"/>
      <c r="C786" s="170"/>
      <c r="E786" s="170"/>
      <c r="F786" s="170"/>
      <c r="G786" s="170"/>
      <c r="H786" s="170"/>
      <c r="I786" s="170"/>
      <c r="J786" s="170"/>
      <c r="K786" s="170"/>
      <c r="L786" s="170"/>
    </row>
    <row r="787" customFormat="false" ht="15.75" hidden="false" customHeight="true" outlineLevel="0" collapsed="false">
      <c r="A787" s="170"/>
      <c r="B787" s="170"/>
      <c r="C787" s="170"/>
      <c r="E787" s="170"/>
      <c r="F787" s="170"/>
      <c r="G787" s="170"/>
      <c r="H787" s="170"/>
      <c r="I787" s="170"/>
      <c r="J787" s="170"/>
      <c r="K787" s="170"/>
      <c r="L787" s="170"/>
    </row>
    <row r="788" customFormat="false" ht="15.75" hidden="false" customHeight="true" outlineLevel="0" collapsed="false">
      <c r="A788" s="170"/>
      <c r="B788" s="170"/>
      <c r="C788" s="170"/>
      <c r="E788" s="170"/>
      <c r="F788" s="170"/>
      <c r="G788" s="170"/>
      <c r="H788" s="170"/>
      <c r="I788" s="170"/>
      <c r="J788" s="170"/>
      <c r="K788" s="170"/>
      <c r="L788" s="170"/>
    </row>
    <row r="789" customFormat="false" ht="15.75" hidden="false" customHeight="true" outlineLevel="0" collapsed="false">
      <c r="A789" s="170"/>
      <c r="B789" s="170"/>
      <c r="C789" s="170"/>
      <c r="E789" s="170"/>
      <c r="F789" s="170"/>
      <c r="G789" s="170"/>
      <c r="H789" s="170"/>
      <c r="I789" s="170"/>
      <c r="J789" s="170"/>
      <c r="K789" s="170"/>
      <c r="L789" s="170"/>
    </row>
    <row r="790" customFormat="false" ht="15.75" hidden="false" customHeight="true" outlineLevel="0" collapsed="false">
      <c r="A790" s="170"/>
      <c r="B790" s="170"/>
      <c r="C790" s="170"/>
      <c r="E790" s="170"/>
      <c r="F790" s="170"/>
      <c r="G790" s="170"/>
      <c r="H790" s="170"/>
      <c r="I790" s="170"/>
      <c r="J790" s="170"/>
      <c r="K790" s="170"/>
      <c r="L790" s="170"/>
    </row>
    <row r="791" customFormat="false" ht="15.75" hidden="false" customHeight="true" outlineLevel="0" collapsed="false">
      <c r="A791" s="170"/>
      <c r="B791" s="170"/>
      <c r="C791" s="170"/>
      <c r="E791" s="170"/>
      <c r="F791" s="170"/>
      <c r="G791" s="170"/>
      <c r="H791" s="170"/>
      <c r="I791" s="170"/>
      <c r="J791" s="170"/>
      <c r="K791" s="170"/>
      <c r="L791" s="170"/>
    </row>
    <row r="792" customFormat="false" ht="15.75" hidden="false" customHeight="true" outlineLevel="0" collapsed="false">
      <c r="A792" s="170"/>
      <c r="B792" s="170"/>
      <c r="C792" s="170"/>
      <c r="E792" s="170"/>
      <c r="F792" s="170"/>
      <c r="G792" s="170"/>
      <c r="H792" s="170"/>
      <c r="I792" s="170"/>
      <c r="J792" s="170"/>
      <c r="K792" s="170"/>
      <c r="L792" s="170"/>
    </row>
    <row r="793" customFormat="false" ht="15.75" hidden="false" customHeight="true" outlineLevel="0" collapsed="false">
      <c r="A793" s="170"/>
      <c r="B793" s="170"/>
      <c r="C793" s="170"/>
      <c r="E793" s="170"/>
      <c r="F793" s="170"/>
      <c r="G793" s="170"/>
      <c r="H793" s="170"/>
      <c r="I793" s="170"/>
      <c r="J793" s="170"/>
      <c r="K793" s="170"/>
      <c r="L793" s="170"/>
    </row>
    <row r="794" customFormat="false" ht="15.75" hidden="false" customHeight="true" outlineLevel="0" collapsed="false">
      <c r="A794" s="170"/>
      <c r="B794" s="170"/>
      <c r="C794" s="170"/>
      <c r="E794" s="170"/>
      <c r="F794" s="170"/>
      <c r="G794" s="170"/>
      <c r="H794" s="170"/>
      <c r="I794" s="170"/>
      <c r="J794" s="170"/>
      <c r="K794" s="170"/>
      <c r="L794" s="170"/>
    </row>
    <row r="795" customFormat="false" ht="15.75" hidden="false" customHeight="true" outlineLevel="0" collapsed="false">
      <c r="A795" s="170"/>
      <c r="B795" s="170"/>
      <c r="C795" s="170"/>
      <c r="E795" s="170"/>
      <c r="F795" s="170"/>
      <c r="G795" s="170"/>
      <c r="H795" s="170"/>
      <c r="I795" s="170"/>
      <c r="J795" s="170"/>
      <c r="K795" s="170"/>
      <c r="L795" s="170"/>
    </row>
    <row r="796" customFormat="false" ht="15.75" hidden="false" customHeight="true" outlineLevel="0" collapsed="false">
      <c r="A796" s="170"/>
      <c r="B796" s="170"/>
      <c r="C796" s="170"/>
      <c r="E796" s="170"/>
      <c r="F796" s="170"/>
      <c r="G796" s="170"/>
      <c r="H796" s="170"/>
      <c r="I796" s="170"/>
      <c r="J796" s="170"/>
      <c r="K796" s="170"/>
      <c r="L796" s="170"/>
    </row>
    <row r="797" customFormat="false" ht="15.75" hidden="false" customHeight="true" outlineLevel="0" collapsed="false">
      <c r="A797" s="170"/>
      <c r="B797" s="170"/>
      <c r="C797" s="170"/>
      <c r="E797" s="170"/>
      <c r="F797" s="170"/>
      <c r="G797" s="170"/>
      <c r="H797" s="170"/>
      <c r="I797" s="170"/>
      <c r="J797" s="170"/>
      <c r="K797" s="170"/>
      <c r="L797" s="170"/>
    </row>
    <row r="798" customFormat="false" ht="15.75" hidden="false" customHeight="true" outlineLevel="0" collapsed="false">
      <c r="A798" s="170"/>
      <c r="B798" s="170"/>
      <c r="C798" s="170"/>
      <c r="E798" s="170"/>
      <c r="F798" s="170"/>
      <c r="G798" s="170"/>
      <c r="H798" s="170"/>
      <c r="I798" s="170"/>
      <c r="J798" s="170"/>
      <c r="K798" s="170"/>
      <c r="L798" s="170"/>
    </row>
    <row r="799" customFormat="false" ht="15.75" hidden="false" customHeight="true" outlineLevel="0" collapsed="false">
      <c r="A799" s="170"/>
      <c r="B799" s="170"/>
      <c r="C799" s="170"/>
      <c r="E799" s="170"/>
      <c r="F799" s="170"/>
      <c r="G799" s="170"/>
      <c r="H799" s="170"/>
      <c r="I799" s="170"/>
      <c r="J799" s="170"/>
      <c r="K799" s="170"/>
      <c r="L799" s="170"/>
    </row>
    <row r="800" customFormat="false" ht="15.75" hidden="false" customHeight="true" outlineLevel="0" collapsed="false">
      <c r="A800" s="170"/>
      <c r="B800" s="170"/>
      <c r="C800" s="170"/>
      <c r="E800" s="170"/>
      <c r="F800" s="170"/>
      <c r="G800" s="170"/>
      <c r="H800" s="170"/>
      <c r="I800" s="170"/>
      <c r="J800" s="170"/>
      <c r="K800" s="170"/>
      <c r="L800" s="170"/>
    </row>
    <row r="801" customFormat="false" ht="15.75" hidden="false" customHeight="true" outlineLevel="0" collapsed="false">
      <c r="A801" s="170"/>
      <c r="B801" s="170"/>
      <c r="C801" s="170"/>
      <c r="E801" s="170"/>
      <c r="F801" s="170"/>
      <c r="G801" s="170"/>
      <c r="H801" s="170"/>
      <c r="I801" s="170"/>
      <c r="J801" s="170"/>
      <c r="K801" s="170"/>
      <c r="L801" s="170"/>
    </row>
    <row r="802" customFormat="false" ht="15.75" hidden="false" customHeight="true" outlineLevel="0" collapsed="false">
      <c r="A802" s="170"/>
      <c r="B802" s="170"/>
      <c r="C802" s="170"/>
      <c r="E802" s="170"/>
      <c r="F802" s="170"/>
      <c r="G802" s="170"/>
      <c r="H802" s="170"/>
      <c r="I802" s="170"/>
      <c r="J802" s="170"/>
      <c r="K802" s="170"/>
      <c r="L802" s="170"/>
    </row>
    <row r="803" customFormat="false" ht="15.75" hidden="false" customHeight="true" outlineLevel="0" collapsed="false">
      <c r="A803" s="170"/>
      <c r="B803" s="170"/>
      <c r="C803" s="170"/>
      <c r="E803" s="170"/>
      <c r="F803" s="170"/>
      <c r="G803" s="170"/>
      <c r="H803" s="170"/>
      <c r="I803" s="170"/>
      <c r="J803" s="170"/>
      <c r="K803" s="170"/>
      <c r="L803" s="170"/>
    </row>
    <row r="804" customFormat="false" ht="15.75" hidden="false" customHeight="true" outlineLevel="0" collapsed="false">
      <c r="A804" s="170"/>
      <c r="B804" s="170"/>
      <c r="C804" s="170"/>
      <c r="E804" s="170"/>
      <c r="F804" s="170"/>
      <c r="G804" s="170"/>
      <c r="H804" s="170"/>
      <c r="I804" s="170"/>
      <c r="J804" s="170"/>
      <c r="K804" s="170"/>
      <c r="L804" s="170"/>
    </row>
    <row r="805" customFormat="false" ht="15.75" hidden="false" customHeight="true" outlineLevel="0" collapsed="false">
      <c r="A805" s="170"/>
      <c r="B805" s="170"/>
      <c r="C805" s="170"/>
      <c r="E805" s="170"/>
      <c r="F805" s="170"/>
      <c r="G805" s="170"/>
      <c r="H805" s="170"/>
      <c r="I805" s="170"/>
      <c r="J805" s="170"/>
      <c r="K805" s="170"/>
      <c r="L805" s="170"/>
    </row>
    <row r="806" customFormat="false" ht="15.75" hidden="false" customHeight="true" outlineLevel="0" collapsed="false">
      <c r="A806" s="170"/>
      <c r="B806" s="170"/>
      <c r="C806" s="170"/>
      <c r="E806" s="170"/>
      <c r="F806" s="170"/>
      <c r="G806" s="170"/>
      <c r="H806" s="170"/>
      <c r="I806" s="170"/>
      <c r="J806" s="170"/>
      <c r="K806" s="170"/>
      <c r="L806" s="170"/>
    </row>
    <row r="807" customFormat="false" ht="15.75" hidden="false" customHeight="true" outlineLevel="0" collapsed="false">
      <c r="A807" s="170"/>
      <c r="B807" s="170"/>
      <c r="C807" s="170"/>
      <c r="E807" s="170"/>
      <c r="F807" s="170"/>
      <c r="G807" s="170"/>
      <c r="H807" s="170"/>
      <c r="I807" s="170"/>
      <c r="J807" s="170"/>
      <c r="K807" s="170"/>
      <c r="L807" s="170"/>
    </row>
    <row r="808" customFormat="false" ht="15.75" hidden="false" customHeight="true" outlineLevel="0" collapsed="false">
      <c r="A808" s="170"/>
      <c r="B808" s="170"/>
      <c r="C808" s="170"/>
      <c r="E808" s="170"/>
      <c r="F808" s="170"/>
      <c r="G808" s="170"/>
      <c r="H808" s="170"/>
      <c r="I808" s="170"/>
      <c r="J808" s="170"/>
      <c r="K808" s="170"/>
      <c r="L808" s="170"/>
    </row>
    <row r="809" customFormat="false" ht="15.75" hidden="false" customHeight="true" outlineLevel="0" collapsed="false">
      <c r="A809" s="170"/>
      <c r="B809" s="170"/>
      <c r="C809" s="170"/>
      <c r="E809" s="170"/>
      <c r="F809" s="170"/>
      <c r="G809" s="170"/>
      <c r="H809" s="170"/>
      <c r="I809" s="170"/>
      <c r="J809" s="170"/>
      <c r="K809" s="170"/>
      <c r="L809" s="170"/>
    </row>
  </sheetData>
  <mergeCells count="4">
    <mergeCell ref="B6:L6"/>
    <mergeCell ref="B7:D7"/>
    <mergeCell ref="B70:L70"/>
    <mergeCell ref="B71:D7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1:FC67"/>
  <sheetViews>
    <sheetView showFormulas="false" showGridLines="true" showRowColHeaders="true" showZeros="true" rightToLeft="false" tabSelected="false" showOutlineSymbols="true" defaultGridColor="true" view="normal" topLeftCell="A48" colorId="64" zoomScale="85" zoomScaleNormal="85" zoomScalePageLayoutView="100" workbookViewId="0">
      <selection pane="topLeft" activeCell="T165" activeCellId="0" sqref="T165"/>
    </sheetView>
  </sheetViews>
  <sheetFormatPr defaultColWidth="8.82421875" defaultRowHeight="14.5" zeroHeight="false" outlineLevelRow="0" outlineLevelCol="0"/>
  <cols>
    <col collapsed="false" customWidth="true" hidden="false" outlineLevel="0" max="1" min="1" style="194" width="1.45"/>
    <col collapsed="false" customWidth="true" hidden="false" outlineLevel="0" max="2" min="2" style="194" width="27.45"/>
    <col collapsed="false" customWidth="true" hidden="false" outlineLevel="0" max="3" min="3" style="194" width="5.82"/>
    <col collapsed="false" customWidth="true" hidden="false" outlineLevel="0" max="4" min="4" style="194" width="7.45"/>
    <col collapsed="false" customWidth="true" hidden="false" outlineLevel="0" max="5" min="5" style="194" width="7.82"/>
    <col collapsed="false" customWidth="true" hidden="false" outlineLevel="0" max="6" min="6" style="194" width="7.45"/>
    <col collapsed="false" customWidth="true" hidden="false" outlineLevel="0" max="7" min="7" style="194" width="7.82"/>
    <col collapsed="false" customWidth="true" hidden="false" outlineLevel="0" max="9" min="8" style="194" width="7.54"/>
    <col collapsed="false" customWidth="true" hidden="false" outlineLevel="0" max="10" min="10" style="194" width="7.27"/>
    <col collapsed="false" customWidth="true" hidden="false" outlineLevel="0" max="11" min="11" style="194" width="7.18"/>
    <col collapsed="false" customWidth="true" hidden="false" outlineLevel="0" max="12" min="12" style="194" width="7.54"/>
    <col collapsed="false" customWidth="true" hidden="false" outlineLevel="0" max="13" min="13" style="194" width="7.27"/>
    <col collapsed="false" customWidth="true" hidden="false" outlineLevel="0" max="14" min="14" style="194" width="7.82"/>
    <col collapsed="false" customWidth="true" hidden="false" outlineLevel="0" max="16" min="15" style="194" width="7.54"/>
    <col collapsed="false" customWidth="true" hidden="false" outlineLevel="0" max="17" min="17" style="194" width="8"/>
    <col collapsed="false" customWidth="true" hidden="false" outlineLevel="0" max="18" min="18" style="194" width="7.82"/>
    <col collapsed="false" customWidth="true" hidden="false" outlineLevel="0" max="20" min="19" style="194" width="7.54"/>
    <col collapsed="false" customWidth="true" hidden="false" outlineLevel="0" max="22" min="21" style="194" width="8"/>
    <col collapsed="false" customWidth="true" hidden="false" outlineLevel="0" max="23" min="23" style="194" width="7.27"/>
    <col collapsed="false" customWidth="true" hidden="false" outlineLevel="0" max="24" min="24" style="194" width="7.54"/>
    <col collapsed="false" customWidth="true" hidden="false" outlineLevel="0" max="27" min="25" style="194" width="7.82"/>
    <col collapsed="false" customWidth="true" hidden="false" outlineLevel="0" max="28" min="28" style="194" width="7.45"/>
    <col collapsed="false" customWidth="true" hidden="false" outlineLevel="0" max="30" min="29" style="194" width="7.82"/>
    <col collapsed="false" customWidth="true" hidden="false" outlineLevel="0" max="31" min="31" style="194" width="8"/>
    <col collapsed="false" customWidth="true" hidden="false" outlineLevel="0" max="32" min="32" style="194" width="7.54"/>
    <col collapsed="false" customWidth="true" hidden="false" outlineLevel="0" max="33" min="33" style="194" width="8"/>
    <col collapsed="false" customWidth="true" hidden="false" outlineLevel="0" max="34" min="34" style="194" width="7.82"/>
    <col collapsed="false" customWidth="false" hidden="false" outlineLevel="0" max="16384" min="35" style="194" width="8.82"/>
  </cols>
  <sheetData>
    <row r="1" customFormat="false" ht="8.5" hidden="false" customHeight="true" outlineLevel="0" collapsed="false">
      <c r="B1" s="195"/>
      <c r="C1" s="195"/>
      <c r="D1" s="195"/>
      <c r="E1" s="196"/>
      <c r="F1" s="196"/>
      <c r="G1" s="196"/>
      <c r="H1" s="196"/>
      <c r="I1" s="196"/>
    </row>
    <row r="2" customFormat="false" ht="45.65" hidden="false" customHeight="true" outlineLevel="0" collapsed="false">
      <c r="B2" s="197"/>
      <c r="C2" s="198" t="s">
        <v>484</v>
      </c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9"/>
      <c r="S2" s="199"/>
      <c r="U2" s="200" t="s">
        <v>80</v>
      </c>
      <c r="V2" s="200"/>
      <c r="W2" s="200"/>
      <c r="X2" s="200"/>
      <c r="Y2" s="200"/>
      <c r="Z2" s="201" t="s">
        <v>81</v>
      </c>
      <c r="AA2" s="201"/>
      <c r="AB2" s="201"/>
      <c r="AC2" s="201"/>
    </row>
    <row r="3" customFormat="false" ht="14.5" hidden="false" customHeight="true" outlineLevel="0" collapsed="false">
      <c r="B3" s="202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9"/>
      <c r="S3" s="199"/>
      <c r="U3" s="203" t="s">
        <v>84</v>
      </c>
      <c r="V3" s="203"/>
      <c r="W3" s="203"/>
      <c r="X3" s="203"/>
      <c r="Y3" s="203"/>
      <c r="Z3" s="204" t="n">
        <v>45622</v>
      </c>
      <c r="AA3" s="204"/>
      <c r="AB3" s="204"/>
      <c r="AC3" s="204"/>
    </row>
    <row r="4" customFormat="false" ht="14.5" hidden="false" customHeight="true" outlineLevel="0" collapsed="false">
      <c r="B4" s="202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9"/>
      <c r="S4" s="199"/>
      <c r="U4" s="203" t="s">
        <v>86</v>
      </c>
      <c r="V4" s="203"/>
      <c r="W4" s="203"/>
      <c r="X4" s="203"/>
      <c r="Y4" s="203"/>
      <c r="Z4" s="205" t="s">
        <v>87</v>
      </c>
      <c r="AA4" s="205"/>
      <c r="AB4" s="205"/>
      <c r="AC4" s="205"/>
    </row>
    <row r="5" customFormat="false" ht="15" hidden="false" customHeight="true" outlineLevel="0" collapsed="false">
      <c r="B5" s="206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9"/>
      <c r="S5" s="199"/>
      <c r="U5" s="207" t="s">
        <v>89</v>
      </c>
      <c r="V5" s="207"/>
      <c r="W5" s="207"/>
      <c r="X5" s="207"/>
      <c r="Y5" s="207"/>
      <c r="Z5" s="208" t="n">
        <v>46073</v>
      </c>
      <c r="AA5" s="208"/>
      <c r="AB5" s="208"/>
      <c r="AC5" s="208"/>
    </row>
    <row r="6" customFormat="false" ht="14.5" hidden="false" customHeight="false" outlineLevel="0" collapsed="false">
      <c r="B6" s="195" t="s">
        <v>485</v>
      </c>
      <c r="C6" s="195"/>
      <c r="D6" s="195"/>
      <c r="E6" s="196"/>
      <c r="F6" s="196"/>
      <c r="G6" s="196"/>
      <c r="H6" s="196"/>
      <c r="I6" s="196"/>
    </row>
    <row r="20" customFormat="false" ht="14.5" hidden="false" customHeight="false" outlineLevel="0" collapsed="false">
      <c r="AF20" s="194" t="s">
        <v>96</v>
      </c>
    </row>
    <row r="40" customFormat="false" ht="14.9" hidden="false" customHeight="false" outlineLevel="0" collapsed="false">
      <c r="D40" s="209"/>
      <c r="E40" s="210" t="n">
        <v>45627</v>
      </c>
      <c r="F40" s="210"/>
      <c r="G40" s="210"/>
      <c r="H40" s="210"/>
      <c r="I40" s="211" t="n">
        <v>45658</v>
      </c>
      <c r="J40" s="211"/>
      <c r="K40" s="211"/>
      <c r="L40" s="211"/>
      <c r="M40" s="211"/>
      <c r="N40" s="210" t="n">
        <v>45689</v>
      </c>
      <c r="O40" s="210"/>
      <c r="P40" s="210"/>
      <c r="Q40" s="210"/>
      <c r="R40" s="212" t="n">
        <v>45717</v>
      </c>
      <c r="S40" s="212"/>
      <c r="T40" s="212"/>
      <c r="U40" s="212"/>
      <c r="V40" s="213" t="n">
        <v>45748</v>
      </c>
      <c r="W40" s="213"/>
      <c r="X40" s="213"/>
      <c r="Y40" s="213"/>
      <c r="Z40" s="213"/>
      <c r="AA40" s="214" t="n">
        <v>45778</v>
      </c>
      <c r="AB40" s="214"/>
      <c r="AC40" s="214"/>
      <c r="AD40" s="214"/>
      <c r="AE40" s="209" t="n">
        <v>45809</v>
      </c>
      <c r="AF40" s="209"/>
      <c r="AG40" s="209"/>
      <c r="AH40" s="209"/>
      <c r="AI40" s="209"/>
      <c r="AJ40" s="210" t="n">
        <v>45839</v>
      </c>
      <c r="AK40" s="210"/>
      <c r="AL40" s="210"/>
      <c r="AM40" s="210"/>
      <c r="AN40" s="215" t="n">
        <v>45870</v>
      </c>
      <c r="AO40" s="215"/>
      <c r="AP40" s="215"/>
      <c r="AQ40" s="215"/>
      <c r="AR40" s="216" t="n">
        <v>45901</v>
      </c>
      <c r="AS40" s="216"/>
      <c r="AT40" s="216"/>
      <c r="AU40" s="216"/>
      <c r="AV40" s="216"/>
      <c r="AW40" s="213" t="n">
        <v>45931</v>
      </c>
      <c r="AX40" s="213"/>
      <c r="AY40" s="213"/>
      <c r="AZ40" s="213"/>
      <c r="BA40" s="213" t="n">
        <v>45962</v>
      </c>
      <c r="BB40" s="213"/>
      <c r="BC40" s="213"/>
      <c r="BD40" s="213"/>
      <c r="BE40" s="217" t="n">
        <v>45992</v>
      </c>
      <c r="BF40" s="217"/>
      <c r="BG40" s="217"/>
      <c r="BH40" s="217"/>
      <c r="BI40" s="218" t="n">
        <v>46023</v>
      </c>
      <c r="BJ40" s="218"/>
      <c r="BK40" s="218"/>
      <c r="BL40" s="218"/>
      <c r="BM40" s="213" t="n">
        <v>46054</v>
      </c>
      <c r="BN40" s="213"/>
      <c r="BO40" s="213"/>
      <c r="BP40" s="213"/>
      <c r="BQ40" s="219" t="n">
        <v>46082</v>
      </c>
      <c r="BR40" s="219"/>
      <c r="BS40" s="219"/>
      <c r="BT40" s="219"/>
      <c r="BU40" s="219"/>
      <c r="BV40" s="219"/>
      <c r="BW40" s="219"/>
      <c r="BX40" s="219"/>
      <c r="BY40" s="219"/>
      <c r="BZ40" s="219"/>
      <c r="CA40" s="219"/>
      <c r="CB40" s="219"/>
      <c r="CC40" s="219"/>
      <c r="CD40" s="219"/>
      <c r="CE40" s="219"/>
      <c r="CF40" s="219"/>
      <c r="CG40" s="219"/>
      <c r="CH40" s="219"/>
      <c r="CI40" s="219"/>
      <c r="CJ40" s="219"/>
      <c r="CK40" s="219"/>
      <c r="CL40" s="219"/>
      <c r="CM40" s="219"/>
      <c r="CN40" s="219"/>
      <c r="CO40" s="219"/>
      <c r="CP40" s="219"/>
      <c r="CQ40" s="219"/>
      <c r="CR40" s="219"/>
      <c r="CS40" s="219"/>
      <c r="CT40" s="219"/>
      <c r="CU40" s="219"/>
      <c r="CV40" s="219"/>
      <c r="CW40" s="219"/>
      <c r="CX40" s="219"/>
      <c r="CY40" s="219"/>
      <c r="CZ40" s="219"/>
      <c r="DA40" s="219"/>
      <c r="DB40" s="219"/>
      <c r="DC40" s="219"/>
      <c r="DD40" s="219"/>
      <c r="DE40" s="219"/>
      <c r="DF40" s="219"/>
      <c r="DG40" s="219"/>
      <c r="DH40" s="219"/>
      <c r="DI40" s="219"/>
      <c r="DJ40" s="219"/>
      <c r="DK40" s="219"/>
      <c r="DL40" s="219"/>
      <c r="DM40" s="219"/>
      <c r="DN40" s="219"/>
      <c r="DO40" s="219"/>
      <c r="DP40" s="219"/>
      <c r="DQ40" s="219"/>
      <c r="DR40" s="219"/>
      <c r="DS40" s="219"/>
      <c r="DT40" s="219"/>
      <c r="DU40" s="219"/>
      <c r="DV40" s="219"/>
      <c r="DW40" s="219"/>
      <c r="DX40" s="219"/>
      <c r="DY40" s="219"/>
      <c r="DZ40" s="219"/>
      <c r="EA40" s="219"/>
      <c r="EB40" s="219"/>
      <c r="EC40" s="219"/>
      <c r="ED40" s="219"/>
      <c r="EE40" s="219"/>
      <c r="EF40" s="219"/>
      <c r="EG40" s="219"/>
      <c r="EH40" s="219"/>
      <c r="EI40" s="219"/>
      <c r="EJ40" s="219"/>
      <c r="EK40" s="219"/>
      <c r="EL40" s="219"/>
      <c r="EM40" s="219"/>
      <c r="EN40" s="219"/>
      <c r="EO40" s="219"/>
      <c r="EP40" s="219"/>
      <c r="EQ40" s="219"/>
      <c r="ER40" s="219"/>
      <c r="ES40" s="219"/>
      <c r="ET40" s="219"/>
      <c r="EU40" s="219"/>
      <c r="EV40" s="219"/>
      <c r="EW40" s="219"/>
      <c r="EX40" s="219"/>
      <c r="EY40" s="219"/>
      <c r="EZ40" s="219"/>
      <c r="FA40" s="219"/>
      <c r="FB40" s="219"/>
      <c r="FC40" s="219"/>
    </row>
    <row r="41" customFormat="false" ht="36" hidden="false" customHeight="true" outlineLevel="0" collapsed="false">
      <c r="D41" s="220" t="n">
        <v>45625</v>
      </c>
      <c r="E41" s="221" t="n">
        <f aca="false">+D41+7</f>
        <v>45632</v>
      </c>
      <c r="F41" s="222" t="n">
        <f aca="false">+E41+7</f>
        <v>45639</v>
      </c>
      <c r="G41" s="222" t="n">
        <f aca="false">+F41+7</f>
        <v>45646</v>
      </c>
      <c r="H41" s="223" t="n">
        <f aca="false">+G41+7</f>
        <v>45653</v>
      </c>
      <c r="I41" s="224" t="n">
        <f aca="false">+H41+7</f>
        <v>45660</v>
      </c>
      <c r="J41" s="222" t="n">
        <f aca="false">+I41+7</f>
        <v>45667</v>
      </c>
      <c r="K41" s="222" t="n">
        <f aca="false">+J41+7</f>
        <v>45674</v>
      </c>
      <c r="L41" s="222" t="n">
        <f aca="false">+K41+7</f>
        <v>45681</v>
      </c>
      <c r="M41" s="223" t="n">
        <f aca="false">+L41+7</f>
        <v>45688</v>
      </c>
      <c r="N41" s="221" t="n">
        <f aca="false">+M41+7</f>
        <v>45695</v>
      </c>
      <c r="O41" s="222" t="n">
        <f aca="false">+N41+7</f>
        <v>45702</v>
      </c>
      <c r="P41" s="222" t="n">
        <f aca="false">+O41+7</f>
        <v>45709</v>
      </c>
      <c r="Q41" s="223" t="n">
        <f aca="false">+P41+7</f>
        <v>45716</v>
      </c>
      <c r="R41" s="224" t="n">
        <f aca="false">+Q41+7</f>
        <v>45723</v>
      </c>
      <c r="S41" s="222" t="n">
        <f aca="false">+R41+7</f>
        <v>45730</v>
      </c>
      <c r="T41" s="222" t="n">
        <f aca="false">+S41+7</f>
        <v>45737</v>
      </c>
      <c r="U41" s="225" t="n">
        <f aca="false">+T41+7</f>
        <v>45744</v>
      </c>
      <c r="V41" s="226" t="n">
        <f aca="false">+U41+7</f>
        <v>45751</v>
      </c>
      <c r="W41" s="227" t="n">
        <f aca="false">+V41+7</f>
        <v>45758</v>
      </c>
      <c r="X41" s="227" t="n">
        <f aca="false">+W41+7</f>
        <v>45765</v>
      </c>
      <c r="Y41" s="227" t="n">
        <f aca="false">+X41+7</f>
        <v>45772</v>
      </c>
      <c r="Z41" s="228" t="n">
        <f aca="false">+Y41+7</f>
        <v>45779</v>
      </c>
      <c r="AA41" s="229" t="n">
        <f aca="false">+Z41+7</f>
        <v>45786</v>
      </c>
      <c r="AB41" s="230" t="n">
        <f aca="false">+AA41+7</f>
        <v>45793</v>
      </c>
      <c r="AC41" s="230" t="n">
        <f aca="false">+AB41+7</f>
        <v>45800</v>
      </c>
      <c r="AD41" s="231" t="n">
        <f aca="false">+AC41+7</f>
        <v>45807</v>
      </c>
      <c r="AE41" s="221" t="n">
        <f aca="false">+AD41+7</f>
        <v>45814</v>
      </c>
      <c r="AF41" s="222" t="n">
        <f aca="false">+AE41+7</f>
        <v>45821</v>
      </c>
      <c r="AG41" s="222" t="n">
        <f aca="false">+AF41+7</f>
        <v>45828</v>
      </c>
      <c r="AH41" s="222" t="n">
        <f aca="false">+AG41+7</f>
        <v>45835</v>
      </c>
      <c r="AI41" s="225" t="n">
        <f aca="false">+AH41+7</f>
        <v>45842</v>
      </c>
      <c r="AJ41" s="221" t="n">
        <f aca="false">+AI41+7</f>
        <v>45849</v>
      </c>
      <c r="AK41" s="222" t="n">
        <f aca="false">+AJ41+7</f>
        <v>45856</v>
      </c>
      <c r="AL41" s="222" t="n">
        <f aca="false">+AK41+7</f>
        <v>45863</v>
      </c>
      <c r="AM41" s="223" t="n">
        <f aca="false">+AL41+7</f>
        <v>45870</v>
      </c>
      <c r="AN41" s="229" t="n">
        <f aca="false">+AM41+7</f>
        <v>45877</v>
      </c>
      <c r="AO41" s="230" t="n">
        <f aca="false">+AN41+7</f>
        <v>45884</v>
      </c>
      <c r="AP41" s="230" t="n">
        <f aca="false">+AO41+7</f>
        <v>45891</v>
      </c>
      <c r="AQ41" s="231" t="n">
        <f aca="false">+AP41+7</f>
        <v>45898</v>
      </c>
      <c r="AR41" s="232" t="n">
        <f aca="false">+AQ41+7</f>
        <v>45905</v>
      </c>
      <c r="AS41" s="233" t="n">
        <f aca="false">+AR41+7</f>
        <v>45912</v>
      </c>
      <c r="AT41" s="233" t="n">
        <f aca="false">+AS41+7</f>
        <v>45919</v>
      </c>
      <c r="AU41" s="233" t="n">
        <f aca="false">+AT41+7</f>
        <v>45926</v>
      </c>
      <c r="AV41" s="234" t="n">
        <f aca="false">+AU41+7</f>
        <v>45933</v>
      </c>
      <c r="AW41" s="229" t="n">
        <f aca="false">+AV41+7</f>
        <v>45940</v>
      </c>
      <c r="AX41" s="230" t="n">
        <f aca="false">+AW41+7</f>
        <v>45947</v>
      </c>
      <c r="AY41" s="230" t="n">
        <f aca="false">+AX41+7</f>
        <v>45954</v>
      </c>
      <c r="AZ41" s="231" t="n">
        <f aca="false">+AY41+7</f>
        <v>45961</v>
      </c>
      <c r="BA41" s="235" t="n">
        <f aca="false">+AZ41+7</f>
        <v>45968</v>
      </c>
      <c r="BB41" s="230" t="n">
        <f aca="false">+BA41+7</f>
        <v>45975</v>
      </c>
      <c r="BC41" s="230" t="n">
        <f aca="false">+BB41+7</f>
        <v>45982</v>
      </c>
      <c r="BD41" s="231" t="n">
        <f aca="false">+BC41+7</f>
        <v>45989</v>
      </c>
      <c r="BE41" s="226" t="n">
        <f aca="false">+BD41+7</f>
        <v>45996</v>
      </c>
      <c r="BF41" s="227" t="n">
        <f aca="false">+BE41+7</f>
        <v>46003</v>
      </c>
      <c r="BG41" s="227" t="n">
        <f aca="false">+BF41+7</f>
        <v>46010</v>
      </c>
      <c r="BH41" s="236" t="n">
        <f aca="false">+BG41+7+7</f>
        <v>46024</v>
      </c>
      <c r="BI41" s="226" t="n">
        <f aca="false">+BH41+7</f>
        <v>46031</v>
      </c>
      <c r="BJ41" s="227" t="n">
        <f aca="false">+BI41+7</f>
        <v>46038</v>
      </c>
      <c r="BK41" s="227" t="n">
        <f aca="false">+BJ41+7</f>
        <v>46045</v>
      </c>
      <c r="BL41" s="236" t="n">
        <f aca="false">+BK41+7</f>
        <v>46052</v>
      </c>
      <c r="BM41" s="235" t="n">
        <f aca="false">+BL41+7</f>
        <v>46059</v>
      </c>
      <c r="BN41" s="230" t="n">
        <f aca="false">+BM41+7</f>
        <v>46066</v>
      </c>
      <c r="BO41" s="230" t="n">
        <f aca="false">+BN41+7</f>
        <v>46073</v>
      </c>
      <c r="BP41" s="237" t="n">
        <f aca="false">+BO41+7</f>
        <v>46080</v>
      </c>
      <c r="BQ41" s="229" t="n">
        <f aca="false">+BP41+7</f>
        <v>46087</v>
      </c>
      <c r="BR41" s="230" t="n">
        <f aca="false">+BQ41+7</f>
        <v>46094</v>
      </c>
      <c r="BS41" s="230" t="n">
        <f aca="false">+BR41+7</f>
        <v>46101</v>
      </c>
      <c r="BT41" s="230" t="n">
        <f aca="false">+BS41+7</f>
        <v>46108</v>
      </c>
      <c r="BU41" s="230" t="n">
        <f aca="false">+BT41+7</f>
        <v>46115</v>
      </c>
      <c r="BV41" s="230" t="n">
        <f aca="false">+BU41+7</f>
        <v>46122</v>
      </c>
      <c r="BW41" s="230" t="n">
        <f aca="false">+BV41+7</f>
        <v>46129</v>
      </c>
      <c r="BX41" s="230" t="n">
        <f aca="false">+BW41+7</f>
        <v>46136</v>
      </c>
      <c r="BY41" s="230" t="n">
        <f aca="false">+BX41+7</f>
        <v>46143</v>
      </c>
      <c r="BZ41" s="230" t="n">
        <f aca="false">+BY41+7</f>
        <v>46150</v>
      </c>
      <c r="CA41" s="230" t="n">
        <f aca="false">+BZ41+7</f>
        <v>46157</v>
      </c>
      <c r="CB41" s="230" t="n">
        <f aca="false">+CA41+7</f>
        <v>46164</v>
      </c>
      <c r="CC41" s="230" t="n">
        <f aca="false">+CB41+7</f>
        <v>46171</v>
      </c>
      <c r="CD41" s="230" t="n">
        <f aca="false">+CC41+7</f>
        <v>46178</v>
      </c>
      <c r="CE41" s="230" t="n">
        <f aca="false">+CD41+7</f>
        <v>46185</v>
      </c>
      <c r="CF41" s="230" t="n">
        <f aca="false">+CE41+7</f>
        <v>46192</v>
      </c>
      <c r="CG41" s="230" t="n">
        <f aca="false">+CF41+7</f>
        <v>46199</v>
      </c>
      <c r="CH41" s="230" t="n">
        <f aca="false">+CG41+7</f>
        <v>46206</v>
      </c>
      <c r="CI41" s="230" t="n">
        <f aca="false">+CH41+7</f>
        <v>46213</v>
      </c>
      <c r="CJ41" s="230" t="n">
        <f aca="false">+CI41+7</f>
        <v>46220</v>
      </c>
      <c r="CK41" s="230" t="n">
        <f aca="false">+CJ41+7</f>
        <v>46227</v>
      </c>
      <c r="CL41" s="230" t="n">
        <f aca="false">+CK41+7</f>
        <v>46234</v>
      </c>
      <c r="CM41" s="230" t="n">
        <f aca="false">+CL41+7</f>
        <v>46241</v>
      </c>
      <c r="CN41" s="230" t="n">
        <f aca="false">+CM41+7</f>
        <v>46248</v>
      </c>
      <c r="CO41" s="230" t="n">
        <f aca="false">+CN41+7</f>
        <v>46255</v>
      </c>
      <c r="CP41" s="230" t="n">
        <f aca="false">+CO41+7</f>
        <v>46262</v>
      </c>
      <c r="CQ41" s="230" t="n">
        <f aca="false">+CP41+7</f>
        <v>46269</v>
      </c>
      <c r="CR41" s="230" t="n">
        <f aca="false">+CQ41+7</f>
        <v>46276</v>
      </c>
      <c r="CS41" s="230" t="n">
        <f aca="false">+CR41+7</f>
        <v>46283</v>
      </c>
      <c r="CT41" s="230" t="n">
        <f aca="false">+CS41+7</f>
        <v>46290</v>
      </c>
      <c r="CU41" s="230" t="n">
        <f aca="false">+CT41+7</f>
        <v>46297</v>
      </c>
      <c r="CV41" s="230" t="n">
        <f aca="false">+CU41+7</f>
        <v>46304</v>
      </c>
      <c r="CW41" s="230" t="n">
        <f aca="false">+CV41+7</f>
        <v>46311</v>
      </c>
      <c r="CX41" s="230" t="n">
        <f aca="false">+CW41+7</f>
        <v>46318</v>
      </c>
      <c r="CY41" s="230" t="n">
        <f aca="false">+CX41+7</f>
        <v>46325</v>
      </c>
      <c r="CZ41" s="230" t="n">
        <f aca="false">+CY41+7</f>
        <v>46332</v>
      </c>
      <c r="DA41" s="230" t="n">
        <f aca="false">+CZ41+7</f>
        <v>46339</v>
      </c>
      <c r="DB41" s="230" t="n">
        <f aca="false">+DA41+7</f>
        <v>46346</v>
      </c>
      <c r="DC41" s="230" t="n">
        <f aca="false">+DB41+7</f>
        <v>46353</v>
      </c>
      <c r="DD41" s="230" t="n">
        <f aca="false">+DC41+7</f>
        <v>46360</v>
      </c>
      <c r="DE41" s="230" t="n">
        <f aca="false">+DD41+7</f>
        <v>46367</v>
      </c>
      <c r="DF41" s="230" t="n">
        <f aca="false">+DE41+7</f>
        <v>46374</v>
      </c>
      <c r="DG41" s="230" t="n">
        <f aca="false">+DF41+7</f>
        <v>46381</v>
      </c>
      <c r="DH41" s="230" t="n">
        <f aca="false">+DG41+7</f>
        <v>46388</v>
      </c>
      <c r="DI41" s="230" t="n">
        <f aca="false">+DH41+7</f>
        <v>46395</v>
      </c>
      <c r="DJ41" s="230" t="n">
        <f aca="false">+DI41+7</f>
        <v>46402</v>
      </c>
      <c r="DK41" s="230" t="n">
        <f aca="false">+DJ41+7</f>
        <v>46409</v>
      </c>
      <c r="DL41" s="230" t="n">
        <f aca="false">+DK41+7</f>
        <v>46416</v>
      </c>
      <c r="DM41" s="230" t="n">
        <f aca="false">+DL41+7</f>
        <v>46423</v>
      </c>
      <c r="DN41" s="230" t="n">
        <f aca="false">+DM41+7</f>
        <v>46430</v>
      </c>
      <c r="DO41" s="230" t="n">
        <f aca="false">+DN41+7</f>
        <v>46437</v>
      </c>
      <c r="DP41" s="230" t="n">
        <f aca="false">+DO41+7</f>
        <v>46444</v>
      </c>
      <c r="DQ41" s="230" t="n">
        <f aca="false">+DP41+7</f>
        <v>46451</v>
      </c>
      <c r="DR41" s="230" t="n">
        <f aca="false">+DQ41+7</f>
        <v>46458</v>
      </c>
      <c r="DS41" s="230" t="n">
        <f aca="false">+DR41+7</f>
        <v>46465</v>
      </c>
      <c r="DT41" s="230" t="n">
        <f aca="false">+DS41+7</f>
        <v>46472</v>
      </c>
      <c r="DU41" s="230" t="n">
        <f aca="false">+DT41+7</f>
        <v>46479</v>
      </c>
      <c r="DV41" s="230" t="n">
        <f aca="false">+DU41+7</f>
        <v>46486</v>
      </c>
      <c r="DW41" s="230" t="n">
        <f aca="false">+DV41+7</f>
        <v>46493</v>
      </c>
      <c r="DX41" s="230" t="n">
        <f aca="false">+DW41+7</f>
        <v>46500</v>
      </c>
      <c r="DY41" s="230" t="n">
        <f aca="false">+DX41+7</f>
        <v>46507</v>
      </c>
      <c r="DZ41" s="230" t="n">
        <f aca="false">+DY41+7</f>
        <v>46514</v>
      </c>
      <c r="EA41" s="230" t="n">
        <f aca="false">+DZ41+7</f>
        <v>46521</v>
      </c>
      <c r="EB41" s="230" t="n">
        <f aca="false">+EA41+7</f>
        <v>46528</v>
      </c>
      <c r="EC41" s="230" t="n">
        <f aca="false">+EB41+7</f>
        <v>46535</v>
      </c>
      <c r="ED41" s="230" t="n">
        <f aca="false">+EC41+7</f>
        <v>46542</v>
      </c>
      <c r="EE41" s="230" t="n">
        <f aca="false">+ED41+7</f>
        <v>46549</v>
      </c>
      <c r="EF41" s="230" t="n">
        <f aca="false">+EE41+7</f>
        <v>46556</v>
      </c>
      <c r="EG41" s="230" t="n">
        <f aca="false">+EF41+7</f>
        <v>46563</v>
      </c>
      <c r="EH41" s="230" t="n">
        <f aca="false">+EG41+7</f>
        <v>46570</v>
      </c>
      <c r="EI41" s="230" t="n">
        <f aca="false">+EH41+7</f>
        <v>46577</v>
      </c>
      <c r="EJ41" s="230" t="n">
        <f aca="false">+EI41+7</f>
        <v>46584</v>
      </c>
      <c r="EK41" s="230" t="n">
        <f aca="false">+EJ41+7</f>
        <v>46591</v>
      </c>
      <c r="EL41" s="230" t="n">
        <f aca="false">+EK41+7</f>
        <v>46598</v>
      </c>
      <c r="EM41" s="230" t="n">
        <f aca="false">+EL41+7</f>
        <v>46605</v>
      </c>
      <c r="EN41" s="230" t="n">
        <f aca="false">+EM41+7</f>
        <v>46612</v>
      </c>
      <c r="EO41" s="230" t="n">
        <f aca="false">+EN41+7</f>
        <v>46619</v>
      </c>
      <c r="EP41" s="230" t="n">
        <f aca="false">+EO41+7</f>
        <v>46626</v>
      </c>
      <c r="EQ41" s="230" t="n">
        <f aca="false">+EP41+7</f>
        <v>46633</v>
      </c>
      <c r="ER41" s="230" t="n">
        <f aca="false">+EQ41+7</f>
        <v>46640</v>
      </c>
      <c r="ES41" s="230" t="n">
        <f aca="false">+ER41+7</f>
        <v>46647</v>
      </c>
      <c r="ET41" s="230" t="n">
        <f aca="false">+ES41+7</f>
        <v>46654</v>
      </c>
      <c r="EU41" s="230" t="n">
        <f aca="false">+ET41+7</f>
        <v>46661</v>
      </c>
      <c r="EV41" s="230" t="n">
        <f aca="false">+EU41+7</f>
        <v>46668</v>
      </c>
      <c r="EW41" s="230" t="n">
        <f aca="false">+EV41+7</f>
        <v>46675</v>
      </c>
      <c r="EX41" s="230" t="n">
        <f aca="false">+EW41+7</f>
        <v>46682</v>
      </c>
      <c r="EY41" s="230" t="n">
        <f aca="false">+EX41+7</f>
        <v>46689</v>
      </c>
      <c r="EZ41" s="230" t="n">
        <f aca="false">+EY41+7</f>
        <v>46696</v>
      </c>
      <c r="FA41" s="230" t="n">
        <f aca="false">+EZ41+7</f>
        <v>46703</v>
      </c>
      <c r="FB41" s="230" t="n">
        <f aca="false">+FA41+7</f>
        <v>46710</v>
      </c>
      <c r="FC41" s="237" t="n">
        <f aca="false">+BS41+7</f>
        <v>46108</v>
      </c>
    </row>
    <row r="42" customFormat="false" ht="24" hidden="false" customHeight="true" outlineLevel="0" collapsed="false">
      <c r="B42" s="238" t="s">
        <v>486</v>
      </c>
      <c r="C42" s="238"/>
      <c r="D42" s="239" t="n">
        <v>0.8</v>
      </c>
      <c r="E42" s="240" t="n">
        <v>0.8</v>
      </c>
      <c r="F42" s="241" t="n">
        <v>0.8</v>
      </c>
      <c r="G42" s="241" t="e">
        <f aca="false">+#REF!</f>
        <v>#REF!</v>
      </c>
      <c r="H42" s="242" t="e">
        <f aca="false">+#REF!</f>
        <v>#REF!</v>
      </c>
      <c r="I42" s="240" t="n">
        <v>0.66</v>
      </c>
      <c r="J42" s="240" t="e">
        <f aca="false">+#REF!</f>
        <v>#REF!</v>
      </c>
      <c r="K42" s="241" t="e">
        <f aca="false">+#REF!</f>
        <v>#REF!</v>
      </c>
      <c r="L42" s="243" t="e">
        <f aca="false">+#REF!</f>
        <v>#REF!</v>
      </c>
      <c r="M42" s="242" t="e">
        <f aca="false">+#REF!</f>
        <v>#REF!</v>
      </c>
      <c r="N42" s="240" t="e">
        <f aca="false">+#REF!</f>
        <v>#REF!</v>
      </c>
      <c r="O42" s="241" t="e">
        <f aca="false">+#REF!</f>
        <v>#REF!</v>
      </c>
      <c r="P42" s="241" t="e">
        <f aca="false">+#REF!</f>
        <v>#REF!</v>
      </c>
      <c r="Q42" s="244" t="e">
        <f aca="false">+#REF!</f>
        <v>#REF!</v>
      </c>
      <c r="R42" s="245" t="e">
        <f aca="false">+#REF!</f>
        <v>#REF!</v>
      </c>
      <c r="S42" s="241" t="e">
        <f aca="false">+#REF!</f>
        <v>#REF!</v>
      </c>
      <c r="T42" s="241" t="e">
        <f aca="false">+#REF!</f>
        <v>#REF!</v>
      </c>
      <c r="U42" s="246" t="e">
        <f aca="false">+#REF!</f>
        <v>#REF!</v>
      </c>
      <c r="V42" s="240" t="e">
        <f aca="false">+#REF!</f>
        <v>#REF!</v>
      </c>
      <c r="W42" s="241" t="e">
        <f aca="false">+#REF!</f>
        <v>#REF!</v>
      </c>
      <c r="X42" s="241" t="e">
        <f aca="false">+#REF!</f>
        <v>#REF!</v>
      </c>
      <c r="Y42" s="243" t="e">
        <f aca="false">+#REF!</f>
        <v>#REF!</v>
      </c>
      <c r="Z42" s="242" t="e">
        <f aca="false">+#REF!</f>
        <v>#REF!</v>
      </c>
      <c r="AA42" s="245" t="e">
        <f aca="false">+#REF!</f>
        <v>#REF!</v>
      </c>
      <c r="AB42" s="241" t="e">
        <f aca="false">+#REF!</f>
        <v>#REF!</v>
      </c>
      <c r="AC42" s="241" t="e">
        <f aca="false">+#REF!</f>
        <v>#REF!</v>
      </c>
      <c r="AD42" s="247" t="e">
        <f aca="false">+#REF!</f>
        <v>#REF!</v>
      </c>
      <c r="AE42" s="240" t="e">
        <f aca="false">+#REF!</f>
        <v>#REF!</v>
      </c>
      <c r="AF42" s="241" t="e">
        <f aca="false">+#REF!</f>
        <v>#REF!</v>
      </c>
      <c r="AG42" s="241" t="e">
        <f aca="false">+#REF!</f>
        <v>#REF!</v>
      </c>
      <c r="AH42" s="241" t="e">
        <f aca="false">+#REF!</f>
        <v>#REF!</v>
      </c>
      <c r="AI42" s="247" t="e">
        <f aca="false">+#REF!</f>
        <v>#REF!</v>
      </c>
      <c r="AJ42" s="240" t="e">
        <f aca="false">+#REF!</f>
        <v>#REF!</v>
      </c>
      <c r="AK42" s="241" t="e">
        <f aca="false">+#REF!</f>
        <v>#REF!</v>
      </c>
      <c r="AL42" s="241" t="e">
        <f aca="false">+#REF!</f>
        <v>#REF!</v>
      </c>
      <c r="AM42" s="244" t="e">
        <f aca="false">+#REF!</f>
        <v>#REF!</v>
      </c>
      <c r="AN42" s="248" t="e">
        <f aca="false">+#REF!</f>
        <v>#REF!</v>
      </c>
      <c r="AO42" s="243" t="e">
        <f aca="false">+#REF!</f>
        <v>#REF!</v>
      </c>
      <c r="AP42" s="243" t="e">
        <f aca="false">+#REF!</f>
        <v>#REF!</v>
      </c>
      <c r="AQ42" s="246" t="e">
        <f aca="false">+#REF!</f>
        <v>#REF!</v>
      </c>
      <c r="AR42" s="249" t="e">
        <f aca="false">+#REF!</f>
        <v>#REF!</v>
      </c>
      <c r="AS42" s="250" t="e">
        <f aca="false">+#REF!</f>
        <v>#REF!</v>
      </c>
      <c r="AT42" s="250" t="e">
        <f aca="false">+#REF!</f>
        <v>#REF!</v>
      </c>
      <c r="AU42" s="250" t="e">
        <f aca="false">+#REF!</f>
        <v>#REF!</v>
      </c>
      <c r="AV42" s="246" t="e">
        <f aca="false">+#REF!</f>
        <v>#REF!</v>
      </c>
      <c r="AW42" s="249" t="e">
        <f aca="false">+#REF!</f>
        <v>#REF!</v>
      </c>
      <c r="AX42" s="250" t="e">
        <f aca="false">+#REF!</f>
        <v>#REF!</v>
      </c>
      <c r="AY42" s="250" t="e">
        <f aca="false">+#REF!</f>
        <v>#REF!</v>
      </c>
      <c r="AZ42" s="251" t="e">
        <f aca="false">+#REF!</f>
        <v>#REF!</v>
      </c>
      <c r="BA42" s="249" t="e">
        <f aca="false">+#REF!</f>
        <v>#REF!</v>
      </c>
      <c r="BB42" s="250" t="e">
        <f aca="false">+#REF!</f>
        <v>#REF!</v>
      </c>
      <c r="BC42" s="250" t="e">
        <f aca="false">+#REF!</f>
        <v>#REF!</v>
      </c>
      <c r="BD42" s="252" t="e">
        <f aca="false">+#REF!</f>
        <v>#REF!</v>
      </c>
      <c r="BE42" s="249" t="e">
        <f aca="false">+#REF!</f>
        <v>#REF!</v>
      </c>
      <c r="BF42" s="250" t="e">
        <f aca="false">+#REF!</f>
        <v>#REF!</v>
      </c>
      <c r="BG42" s="250" t="e">
        <f aca="false">+#REF!</f>
        <v>#REF!</v>
      </c>
      <c r="BH42" s="252" t="e">
        <f aca="false">+#REF!</f>
        <v>#REF!</v>
      </c>
      <c r="BI42" s="249" t="e">
        <f aca="false">+#REF!</f>
        <v>#REF!</v>
      </c>
      <c r="BJ42" s="250" t="e">
        <f aca="false">+#REF!</f>
        <v>#REF!</v>
      </c>
      <c r="BK42" s="250" t="e">
        <f aca="false">+#REF!</f>
        <v>#REF!</v>
      </c>
      <c r="BL42" s="252" t="e">
        <f aca="false">+#REF!</f>
        <v>#REF!</v>
      </c>
      <c r="BM42" s="249" t="e">
        <f aca="false">+#REF!</f>
        <v>#REF!</v>
      </c>
      <c r="BN42" s="250" t="e">
        <f aca="false">+#REF!</f>
        <v>#REF!</v>
      </c>
      <c r="BO42" s="250" t="e">
        <f aca="false">+#REF!</f>
        <v>#REF!</v>
      </c>
      <c r="BP42" s="253" t="e">
        <f aca="false">+#REF!</f>
        <v>#REF!</v>
      </c>
      <c r="BQ42" s="254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250"/>
      <c r="CH42" s="250"/>
      <c r="CI42" s="250"/>
      <c r="CJ42" s="250"/>
      <c r="CK42" s="250"/>
      <c r="CL42" s="250"/>
      <c r="CM42" s="250"/>
      <c r="CN42" s="250"/>
      <c r="CO42" s="250"/>
      <c r="CP42" s="250"/>
      <c r="CQ42" s="250"/>
      <c r="CR42" s="250"/>
      <c r="CS42" s="250"/>
      <c r="CT42" s="250"/>
      <c r="CU42" s="250"/>
      <c r="CV42" s="250"/>
      <c r="CW42" s="250"/>
      <c r="CX42" s="250"/>
      <c r="CY42" s="250"/>
      <c r="CZ42" s="250"/>
      <c r="DA42" s="250"/>
      <c r="DB42" s="250"/>
      <c r="DC42" s="250"/>
      <c r="DD42" s="250"/>
      <c r="DE42" s="250"/>
      <c r="DF42" s="250"/>
      <c r="DG42" s="250"/>
      <c r="DH42" s="250"/>
      <c r="DI42" s="250"/>
      <c r="DJ42" s="250"/>
      <c r="DK42" s="250"/>
      <c r="DL42" s="250"/>
      <c r="DM42" s="250"/>
      <c r="DN42" s="250"/>
      <c r="DO42" s="250"/>
      <c r="DP42" s="250"/>
      <c r="DQ42" s="250"/>
      <c r="DR42" s="250"/>
      <c r="DS42" s="250"/>
      <c r="DT42" s="250"/>
      <c r="DU42" s="250"/>
      <c r="DV42" s="250"/>
      <c r="DW42" s="250"/>
      <c r="DX42" s="250"/>
      <c r="DY42" s="250"/>
      <c r="DZ42" s="250"/>
      <c r="EA42" s="250"/>
      <c r="EB42" s="250"/>
      <c r="EC42" s="250"/>
      <c r="ED42" s="250"/>
      <c r="EE42" s="250"/>
      <c r="EF42" s="250"/>
      <c r="EG42" s="250"/>
      <c r="EH42" s="250"/>
      <c r="EI42" s="250"/>
      <c r="EJ42" s="250"/>
      <c r="EK42" s="250"/>
      <c r="EL42" s="250"/>
      <c r="EM42" s="250"/>
      <c r="EN42" s="250"/>
      <c r="EO42" s="250"/>
      <c r="EP42" s="250"/>
      <c r="EQ42" s="250"/>
      <c r="ER42" s="250"/>
      <c r="ES42" s="250"/>
      <c r="ET42" s="250"/>
      <c r="EU42" s="250"/>
      <c r="EV42" s="250"/>
      <c r="EW42" s="250"/>
      <c r="EX42" s="250"/>
      <c r="EY42" s="250"/>
      <c r="EZ42" s="250"/>
      <c r="FA42" s="250"/>
      <c r="FB42" s="250"/>
      <c r="FC42" s="255"/>
    </row>
    <row r="43" customFormat="false" ht="24" hidden="false" customHeight="true" outlineLevel="0" collapsed="false">
      <c r="B43" s="256" t="s">
        <v>487</v>
      </c>
      <c r="C43" s="256"/>
      <c r="D43" s="257" t="n">
        <v>0.8</v>
      </c>
      <c r="E43" s="258" t="n">
        <v>0.8</v>
      </c>
      <c r="F43" s="259" t="n">
        <v>0.8</v>
      </c>
      <c r="G43" s="259" t="n">
        <v>0.8</v>
      </c>
      <c r="H43" s="260" t="n">
        <v>0.8</v>
      </c>
      <c r="I43" s="261" t="n">
        <v>0.8</v>
      </c>
      <c r="J43" s="259" t="n">
        <v>0.8</v>
      </c>
      <c r="K43" s="259" t="n">
        <v>0.8</v>
      </c>
      <c r="L43" s="262" t="n">
        <v>0.8</v>
      </c>
      <c r="M43" s="263" t="n">
        <v>0.8</v>
      </c>
      <c r="N43" s="258" t="n">
        <v>0.8</v>
      </c>
      <c r="O43" s="259" t="n">
        <v>0.8</v>
      </c>
      <c r="P43" s="259" t="n">
        <v>0.8</v>
      </c>
      <c r="Q43" s="260" t="n">
        <v>0.8</v>
      </c>
      <c r="R43" s="261" t="n">
        <v>0.8</v>
      </c>
      <c r="S43" s="259" t="n">
        <v>0.8</v>
      </c>
      <c r="T43" s="259" t="n">
        <v>0.8</v>
      </c>
      <c r="U43" s="264" t="n">
        <v>0.8</v>
      </c>
      <c r="V43" s="258" t="n">
        <v>0.8</v>
      </c>
      <c r="W43" s="259" t="n">
        <v>0.8</v>
      </c>
      <c r="X43" s="259" t="n">
        <v>0.8</v>
      </c>
      <c r="Y43" s="262" t="n">
        <v>0.8</v>
      </c>
      <c r="Z43" s="263" t="n">
        <v>0.8</v>
      </c>
      <c r="AA43" s="261" t="n">
        <v>0.8</v>
      </c>
      <c r="AB43" s="259" t="n">
        <v>0.8</v>
      </c>
      <c r="AC43" s="259" t="n">
        <v>0.8</v>
      </c>
      <c r="AD43" s="264" t="n">
        <v>0.8</v>
      </c>
      <c r="AE43" s="258" t="n">
        <v>0.8</v>
      </c>
      <c r="AF43" s="259" t="n">
        <v>0.8</v>
      </c>
      <c r="AG43" s="259" t="n">
        <v>0.8</v>
      </c>
      <c r="AH43" s="262" t="n">
        <v>0.8</v>
      </c>
      <c r="AI43" s="265" t="n">
        <v>0.8</v>
      </c>
      <c r="AJ43" s="258" t="n">
        <v>0.8</v>
      </c>
      <c r="AK43" s="259" t="n">
        <v>0.8</v>
      </c>
      <c r="AL43" s="259" t="n">
        <v>0.8</v>
      </c>
      <c r="AM43" s="260" t="n">
        <v>0.8</v>
      </c>
      <c r="AN43" s="266" t="n">
        <v>0.8</v>
      </c>
      <c r="AO43" s="262" t="n">
        <v>0.8</v>
      </c>
      <c r="AP43" s="262" t="n">
        <v>0.8</v>
      </c>
      <c r="AQ43" s="264" t="n">
        <v>0.8</v>
      </c>
      <c r="AR43" s="267" t="n">
        <v>0.8</v>
      </c>
      <c r="AS43" s="268" t="n">
        <v>0.8</v>
      </c>
      <c r="AT43" s="268" t="n">
        <v>0.8</v>
      </c>
      <c r="AU43" s="268" t="n">
        <v>0.8</v>
      </c>
      <c r="AV43" s="269" t="n">
        <v>0.8</v>
      </c>
      <c r="AW43" s="266" t="n">
        <v>0.8</v>
      </c>
      <c r="AX43" s="262" t="n">
        <v>0.8</v>
      </c>
      <c r="AY43" s="262" t="n">
        <v>0.8</v>
      </c>
      <c r="AZ43" s="264" t="n">
        <v>0.8</v>
      </c>
      <c r="BA43" s="270" t="n">
        <v>0.8</v>
      </c>
      <c r="BB43" s="262" t="n">
        <v>0.8</v>
      </c>
      <c r="BC43" s="262" t="n">
        <v>0.8</v>
      </c>
      <c r="BD43" s="264" t="n">
        <v>0.8</v>
      </c>
      <c r="BE43" s="270" t="n">
        <v>0.8</v>
      </c>
      <c r="BF43" s="262" t="n">
        <v>0.8</v>
      </c>
      <c r="BG43" s="262" t="n">
        <v>0.8</v>
      </c>
      <c r="BH43" s="264" t="n">
        <v>0.8</v>
      </c>
      <c r="BI43" s="270" t="n">
        <v>0.8</v>
      </c>
      <c r="BJ43" s="262" t="n">
        <v>0.8</v>
      </c>
      <c r="BK43" s="268" t="n">
        <v>0.8</v>
      </c>
      <c r="BL43" s="264" t="n">
        <v>0.8</v>
      </c>
      <c r="BM43" s="270" t="n">
        <v>0.8</v>
      </c>
      <c r="BN43" s="268" t="n">
        <v>0.8</v>
      </c>
      <c r="BO43" s="268" t="n">
        <v>0.8</v>
      </c>
      <c r="BP43" s="271" t="n">
        <v>0.8</v>
      </c>
      <c r="BQ43" s="272" t="n">
        <v>0.8</v>
      </c>
      <c r="BR43" s="268" t="n">
        <v>0.8</v>
      </c>
      <c r="BS43" s="268" t="n">
        <v>0.8</v>
      </c>
      <c r="BT43" s="268" t="n">
        <v>0.8</v>
      </c>
      <c r="BU43" s="268" t="n">
        <v>0.8</v>
      </c>
      <c r="BV43" s="268" t="n">
        <v>0.8</v>
      </c>
      <c r="BW43" s="268" t="n">
        <v>0.8</v>
      </c>
      <c r="BX43" s="268" t="n">
        <v>0.8</v>
      </c>
      <c r="BY43" s="268" t="n">
        <v>0.8</v>
      </c>
      <c r="BZ43" s="268" t="n">
        <v>0.8</v>
      </c>
      <c r="CA43" s="268" t="n">
        <v>0.8</v>
      </c>
      <c r="CB43" s="268" t="n">
        <v>0.8</v>
      </c>
      <c r="CC43" s="268" t="n">
        <v>0.8</v>
      </c>
      <c r="CD43" s="268" t="n">
        <v>0.8</v>
      </c>
      <c r="CE43" s="268" t="n">
        <v>0.8</v>
      </c>
      <c r="CF43" s="268" t="n">
        <v>0.8</v>
      </c>
      <c r="CG43" s="268" t="n">
        <v>0.8</v>
      </c>
      <c r="CH43" s="268" t="n">
        <v>0.8</v>
      </c>
      <c r="CI43" s="268" t="n">
        <v>0.8</v>
      </c>
      <c r="CJ43" s="268" t="n">
        <v>0.8</v>
      </c>
      <c r="CK43" s="268" t="n">
        <v>0.8</v>
      </c>
      <c r="CL43" s="268" t="n">
        <v>0.8</v>
      </c>
      <c r="CM43" s="268" t="n">
        <v>0.8</v>
      </c>
      <c r="CN43" s="268" t="n">
        <v>0.8</v>
      </c>
      <c r="CO43" s="268" t="n">
        <v>0.8</v>
      </c>
      <c r="CP43" s="268" t="n">
        <v>0.8</v>
      </c>
      <c r="CQ43" s="268" t="n">
        <v>0.8</v>
      </c>
      <c r="CR43" s="268" t="n">
        <v>0.8</v>
      </c>
      <c r="CS43" s="268" t="n">
        <v>0.8</v>
      </c>
      <c r="CT43" s="268" t="n">
        <v>0.8</v>
      </c>
      <c r="CU43" s="268" t="n">
        <v>0.8</v>
      </c>
      <c r="CV43" s="268" t="n">
        <v>0.8</v>
      </c>
      <c r="CW43" s="268" t="n">
        <v>0.8</v>
      </c>
      <c r="CX43" s="268" t="n">
        <v>0.8</v>
      </c>
      <c r="CY43" s="268" t="n">
        <v>0.8</v>
      </c>
      <c r="CZ43" s="268" t="n">
        <v>0.8</v>
      </c>
      <c r="DA43" s="268" t="n">
        <v>0.8</v>
      </c>
      <c r="DB43" s="268" t="n">
        <v>0.8</v>
      </c>
      <c r="DC43" s="268" t="n">
        <v>0.8</v>
      </c>
      <c r="DD43" s="268" t="n">
        <v>0.8</v>
      </c>
      <c r="DE43" s="268" t="n">
        <v>0.8</v>
      </c>
      <c r="DF43" s="268" t="n">
        <v>0.8</v>
      </c>
      <c r="DG43" s="268" t="n">
        <v>0.8</v>
      </c>
      <c r="DH43" s="268" t="n">
        <v>0.8</v>
      </c>
      <c r="DI43" s="268" t="n">
        <v>0.8</v>
      </c>
      <c r="DJ43" s="268" t="n">
        <v>0.8</v>
      </c>
      <c r="DK43" s="268" t="n">
        <v>0.8</v>
      </c>
      <c r="DL43" s="268" t="n">
        <v>0.8</v>
      </c>
      <c r="DM43" s="268" t="n">
        <v>0.8</v>
      </c>
      <c r="DN43" s="268" t="n">
        <v>0.8</v>
      </c>
      <c r="DO43" s="268" t="n">
        <v>0.8</v>
      </c>
      <c r="DP43" s="268" t="n">
        <v>0.8</v>
      </c>
      <c r="DQ43" s="268" t="n">
        <v>0.8</v>
      </c>
      <c r="DR43" s="268" t="n">
        <v>0.8</v>
      </c>
      <c r="DS43" s="268" t="n">
        <v>0.8</v>
      </c>
      <c r="DT43" s="268" t="n">
        <v>0.8</v>
      </c>
      <c r="DU43" s="268" t="n">
        <v>0.8</v>
      </c>
      <c r="DV43" s="268" t="n">
        <v>0.8</v>
      </c>
      <c r="DW43" s="268" t="n">
        <v>0.8</v>
      </c>
      <c r="DX43" s="268" t="n">
        <v>0.8</v>
      </c>
      <c r="DY43" s="268" t="n">
        <v>0.8</v>
      </c>
      <c r="DZ43" s="268" t="n">
        <v>0.8</v>
      </c>
      <c r="EA43" s="268" t="n">
        <v>0.8</v>
      </c>
      <c r="EB43" s="268" t="n">
        <v>0.8</v>
      </c>
      <c r="EC43" s="268" t="n">
        <v>0.8</v>
      </c>
      <c r="ED43" s="268" t="n">
        <v>0.8</v>
      </c>
      <c r="EE43" s="268" t="n">
        <v>0.8</v>
      </c>
      <c r="EF43" s="268" t="n">
        <v>0.8</v>
      </c>
      <c r="EG43" s="268" t="n">
        <v>0.8</v>
      </c>
      <c r="EH43" s="268" t="n">
        <v>0.8</v>
      </c>
      <c r="EI43" s="268" t="n">
        <v>0.8</v>
      </c>
      <c r="EJ43" s="268" t="n">
        <v>0.8</v>
      </c>
      <c r="EK43" s="268" t="n">
        <v>0.8</v>
      </c>
      <c r="EL43" s="268" t="n">
        <v>0.8</v>
      </c>
      <c r="EM43" s="268" t="n">
        <v>0.8</v>
      </c>
      <c r="EN43" s="268" t="n">
        <v>0.8</v>
      </c>
      <c r="EO43" s="268" t="n">
        <v>0.8</v>
      </c>
      <c r="EP43" s="268" t="n">
        <v>0.8</v>
      </c>
      <c r="EQ43" s="268" t="n">
        <v>0.8</v>
      </c>
      <c r="ER43" s="268" t="n">
        <v>0.8</v>
      </c>
      <c r="ES43" s="268" t="n">
        <v>0.8</v>
      </c>
      <c r="ET43" s="268" t="n">
        <v>0.8</v>
      </c>
      <c r="EU43" s="268" t="n">
        <v>0.8</v>
      </c>
      <c r="EV43" s="268" t="n">
        <v>0.8</v>
      </c>
      <c r="EW43" s="268" t="n">
        <v>0.8</v>
      </c>
      <c r="EX43" s="268" t="n">
        <v>0.8</v>
      </c>
      <c r="EY43" s="268" t="n">
        <v>0.8</v>
      </c>
      <c r="EZ43" s="268" t="n">
        <v>0.8</v>
      </c>
      <c r="FA43" s="268" t="n">
        <v>0.8</v>
      </c>
      <c r="FB43" s="268" t="n">
        <v>0.8</v>
      </c>
      <c r="FC43" s="269" t="n">
        <v>0.8</v>
      </c>
    </row>
    <row r="45" customFormat="false" ht="24" hidden="false" customHeight="true" outlineLevel="0" collapsed="false">
      <c r="B45" s="273" t="s">
        <v>113</v>
      </c>
      <c r="C45" s="273"/>
    </row>
    <row r="46" customFormat="false" ht="6.65" hidden="false" customHeight="true" outlineLevel="0" collapsed="false"/>
    <row r="47" customFormat="false" ht="24" hidden="false" customHeight="true" outlineLevel="0" collapsed="false">
      <c r="B47" s="274" t="s">
        <v>82</v>
      </c>
      <c r="C47" s="275" t="e">
        <f aca="false">SUM(D47:FC47)</f>
        <v>#REF!</v>
      </c>
      <c r="D47" s="276" t="n">
        <v>0</v>
      </c>
      <c r="E47" s="277" t="n">
        <v>0</v>
      </c>
      <c r="F47" s="278" t="n">
        <v>0</v>
      </c>
      <c r="G47" s="278" t="e">
        <f aca="false">+#REF!</f>
        <v>#REF!</v>
      </c>
      <c r="H47" s="278" t="e">
        <f aca="false">+#REF!</f>
        <v>#REF!</v>
      </c>
      <c r="I47" s="279" t="e">
        <f aca="false">+#REF!</f>
        <v>#REF!</v>
      </c>
      <c r="J47" s="280" t="e">
        <f aca="false">+#REF!</f>
        <v>#REF!</v>
      </c>
      <c r="K47" s="278" t="e">
        <f aca="false">+#REF!</f>
        <v>#REF!</v>
      </c>
      <c r="L47" s="278" t="e">
        <f aca="false">+#REF!</f>
        <v>#REF!</v>
      </c>
      <c r="M47" s="279" t="e">
        <f aca="false">+#REF!</f>
        <v>#REF!</v>
      </c>
      <c r="N47" s="280" t="e">
        <f aca="false">+#REF!</f>
        <v>#REF!</v>
      </c>
      <c r="O47" s="278" t="e">
        <f aca="false">+#REF!</f>
        <v>#REF!</v>
      </c>
      <c r="P47" s="278" t="e">
        <f aca="false">+#REF!</f>
        <v>#REF!</v>
      </c>
      <c r="Q47" s="279" t="e">
        <f aca="false">+#REF!</f>
        <v>#REF!</v>
      </c>
      <c r="R47" s="280" t="e">
        <f aca="false">+#REF!</f>
        <v>#REF!</v>
      </c>
      <c r="S47" s="278" t="e">
        <f aca="false">+#REF!</f>
        <v>#REF!</v>
      </c>
      <c r="T47" s="278" t="e">
        <f aca="false">+#REF!</f>
        <v>#REF!</v>
      </c>
      <c r="U47" s="279" t="e">
        <f aca="false">+#REF!</f>
        <v>#REF!</v>
      </c>
      <c r="V47" s="280" t="e">
        <f aca="false">+#REF!</f>
        <v>#REF!</v>
      </c>
      <c r="W47" s="278" t="e">
        <f aca="false">+#REF!</f>
        <v>#REF!</v>
      </c>
      <c r="X47" s="278" t="e">
        <f aca="false">+#REF!</f>
        <v>#REF!</v>
      </c>
      <c r="Y47" s="278" t="e">
        <f aca="false">+#REF!</f>
        <v>#REF!</v>
      </c>
      <c r="Z47" s="279" t="e">
        <f aca="false">+#REF!</f>
        <v>#REF!</v>
      </c>
      <c r="AA47" s="280" t="e">
        <f aca="false">+#REF!</f>
        <v>#REF!</v>
      </c>
      <c r="AB47" s="278" t="e">
        <f aca="false">+#REF!</f>
        <v>#REF!</v>
      </c>
      <c r="AC47" s="278" t="e">
        <f aca="false">+#REF!</f>
        <v>#REF!</v>
      </c>
      <c r="AD47" s="279" t="e">
        <f aca="false">+#REF!</f>
        <v>#REF!</v>
      </c>
      <c r="AE47" s="280" t="e">
        <f aca="false">+#REF!</f>
        <v>#REF!</v>
      </c>
      <c r="AF47" s="278" t="e">
        <f aca="false">+#REF!</f>
        <v>#REF!</v>
      </c>
      <c r="AG47" s="278" t="e">
        <f aca="false">+#REF!</f>
        <v>#REF!</v>
      </c>
      <c r="AH47" s="279" t="e">
        <f aca="false">+#REF!</f>
        <v>#REF!</v>
      </c>
      <c r="AI47" s="279" t="e">
        <f aca="false">+#REF!</f>
        <v>#REF!</v>
      </c>
      <c r="AJ47" s="280" t="e">
        <f aca="false">+#REF!</f>
        <v>#REF!</v>
      </c>
      <c r="AK47" s="278" t="e">
        <f aca="false">+#REF!</f>
        <v>#REF!</v>
      </c>
      <c r="AL47" s="278" t="e">
        <f aca="false">+#REF!</f>
        <v>#REF!</v>
      </c>
      <c r="AM47" s="279" t="e">
        <f aca="false">+#REF!</f>
        <v>#REF!</v>
      </c>
      <c r="AN47" s="280" t="e">
        <f aca="false">+#REF!</f>
        <v>#REF!</v>
      </c>
      <c r="AO47" s="278" t="e">
        <f aca="false">+#REF!</f>
        <v>#REF!</v>
      </c>
      <c r="AP47" s="278" t="e">
        <f aca="false">+#REF!</f>
        <v>#REF!</v>
      </c>
      <c r="AQ47" s="279" t="e">
        <f aca="false">+#REF!</f>
        <v>#REF!</v>
      </c>
      <c r="AR47" s="280" t="e">
        <f aca="false">+#REF!</f>
        <v>#REF!</v>
      </c>
      <c r="AS47" s="278" t="e">
        <f aca="false">+#REF!</f>
        <v>#REF!</v>
      </c>
      <c r="AT47" s="278" t="e">
        <f aca="false">+#REF!</f>
        <v>#REF!</v>
      </c>
      <c r="AU47" s="278" t="e">
        <f aca="false">+#REF!</f>
        <v>#REF!</v>
      </c>
      <c r="AV47" s="279" t="e">
        <f aca="false">+#REF!</f>
        <v>#REF!</v>
      </c>
      <c r="AW47" s="280" t="e">
        <f aca="false">+#REF!</f>
        <v>#REF!</v>
      </c>
      <c r="AX47" s="278" t="e">
        <f aca="false">+#REF!</f>
        <v>#REF!</v>
      </c>
      <c r="AY47" s="278" t="e">
        <f aca="false">+#REF!</f>
        <v>#REF!</v>
      </c>
      <c r="AZ47" s="279" t="e">
        <f aca="false">+#REF!</f>
        <v>#REF!</v>
      </c>
      <c r="BA47" s="280" t="e">
        <f aca="false">+#REF!</f>
        <v>#REF!</v>
      </c>
      <c r="BB47" s="278" t="e">
        <f aca="false">+#REF!</f>
        <v>#REF!</v>
      </c>
      <c r="BC47" s="278" t="e">
        <f aca="false">+#REF!</f>
        <v>#REF!</v>
      </c>
      <c r="BD47" s="279" t="e">
        <f aca="false">+#REF!</f>
        <v>#REF!</v>
      </c>
      <c r="BE47" s="280" t="e">
        <f aca="false">+#REF!</f>
        <v>#REF!</v>
      </c>
      <c r="BF47" s="278" t="e">
        <f aca="false">+#REF!</f>
        <v>#REF!</v>
      </c>
      <c r="BG47" s="278" t="e">
        <f aca="false">+#REF!</f>
        <v>#REF!</v>
      </c>
      <c r="BH47" s="279" t="e">
        <f aca="false">+#REF!</f>
        <v>#REF!</v>
      </c>
      <c r="BI47" s="280" t="e">
        <f aca="false">+#REF!</f>
        <v>#REF!</v>
      </c>
      <c r="BJ47" s="278" t="e">
        <f aca="false">+#REF!</f>
        <v>#REF!</v>
      </c>
      <c r="BK47" s="278" t="e">
        <f aca="false">+#REF!</f>
        <v>#REF!</v>
      </c>
      <c r="BL47" s="279" t="e">
        <f aca="false">+#REF!</f>
        <v>#REF!</v>
      </c>
      <c r="BM47" s="280" t="e">
        <f aca="false">+#REF!</f>
        <v>#REF!</v>
      </c>
      <c r="BN47" s="278" t="e">
        <f aca="false">+#REF!</f>
        <v>#REF!</v>
      </c>
      <c r="BO47" s="278" t="e">
        <f aca="false">+#REF!</f>
        <v>#REF!</v>
      </c>
      <c r="BP47" s="281" t="e">
        <f aca="false">+#REF!</f>
        <v>#REF!</v>
      </c>
      <c r="BQ47" s="282"/>
      <c r="BR47" s="283"/>
      <c r="BS47" s="283"/>
      <c r="BT47" s="283"/>
      <c r="BU47" s="283"/>
      <c r="BV47" s="283"/>
      <c r="BW47" s="283"/>
      <c r="BX47" s="283"/>
      <c r="BY47" s="283"/>
      <c r="BZ47" s="283"/>
      <c r="CA47" s="283"/>
      <c r="CB47" s="283"/>
      <c r="CC47" s="283"/>
      <c r="CD47" s="283"/>
      <c r="CE47" s="283"/>
      <c r="CF47" s="283"/>
      <c r="CG47" s="283"/>
      <c r="CH47" s="283"/>
      <c r="CI47" s="283"/>
      <c r="CJ47" s="283"/>
      <c r="CK47" s="283"/>
      <c r="CL47" s="283"/>
      <c r="CM47" s="283"/>
      <c r="CN47" s="283"/>
      <c r="CO47" s="283"/>
      <c r="CP47" s="283"/>
      <c r="CQ47" s="283"/>
      <c r="CR47" s="283"/>
      <c r="CS47" s="283"/>
      <c r="CT47" s="283"/>
      <c r="CU47" s="283"/>
      <c r="CV47" s="283"/>
      <c r="CW47" s="283"/>
      <c r="CX47" s="283"/>
      <c r="CY47" s="283"/>
      <c r="CZ47" s="283"/>
      <c r="DA47" s="283"/>
      <c r="DB47" s="283"/>
      <c r="DC47" s="283"/>
      <c r="DD47" s="283"/>
      <c r="DE47" s="283"/>
      <c r="DF47" s="283"/>
      <c r="DG47" s="283"/>
      <c r="DH47" s="283"/>
      <c r="DI47" s="283"/>
      <c r="DJ47" s="283"/>
      <c r="DK47" s="283"/>
      <c r="DL47" s="283"/>
      <c r="DM47" s="283"/>
      <c r="DN47" s="283"/>
      <c r="DO47" s="283"/>
      <c r="DP47" s="283"/>
      <c r="DQ47" s="283"/>
      <c r="DR47" s="283"/>
      <c r="DS47" s="283"/>
      <c r="DT47" s="283"/>
      <c r="DU47" s="283"/>
      <c r="DV47" s="283"/>
      <c r="DW47" s="283"/>
      <c r="DX47" s="283"/>
      <c r="DY47" s="283"/>
      <c r="DZ47" s="283"/>
      <c r="EA47" s="283"/>
      <c r="EB47" s="283"/>
      <c r="EC47" s="283"/>
      <c r="ED47" s="283"/>
      <c r="EE47" s="283"/>
      <c r="EF47" s="283"/>
      <c r="EG47" s="283"/>
      <c r="EH47" s="283"/>
      <c r="EI47" s="283"/>
      <c r="EJ47" s="283"/>
      <c r="EK47" s="283"/>
      <c r="EL47" s="283"/>
      <c r="EM47" s="283"/>
      <c r="EN47" s="283"/>
      <c r="EO47" s="283"/>
      <c r="EP47" s="283"/>
      <c r="EQ47" s="283"/>
      <c r="ER47" s="283"/>
      <c r="ES47" s="283"/>
      <c r="ET47" s="283"/>
      <c r="EU47" s="283"/>
      <c r="EV47" s="283"/>
      <c r="EW47" s="283"/>
      <c r="EX47" s="283"/>
      <c r="EY47" s="283"/>
      <c r="EZ47" s="283"/>
      <c r="FA47" s="283"/>
      <c r="FB47" s="283"/>
      <c r="FC47" s="284"/>
    </row>
    <row r="48" customFormat="false" ht="24" hidden="false" customHeight="true" outlineLevel="0" collapsed="false">
      <c r="B48" s="285" t="s">
        <v>85</v>
      </c>
      <c r="C48" s="286" t="e">
        <f aca="false">SUM(D48:FC48)</f>
        <v>#REF!</v>
      </c>
      <c r="D48" s="287" t="n">
        <v>0</v>
      </c>
      <c r="E48" s="288" t="n">
        <v>0</v>
      </c>
      <c r="F48" s="289" t="n">
        <v>0</v>
      </c>
      <c r="G48" s="289" t="e">
        <f aca="false">+#REF!</f>
        <v>#REF!</v>
      </c>
      <c r="H48" s="289" t="e">
        <f aca="false">+#REF!</f>
        <v>#REF!</v>
      </c>
      <c r="I48" s="290" t="e">
        <f aca="false">+#REF!</f>
        <v>#REF!</v>
      </c>
      <c r="J48" s="291" t="e">
        <f aca="false">+#REF!</f>
        <v>#REF!</v>
      </c>
      <c r="K48" s="289" t="e">
        <f aca="false">+#REF!</f>
        <v>#REF!</v>
      </c>
      <c r="L48" s="289" t="e">
        <f aca="false">+#REF!</f>
        <v>#REF!</v>
      </c>
      <c r="M48" s="290" t="e">
        <f aca="false">+#REF!</f>
        <v>#REF!</v>
      </c>
      <c r="N48" s="291" t="e">
        <f aca="false">+#REF!</f>
        <v>#REF!</v>
      </c>
      <c r="O48" s="289" t="e">
        <f aca="false">+#REF!</f>
        <v>#REF!</v>
      </c>
      <c r="P48" s="289" t="e">
        <f aca="false">+#REF!</f>
        <v>#REF!</v>
      </c>
      <c r="Q48" s="290" t="e">
        <f aca="false">+#REF!</f>
        <v>#REF!</v>
      </c>
      <c r="R48" s="291" t="e">
        <f aca="false">+#REF!</f>
        <v>#REF!</v>
      </c>
      <c r="S48" s="289" t="e">
        <f aca="false">+#REF!</f>
        <v>#REF!</v>
      </c>
      <c r="T48" s="289" t="e">
        <f aca="false">+#REF!</f>
        <v>#REF!</v>
      </c>
      <c r="U48" s="290" t="e">
        <f aca="false">+#REF!</f>
        <v>#REF!</v>
      </c>
      <c r="V48" s="291" t="e">
        <f aca="false">+#REF!</f>
        <v>#REF!</v>
      </c>
      <c r="W48" s="289" t="e">
        <f aca="false">+#REF!</f>
        <v>#REF!</v>
      </c>
      <c r="X48" s="289" t="e">
        <f aca="false">+#REF!</f>
        <v>#REF!</v>
      </c>
      <c r="Y48" s="289" t="e">
        <f aca="false">+#REF!</f>
        <v>#REF!</v>
      </c>
      <c r="Z48" s="290" t="e">
        <f aca="false">+#REF!</f>
        <v>#REF!</v>
      </c>
      <c r="AA48" s="291" t="e">
        <f aca="false">+#REF!</f>
        <v>#REF!</v>
      </c>
      <c r="AB48" s="289" t="e">
        <f aca="false">+#REF!</f>
        <v>#REF!</v>
      </c>
      <c r="AC48" s="289" t="e">
        <f aca="false">+#REF!</f>
        <v>#REF!</v>
      </c>
      <c r="AD48" s="290" t="e">
        <f aca="false">+#REF!</f>
        <v>#REF!</v>
      </c>
      <c r="AE48" s="291" t="e">
        <f aca="false">+#REF!</f>
        <v>#REF!</v>
      </c>
      <c r="AF48" s="289" t="e">
        <f aca="false">+#REF!</f>
        <v>#REF!</v>
      </c>
      <c r="AG48" s="289" t="e">
        <f aca="false">+#REF!</f>
        <v>#REF!</v>
      </c>
      <c r="AH48" s="290" t="e">
        <f aca="false">+#REF!</f>
        <v>#REF!</v>
      </c>
      <c r="AI48" s="290" t="e">
        <f aca="false">+#REF!</f>
        <v>#REF!</v>
      </c>
      <c r="AJ48" s="291" t="e">
        <f aca="false">+#REF!</f>
        <v>#REF!</v>
      </c>
      <c r="AK48" s="289" t="e">
        <f aca="false">+#REF!</f>
        <v>#REF!</v>
      </c>
      <c r="AL48" s="289" t="e">
        <f aca="false">+#REF!</f>
        <v>#REF!</v>
      </c>
      <c r="AM48" s="290" t="e">
        <f aca="false">+#REF!</f>
        <v>#REF!</v>
      </c>
      <c r="AN48" s="291" t="e">
        <f aca="false">+#REF!</f>
        <v>#REF!</v>
      </c>
      <c r="AO48" s="289" t="e">
        <f aca="false">+#REF!</f>
        <v>#REF!</v>
      </c>
      <c r="AP48" s="289" t="e">
        <f aca="false">+#REF!</f>
        <v>#REF!</v>
      </c>
      <c r="AQ48" s="290" t="e">
        <f aca="false">+#REF!</f>
        <v>#REF!</v>
      </c>
      <c r="AR48" s="291" t="e">
        <f aca="false">+#REF!</f>
        <v>#REF!</v>
      </c>
      <c r="AS48" s="289" t="e">
        <f aca="false">+#REF!</f>
        <v>#REF!</v>
      </c>
      <c r="AT48" s="289" t="e">
        <f aca="false">+#REF!</f>
        <v>#REF!</v>
      </c>
      <c r="AU48" s="289" t="e">
        <f aca="false">+#REF!</f>
        <v>#REF!</v>
      </c>
      <c r="AV48" s="290" t="e">
        <f aca="false">+#REF!</f>
        <v>#REF!</v>
      </c>
      <c r="AW48" s="291" t="e">
        <f aca="false">+#REF!</f>
        <v>#REF!</v>
      </c>
      <c r="AX48" s="289" t="e">
        <f aca="false">+#REF!</f>
        <v>#REF!</v>
      </c>
      <c r="AY48" s="289" t="e">
        <f aca="false">+#REF!</f>
        <v>#REF!</v>
      </c>
      <c r="AZ48" s="290" t="e">
        <f aca="false">+#REF!</f>
        <v>#REF!</v>
      </c>
      <c r="BA48" s="291" t="e">
        <f aca="false">+#REF!</f>
        <v>#REF!</v>
      </c>
      <c r="BB48" s="289" t="e">
        <f aca="false">+#REF!</f>
        <v>#REF!</v>
      </c>
      <c r="BC48" s="289" t="e">
        <f aca="false">+#REF!</f>
        <v>#REF!</v>
      </c>
      <c r="BD48" s="290" t="e">
        <f aca="false">+#REF!</f>
        <v>#REF!</v>
      </c>
      <c r="BE48" s="291" t="e">
        <f aca="false">+#REF!</f>
        <v>#REF!</v>
      </c>
      <c r="BF48" s="289" t="e">
        <f aca="false">+#REF!</f>
        <v>#REF!</v>
      </c>
      <c r="BG48" s="289" t="e">
        <f aca="false">+#REF!</f>
        <v>#REF!</v>
      </c>
      <c r="BH48" s="290" t="e">
        <f aca="false">+#REF!</f>
        <v>#REF!</v>
      </c>
      <c r="BI48" s="291" t="e">
        <f aca="false">+#REF!</f>
        <v>#REF!</v>
      </c>
      <c r="BJ48" s="289" t="e">
        <f aca="false">+#REF!</f>
        <v>#REF!</v>
      </c>
      <c r="BK48" s="289" t="e">
        <f aca="false">+#REF!</f>
        <v>#REF!</v>
      </c>
      <c r="BL48" s="290" t="e">
        <f aca="false">+#REF!</f>
        <v>#REF!</v>
      </c>
      <c r="BM48" s="291" t="e">
        <f aca="false">+#REF!</f>
        <v>#REF!</v>
      </c>
      <c r="BN48" s="289" t="e">
        <f aca="false">+#REF!</f>
        <v>#REF!</v>
      </c>
      <c r="BO48" s="289" t="e">
        <f aca="false">+#REF!</f>
        <v>#REF!</v>
      </c>
      <c r="BP48" s="292" t="e">
        <f aca="false">+#REF!</f>
        <v>#REF!</v>
      </c>
      <c r="BQ48" s="293"/>
      <c r="BR48" s="294"/>
      <c r="BS48" s="294"/>
      <c r="BT48" s="294"/>
      <c r="BU48" s="294"/>
      <c r="BV48" s="294"/>
      <c r="BW48" s="294"/>
      <c r="BX48" s="294"/>
      <c r="BY48" s="294"/>
      <c r="BZ48" s="294"/>
      <c r="CA48" s="294"/>
      <c r="CB48" s="294"/>
      <c r="CC48" s="294"/>
      <c r="CD48" s="294"/>
      <c r="CE48" s="294"/>
      <c r="CF48" s="294"/>
      <c r="CG48" s="294"/>
      <c r="CH48" s="294"/>
      <c r="CI48" s="294"/>
      <c r="CJ48" s="294"/>
      <c r="CK48" s="294"/>
      <c r="CL48" s="294"/>
      <c r="CM48" s="294"/>
      <c r="CN48" s="294"/>
      <c r="CO48" s="294"/>
      <c r="CP48" s="294"/>
      <c r="CQ48" s="294"/>
      <c r="CR48" s="294"/>
      <c r="CS48" s="294"/>
      <c r="CT48" s="294"/>
      <c r="CU48" s="294"/>
      <c r="CV48" s="294"/>
      <c r="CW48" s="294"/>
      <c r="CX48" s="294"/>
      <c r="CY48" s="294"/>
      <c r="CZ48" s="294"/>
      <c r="DA48" s="294"/>
      <c r="DB48" s="294"/>
      <c r="DC48" s="294"/>
      <c r="DD48" s="294"/>
      <c r="DE48" s="294"/>
      <c r="DF48" s="294"/>
      <c r="DG48" s="294"/>
      <c r="DH48" s="294"/>
      <c r="DI48" s="294"/>
      <c r="DJ48" s="294"/>
      <c r="DK48" s="294"/>
      <c r="DL48" s="294"/>
      <c r="DM48" s="294"/>
      <c r="DN48" s="294"/>
      <c r="DO48" s="294"/>
      <c r="DP48" s="294"/>
      <c r="DQ48" s="294"/>
      <c r="DR48" s="294"/>
      <c r="DS48" s="294"/>
      <c r="DT48" s="294"/>
      <c r="DU48" s="294"/>
      <c r="DV48" s="294"/>
      <c r="DW48" s="294"/>
      <c r="DX48" s="294"/>
      <c r="DY48" s="294"/>
      <c r="DZ48" s="294"/>
      <c r="EA48" s="294"/>
      <c r="EB48" s="294"/>
      <c r="EC48" s="294"/>
      <c r="ED48" s="294"/>
      <c r="EE48" s="294"/>
      <c r="EF48" s="294"/>
      <c r="EG48" s="294"/>
      <c r="EH48" s="294"/>
      <c r="EI48" s="294"/>
      <c r="EJ48" s="294"/>
      <c r="EK48" s="294"/>
      <c r="EL48" s="294"/>
      <c r="EM48" s="294"/>
      <c r="EN48" s="294"/>
      <c r="EO48" s="294"/>
      <c r="EP48" s="294"/>
      <c r="EQ48" s="294"/>
      <c r="ER48" s="294"/>
      <c r="ES48" s="294"/>
      <c r="ET48" s="294"/>
      <c r="EU48" s="294"/>
      <c r="EV48" s="294"/>
      <c r="EW48" s="294"/>
      <c r="EX48" s="294"/>
      <c r="EY48" s="294"/>
      <c r="EZ48" s="294"/>
      <c r="FA48" s="294"/>
      <c r="FB48" s="294"/>
      <c r="FC48" s="295"/>
    </row>
    <row r="49" customFormat="false" ht="24" hidden="false" customHeight="true" outlineLevel="0" collapsed="false">
      <c r="B49" s="285" t="s">
        <v>88</v>
      </c>
      <c r="C49" s="286" t="e">
        <f aca="false">SUM(D49:FC49)</f>
        <v>#REF!</v>
      </c>
      <c r="D49" s="287" t="n">
        <v>0</v>
      </c>
      <c r="E49" s="288" t="n">
        <v>0</v>
      </c>
      <c r="F49" s="289" t="n">
        <v>0</v>
      </c>
      <c r="G49" s="289" t="e">
        <f aca="false">+#REF!</f>
        <v>#REF!</v>
      </c>
      <c r="H49" s="289" t="e">
        <f aca="false">+#REF!</f>
        <v>#REF!</v>
      </c>
      <c r="I49" s="290" t="e">
        <f aca="false">+#REF!</f>
        <v>#REF!</v>
      </c>
      <c r="J49" s="291" t="e">
        <f aca="false">+#REF!</f>
        <v>#REF!</v>
      </c>
      <c r="K49" s="289" t="e">
        <f aca="false">+#REF!</f>
        <v>#REF!</v>
      </c>
      <c r="L49" s="289" t="e">
        <f aca="false">+#REF!</f>
        <v>#REF!</v>
      </c>
      <c r="M49" s="290" t="e">
        <f aca="false">+#REF!</f>
        <v>#REF!</v>
      </c>
      <c r="N49" s="291" t="e">
        <f aca="false">+#REF!</f>
        <v>#REF!</v>
      </c>
      <c r="O49" s="289" t="e">
        <f aca="false">+#REF!</f>
        <v>#REF!</v>
      </c>
      <c r="P49" s="289" t="e">
        <f aca="false">+#REF!</f>
        <v>#REF!</v>
      </c>
      <c r="Q49" s="290" t="e">
        <f aca="false">+#REF!</f>
        <v>#REF!</v>
      </c>
      <c r="R49" s="291" t="e">
        <f aca="false">+#REF!</f>
        <v>#REF!</v>
      </c>
      <c r="S49" s="289" t="e">
        <f aca="false">+#REF!</f>
        <v>#REF!</v>
      </c>
      <c r="T49" s="289" t="e">
        <f aca="false">+#REF!</f>
        <v>#REF!</v>
      </c>
      <c r="U49" s="290" t="e">
        <f aca="false">+#REF!</f>
        <v>#REF!</v>
      </c>
      <c r="V49" s="291" t="e">
        <f aca="false">+#REF!</f>
        <v>#REF!</v>
      </c>
      <c r="W49" s="289" t="e">
        <f aca="false">+#REF!</f>
        <v>#REF!</v>
      </c>
      <c r="X49" s="289" t="e">
        <f aca="false">+#REF!</f>
        <v>#REF!</v>
      </c>
      <c r="Y49" s="289" t="e">
        <f aca="false">+#REF!</f>
        <v>#REF!</v>
      </c>
      <c r="Z49" s="290" t="e">
        <f aca="false">+#REF!</f>
        <v>#REF!</v>
      </c>
      <c r="AA49" s="291" t="e">
        <f aca="false">+#REF!</f>
        <v>#REF!</v>
      </c>
      <c r="AB49" s="289" t="e">
        <f aca="false">+#REF!</f>
        <v>#REF!</v>
      </c>
      <c r="AC49" s="289" t="e">
        <f aca="false">+#REF!</f>
        <v>#REF!</v>
      </c>
      <c r="AD49" s="290" t="e">
        <f aca="false">+#REF!</f>
        <v>#REF!</v>
      </c>
      <c r="AE49" s="291" t="e">
        <f aca="false">+#REF!</f>
        <v>#REF!</v>
      </c>
      <c r="AF49" s="289" t="e">
        <f aca="false">+#REF!</f>
        <v>#REF!</v>
      </c>
      <c r="AG49" s="289" t="e">
        <f aca="false">+#REF!</f>
        <v>#REF!</v>
      </c>
      <c r="AH49" s="290" t="e">
        <f aca="false">+#REF!</f>
        <v>#REF!</v>
      </c>
      <c r="AI49" s="290" t="e">
        <f aca="false">+#REF!</f>
        <v>#REF!</v>
      </c>
      <c r="AJ49" s="291" t="e">
        <f aca="false">+#REF!</f>
        <v>#REF!</v>
      </c>
      <c r="AK49" s="289" t="e">
        <f aca="false">+#REF!</f>
        <v>#REF!</v>
      </c>
      <c r="AL49" s="289" t="e">
        <f aca="false">+#REF!</f>
        <v>#REF!</v>
      </c>
      <c r="AM49" s="290" t="e">
        <f aca="false">+#REF!</f>
        <v>#REF!</v>
      </c>
      <c r="AN49" s="291" t="e">
        <f aca="false">+#REF!</f>
        <v>#REF!</v>
      </c>
      <c r="AO49" s="289" t="e">
        <f aca="false">+#REF!</f>
        <v>#REF!</v>
      </c>
      <c r="AP49" s="289" t="e">
        <f aca="false">+#REF!</f>
        <v>#REF!</v>
      </c>
      <c r="AQ49" s="290" t="e">
        <f aca="false">+#REF!</f>
        <v>#REF!</v>
      </c>
      <c r="AR49" s="291" t="e">
        <f aca="false">+#REF!</f>
        <v>#REF!</v>
      </c>
      <c r="AS49" s="289" t="e">
        <f aca="false">+#REF!</f>
        <v>#REF!</v>
      </c>
      <c r="AT49" s="289" t="e">
        <f aca="false">+#REF!</f>
        <v>#REF!</v>
      </c>
      <c r="AU49" s="289" t="e">
        <f aca="false">+#REF!</f>
        <v>#REF!</v>
      </c>
      <c r="AV49" s="290" t="e">
        <f aca="false">+#REF!</f>
        <v>#REF!</v>
      </c>
      <c r="AW49" s="291" t="e">
        <f aca="false">+#REF!</f>
        <v>#REF!</v>
      </c>
      <c r="AX49" s="289" t="e">
        <f aca="false">+#REF!</f>
        <v>#REF!</v>
      </c>
      <c r="AY49" s="289" t="e">
        <f aca="false">+#REF!</f>
        <v>#REF!</v>
      </c>
      <c r="AZ49" s="290" t="e">
        <f aca="false">+#REF!</f>
        <v>#REF!</v>
      </c>
      <c r="BA49" s="291" t="e">
        <f aca="false">+#REF!</f>
        <v>#REF!</v>
      </c>
      <c r="BB49" s="289" t="e">
        <f aca="false">+#REF!</f>
        <v>#REF!</v>
      </c>
      <c r="BC49" s="289" t="e">
        <f aca="false">+#REF!</f>
        <v>#REF!</v>
      </c>
      <c r="BD49" s="290" t="e">
        <f aca="false">+#REF!</f>
        <v>#REF!</v>
      </c>
      <c r="BE49" s="291" t="e">
        <f aca="false">+#REF!</f>
        <v>#REF!</v>
      </c>
      <c r="BF49" s="289" t="e">
        <f aca="false">+#REF!</f>
        <v>#REF!</v>
      </c>
      <c r="BG49" s="289" t="e">
        <f aca="false">+#REF!</f>
        <v>#REF!</v>
      </c>
      <c r="BH49" s="290" t="e">
        <f aca="false">+#REF!</f>
        <v>#REF!</v>
      </c>
      <c r="BI49" s="291" t="e">
        <f aca="false">+#REF!</f>
        <v>#REF!</v>
      </c>
      <c r="BJ49" s="289" t="e">
        <f aca="false">+#REF!</f>
        <v>#REF!</v>
      </c>
      <c r="BK49" s="289" t="e">
        <f aca="false">+#REF!</f>
        <v>#REF!</v>
      </c>
      <c r="BL49" s="290" t="e">
        <f aca="false">+#REF!</f>
        <v>#REF!</v>
      </c>
      <c r="BM49" s="291" t="e">
        <f aca="false">+#REF!</f>
        <v>#REF!</v>
      </c>
      <c r="BN49" s="289" t="e">
        <f aca="false">+#REF!</f>
        <v>#REF!</v>
      </c>
      <c r="BO49" s="289" t="e">
        <f aca="false">+#REF!</f>
        <v>#REF!</v>
      </c>
      <c r="BP49" s="292" t="e">
        <f aca="false">+#REF!</f>
        <v>#REF!</v>
      </c>
      <c r="BQ49" s="293"/>
      <c r="BR49" s="294"/>
      <c r="BS49" s="294"/>
      <c r="BT49" s="294"/>
      <c r="BU49" s="294"/>
      <c r="BV49" s="294"/>
      <c r="BW49" s="294"/>
      <c r="BX49" s="294"/>
      <c r="BY49" s="294"/>
      <c r="BZ49" s="294"/>
      <c r="CA49" s="294"/>
      <c r="CB49" s="294"/>
      <c r="CC49" s="294"/>
      <c r="CD49" s="294"/>
      <c r="CE49" s="294"/>
      <c r="CF49" s="294"/>
      <c r="CG49" s="294"/>
      <c r="CH49" s="294"/>
      <c r="CI49" s="294"/>
      <c r="CJ49" s="294"/>
      <c r="CK49" s="294"/>
      <c r="CL49" s="294"/>
      <c r="CM49" s="294"/>
      <c r="CN49" s="294"/>
      <c r="CO49" s="294"/>
      <c r="CP49" s="294"/>
      <c r="CQ49" s="294"/>
      <c r="CR49" s="294"/>
      <c r="CS49" s="294"/>
      <c r="CT49" s="294"/>
      <c r="CU49" s="294"/>
      <c r="CV49" s="294"/>
      <c r="CW49" s="294"/>
      <c r="CX49" s="294"/>
      <c r="CY49" s="294"/>
      <c r="CZ49" s="294"/>
      <c r="DA49" s="294"/>
      <c r="DB49" s="294"/>
      <c r="DC49" s="294"/>
      <c r="DD49" s="294"/>
      <c r="DE49" s="294"/>
      <c r="DF49" s="294"/>
      <c r="DG49" s="294"/>
      <c r="DH49" s="294"/>
      <c r="DI49" s="294"/>
      <c r="DJ49" s="294"/>
      <c r="DK49" s="294"/>
      <c r="DL49" s="294"/>
      <c r="DM49" s="294"/>
      <c r="DN49" s="294"/>
      <c r="DO49" s="294"/>
      <c r="DP49" s="294"/>
      <c r="DQ49" s="294"/>
      <c r="DR49" s="294"/>
      <c r="DS49" s="294"/>
      <c r="DT49" s="294"/>
      <c r="DU49" s="294"/>
      <c r="DV49" s="294"/>
      <c r="DW49" s="294"/>
      <c r="DX49" s="294"/>
      <c r="DY49" s="294"/>
      <c r="DZ49" s="294"/>
      <c r="EA49" s="294"/>
      <c r="EB49" s="294"/>
      <c r="EC49" s="294"/>
      <c r="ED49" s="294"/>
      <c r="EE49" s="294"/>
      <c r="EF49" s="294"/>
      <c r="EG49" s="294"/>
      <c r="EH49" s="294"/>
      <c r="EI49" s="294"/>
      <c r="EJ49" s="294"/>
      <c r="EK49" s="294"/>
      <c r="EL49" s="294"/>
      <c r="EM49" s="294"/>
      <c r="EN49" s="294"/>
      <c r="EO49" s="294"/>
      <c r="EP49" s="294"/>
      <c r="EQ49" s="294"/>
      <c r="ER49" s="294"/>
      <c r="ES49" s="294"/>
      <c r="ET49" s="294"/>
      <c r="EU49" s="294"/>
      <c r="EV49" s="294"/>
      <c r="EW49" s="294"/>
      <c r="EX49" s="294"/>
      <c r="EY49" s="294"/>
      <c r="EZ49" s="294"/>
      <c r="FA49" s="294"/>
      <c r="FB49" s="294"/>
      <c r="FC49" s="295"/>
    </row>
    <row r="50" customFormat="false" ht="24" hidden="false" customHeight="true" outlineLevel="0" collapsed="false">
      <c r="B50" s="285" t="s">
        <v>90</v>
      </c>
      <c r="C50" s="286" t="e">
        <f aca="false">SUM(D50:FC50)</f>
        <v>#REF!</v>
      </c>
      <c r="D50" s="287" t="n">
        <v>0</v>
      </c>
      <c r="E50" s="288" t="n">
        <v>0</v>
      </c>
      <c r="F50" s="289" t="n">
        <v>0</v>
      </c>
      <c r="G50" s="289" t="e">
        <f aca="false">+#REF!</f>
        <v>#REF!</v>
      </c>
      <c r="H50" s="289" t="e">
        <f aca="false">+#REF!</f>
        <v>#REF!</v>
      </c>
      <c r="I50" s="290" t="e">
        <f aca="false">+#REF!</f>
        <v>#REF!</v>
      </c>
      <c r="J50" s="291" t="e">
        <f aca="false">+#REF!</f>
        <v>#REF!</v>
      </c>
      <c r="K50" s="289" t="e">
        <f aca="false">+#REF!</f>
        <v>#REF!</v>
      </c>
      <c r="L50" s="289" t="e">
        <f aca="false">+#REF!</f>
        <v>#REF!</v>
      </c>
      <c r="M50" s="290" t="e">
        <f aca="false">+#REF!</f>
        <v>#REF!</v>
      </c>
      <c r="N50" s="291" t="e">
        <f aca="false">+#REF!</f>
        <v>#REF!</v>
      </c>
      <c r="O50" s="289" t="e">
        <f aca="false">+#REF!</f>
        <v>#REF!</v>
      </c>
      <c r="P50" s="289" t="e">
        <f aca="false">+#REF!</f>
        <v>#REF!</v>
      </c>
      <c r="Q50" s="290" t="e">
        <f aca="false">+#REF!</f>
        <v>#REF!</v>
      </c>
      <c r="R50" s="291" t="e">
        <f aca="false">+#REF!</f>
        <v>#REF!</v>
      </c>
      <c r="S50" s="289" t="e">
        <f aca="false">+#REF!</f>
        <v>#REF!</v>
      </c>
      <c r="T50" s="289" t="e">
        <f aca="false">+#REF!</f>
        <v>#REF!</v>
      </c>
      <c r="U50" s="290" t="e">
        <f aca="false">+#REF!</f>
        <v>#REF!</v>
      </c>
      <c r="V50" s="291" t="e">
        <f aca="false">+#REF!</f>
        <v>#REF!</v>
      </c>
      <c r="W50" s="289" t="e">
        <f aca="false">+#REF!</f>
        <v>#REF!</v>
      </c>
      <c r="X50" s="289" t="e">
        <f aca="false">+#REF!</f>
        <v>#REF!</v>
      </c>
      <c r="Y50" s="289" t="e">
        <f aca="false">+#REF!</f>
        <v>#REF!</v>
      </c>
      <c r="Z50" s="290" t="e">
        <f aca="false">+#REF!</f>
        <v>#REF!</v>
      </c>
      <c r="AA50" s="291" t="e">
        <f aca="false">+#REF!</f>
        <v>#REF!</v>
      </c>
      <c r="AB50" s="289" t="e">
        <f aca="false">+#REF!</f>
        <v>#REF!</v>
      </c>
      <c r="AC50" s="289" t="e">
        <f aca="false">+#REF!</f>
        <v>#REF!</v>
      </c>
      <c r="AD50" s="290" t="e">
        <f aca="false">+#REF!</f>
        <v>#REF!</v>
      </c>
      <c r="AE50" s="291" t="e">
        <f aca="false">+#REF!</f>
        <v>#REF!</v>
      </c>
      <c r="AF50" s="289" t="e">
        <f aca="false">+#REF!</f>
        <v>#REF!</v>
      </c>
      <c r="AG50" s="289" t="e">
        <f aca="false">+#REF!</f>
        <v>#REF!</v>
      </c>
      <c r="AH50" s="290" t="e">
        <f aca="false">+#REF!</f>
        <v>#REF!</v>
      </c>
      <c r="AI50" s="290" t="e">
        <f aca="false">+#REF!</f>
        <v>#REF!</v>
      </c>
      <c r="AJ50" s="291" t="e">
        <f aca="false">+#REF!</f>
        <v>#REF!</v>
      </c>
      <c r="AK50" s="289" t="e">
        <f aca="false">+#REF!</f>
        <v>#REF!</v>
      </c>
      <c r="AL50" s="289" t="e">
        <f aca="false">+#REF!</f>
        <v>#REF!</v>
      </c>
      <c r="AM50" s="290" t="e">
        <f aca="false">+#REF!</f>
        <v>#REF!</v>
      </c>
      <c r="AN50" s="291" t="e">
        <f aca="false">+#REF!</f>
        <v>#REF!</v>
      </c>
      <c r="AO50" s="289" t="e">
        <f aca="false">+#REF!</f>
        <v>#REF!</v>
      </c>
      <c r="AP50" s="289" t="e">
        <f aca="false">+#REF!</f>
        <v>#REF!</v>
      </c>
      <c r="AQ50" s="290" t="e">
        <f aca="false">+#REF!</f>
        <v>#REF!</v>
      </c>
      <c r="AR50" s="291" t="e">
        <f aca="false">+#REF!</f>
        <v>#REF!</v>
      </c>
      <c r="AS50" s="289" t="e">
        <f aca="false">+#REF!</f>
        <v>#REF!</v>
      </c>
      <c r="AT50" s="289" t="e">
        <f aca="false">+#REF!</f>
        <v>#REF!</v>
      </c>
      <c r="AU50" s="289" t="e">
        <f aca="false">+#REF!</f>
        <v>#REF!</v>
      </c>
      <c r="AV50" s="290" t="e">
        <f aca="false">+#REF!</f>
        <v>#REF!</v>
      </c>
      <c r="AW50" s="291" t="e">
        <f aca="false">+#REF!</f>
        <v>#REF!</v>
      </c>
      <c r="AX50" s="289" t="e">
        <f aca="false">+#REF!</f>
        <v>#REF!</v>
      </c>
      <c r="AY50" s="289" t="e">
        <f aca="false">+#REF!</f>
        <v>#REF!</v>
      </c>
      <c r="AZ50" s="290" t="e">
        <f aca="false">+#REF!</f>
        <v>#REF!</v>
      </c>
      <c r="BA50" s="291" t="e">
        <f aca="false">+#REF!</f>
        <v>#REF!</v>
      </c>
      <c r="BB50" s="289" t="e">
        <f aca="false">+#REF!</f>
        <v>#REF!</v>
      </c>
      <c r="BC50" s="289" t="e">
        <f aca="false">+#REF!</f>
        <v>#REF!</v>
      </c>
      <c r="BD50" s="290" t="e">
        <f aca="false">+#REF!</f>
        <v>#REF!</v>
      </c>
      <c r="BE50" s="291" t="e">
        <f aca="false">+#REF!</f>
        <v>#REF!</v>
      </c>
      <c r="BF50" s="289" t="e">
        <f aca="false">+#REF!</f>
        <v>#REF!</v>
      </c>
      <c r="BG50" s="289" t="e">
        <f aca="false">+#REF!</f>
        <v>#REF!</v>
      </c>
      <c r="BH50" s="290" t="e">
        <f aca="false">+#REF!</f>
        <v>#REF!</v>
      </c>
      <c r="BI50" s="291" t="e">
        <f aca="false">+#REF!</f>
        <v>#REF!</v>
      </c>
      <c r="BJ50" s="289" t="e">
        <f aca="false">+#REF!</f>
        <v>#REF!</v>
      </c>
      <c r="BK50" s="289" t="e">
        <f aca="false">+#REF!</f>
        <v>#REF!</v>
      </c>
      <c r="BL50" s="290" t="e">
        <f aca="false">+#REF!</f>
        <v>#REF!</v>
      </c>
      <c r="BM50" s="291" t="e">
        <f aca="false">+#REF!</f>
        <v>#REF!</v>
      </c>
      <c r="BN50" s="289" t="e">
        <f aca="false">+#REF!</f>
        <v>#REF!</v>
      </c>
      <c r="BO50" s="289" t="e">
        <f aca="false">+#REF!</f>
        <v>#REF!</v>
      </c>
      <c r="BP50" s="292" t="e">
        <f aca="false">+#REF!</f>
        <v>#REF!</v>
      </c>
      <c r="BQ50" s="293"/>
      <c r="BR50" s="294"/>
      <c r="BS50" s="294"/>
      <c r="BT50" s="294"/>
      <c r="BU50" s="294"/>
      <c r="BV50" s="294"/>
      <c r="BW50" s="294"/>
      <c r="BX50" s="294"/>
      <c r="BY50" s="294"/>
      <c r="BZ50" s="294"/>
      <c r="CA50" s="294"/>
      <c r="CB50" s="294"/>
      <c r="CC50" s="294"/>
      <c r="CD50" s="294"/>
      <c r="CE50" s="294"/>
      <c r="CF50" s="294"/>
      <c r="CG50" s="294"/>
      <c r="CH50" s="294"/>
      <c r="CI50" s="294"/>
      <c r="CJ50" s="294"/>
      <c r="CK50" s="294"/>
      <c r="CL50" s="294"/>
      <c r="CM50" s="294"/>
      <c r="CN50" s="294"/>
      <c r="CO50" s="294"/>
      <c r="CP50" s="294"/>
      <c r="CQ50" s="294"/>
      <c r="CR50" s="294"/>
      <c r="CS50" s="294"/>
      <c r="CT50" s="294"/>
      <c r="CU50" s="294"/>
      <c r="CV50" s="294"/>
      <c r="CW50" s="294"/>
      <c r="CX50" s="294"/>
      <c r="CY50" s="294"/>
      <c r="CZ50" s="294"/>
      <c r="DA50" s="294"/>
      <c r="DB50" s="294"/>
      <c r="DC50" s="294"/>
      <c r="DD50" s="294"/>
      <c r="DE50" s="294"/>
      <c r="DF50" s="294"/>
      <c r="DG50" s="294"/>
      <c r="DH50" s="294"/>
      <c r="DI50" s="294"/>
      <c r="DJ50" s="294"/>
      <c r="DK50" s="294"/>
      <c r="DL50" s="294"/>
      <c r="DM50" s="294"/>
      <c r="DN50" s="294"/>
      <c r="DO50" s="294"/>
      <c r="DP50" s="294"/>
      <c r="DQ50" s="294"/>
      <c r="DR50" s="294"/>
      <c r="DS50" s="294"/>
      <c r="DT50" s="294"/>
      <c r="DU50" s="294"/>
      <c r="DV50" s="294"/>
      <c r="DW50" s="294"/>
      <c r="DX50" s="294"/>
      <c r="DY50" s="294"/>
      <c r="DZ50" s="294"/>
      <c r="EA50" s="294"/>
      <c r="EB50" s="294"/>
      <c r="EC50" s="294"/>
      <c r="ED50" s="294"/>
      <c r="EE50" s="294"/>
      <c r="EF50" s="294"/>
      <c r="EG50" s="294"/>
      <c r="EH50" s="294"/>
      <c r="EI50" s="294"/>
      <c r="EJ50" s="294"/>
      <c r="EK50" s="294"/>
      <c r="EL50" s="294"/>
      <c r="EM50" s="294"/>
      <c r="EN50" s="294"/>
      <c r="EO50" s="294"/>
      <c r="EP50" s="294"/>
      <c r="EQ50" s="294"/>
      <c r="ER50" s="294"/>
      <c r="ES50" s="294"/>
      <c r="ET50" s="294"/>
      <c r="EU50" s="294"/>
      <c r="EV50" s="294"/>
      <c r="EW50" s="294"/>
      <c r="EX50" s="294"/>
      <c r="EY50" s="294"/>
      <c r="EZ50" s="294"/>
      <c r="FA50" s="294"/>
      <c r="FB50" s="294"/>
      <c r="FC50" s="295"/>
    </row>
    <row r="51" customFormat="false" ht="34" hidden="false" customHeight="true" outlineLevel="0" collapsed="false">
      <c r="B51" s="296" t="s">
        <v>91</v>
      </c>
      <c r="C51" s="286" t="e">
        <f aca="false">SUM(D51:FC51)</f>
        <v>#REF!</v>
      </c>
      <c r="D51" s="287" t="n">
        <v>0</v>
      </c>
      <c r="E51" s="288" t="n">
        <v>0</v>
      </c>
      <c r="F51" s="289" t="n">
        <v>0</v>
      </c>
      <c r="G51" s="289" t="e">
        <f aca="false">+#REF!</f>
        <v>#REF!</v>
      </c>
      <c r="H51" s="289" t="e">
        <f aca="false">+#REF!</f>
        <v>#REF!</v>
      </c>
      <c r="I51" s="290" t="e">
        <f aca="false">+#REF!</f>
        <v>#REF!</v>
      </c>
      <c r="J51" s="291" t="e">
        <f aca="false">+#REF!</f>
        <v>#REF!</v>
      </c>
      <c r="K51" s="289" t="e">
        <f aca="false">+#REF!</f>
        <v>#REF!</v>
      </c>
      <c r="L51" s="289" t="e">
        <f aca="false">+#REF!</f>
        <v>#REF!</v>
      </c>
      <c r="M51" s="290" t="e">
        <f aca="false">+#REF!</f>
        <v>#REF!</v>
      </c>
      <c r="N51" s="291" t="e">
        <f aca="false">+#REF!</f>
        <v>#REF!</v>
      </c>
      <c r="O51" s="289" t="e">
        <f aca="false">+#REF!</f>
        <v>#REF!</v>
      </c>
      <c r="P51" s="289" t="e">
        <f aca="false">+#REF!</f>
        <v>#REF!</v>
      </c>
      <c r="Q51" s="290" t="e">
        <f aca="false">+#REF!</f>
        <v>#REF!</v>
      </c>
      <c r="R51" s="291" t="e">
        <f aca="false">+#REF!</f>
        <v>#REF!</v>
      </c>
      <c r="S51" s="289" t="e">
        <f aca="false">+#REF!</f>
        <v>#REF!</v>
      </c>
      <c r="T51" s="289" t="e">
        <f aca="false">+#REF!</f>
        <v>#REF!</v>
      </c>
      <c r="U51" s="290" t="e">
        <f aca="false">+#REF!</f>
        <v>#REF!</v>
      </c>
      <c r="V51" s="291" t="e">
        <f aca="false">+#REF!</f>
        <v>#REF!</v>
      </c>
      <c r="W51" s="289" t="e">
        <f aca="false">+#REF!</f>
        <v>#REF!</v>
      </c>
      <c r="X51" s="289" t="e">
        <f aca="false">+#REF!</f>
        <v>#REF!</v>
      </c>
      <c r="Y51" s="289" t="e">
        <f aca="false">+#REF!</f>
        <v>#REF!</v>
      </c>
      <c r="Z51" s="290" t="e">
        <f aca="false">+#REF!</f>
        <v>#REF!</v>
      </c>
      <c r="AA51" s="291" t="e">
        <f aca="false">+#REF!</f>
        <v>#REF!</v>
      </c>
      <c r="AB51" s="289" t="e">
        <f aca="false">+#REF!</f>
        <v>#REF!</v>
      </c>
      <c r="AC51" s="289" t="e">
        <f aca="false">+#REF!</f>
        <v>#REF!</v>
      </c>
      <c r="AD51" s="290" t="e">
        <f aca="false">+#REF!</f>
        <v>#REF!</v>
      </c>
      <c r="AE51" s="291" t="e">
        <f aca="false">+#REF!</f>
        <v>#REF!</v>
      </c>
      <c r="AF51" s="289" t="e">
        <f aca="false">+#REF!</f>
        <v>#REF!</v>
      </c>
      <c r="AG51" s="289" t="e">
        <f aca="false">+#REF!</f>
        <v>#REF!</v>
      </c>
      <c r="AH51" s="290" t="e">
        <f aca="false">+#REF!</f>
        <v>#REF!</v>
      </c>
      <c r="AI51" s="290" t="e">
        <f aca="false">+#REF!</f>
        <v>#REF!</v>
      </c>
      <c r="AJ51" s="291" t="e">
        <f aca="false">+#REF!</f>
        <v>#REF!</v>
      </c>
      <c r="AK51" s="289" t="e">
        <f aca="false">+#REF!</f>
        <v>#REF!</v>
      </c>
      <c r="AL51" s="289" t="e">
        <f aca="false">+#REF!</f>
        <v>#REF!</v>
      </c>
      <c r="AM51" s="290" t="e">
        <f aca="false">+#REF!</f>
        <v>#REF!</v>
      </c>
      <c r="AN51" s="291" t="e">
        <f aca="false">+#REF!</f>
        <v>#REF!</v>
      </c>
      <c r="AO51" s="289" t="e">
        <f aca="false">+#REF!</f>
        <v>#REF!</v>
      </c>
      <c r="AP51" s="289" t="e">
        <f aca="false">+#REF!</f>
        <v>#REF!</v>
      </c>
      <c r="AQ51" s="290" t="e">
        <f aca="false">+#REF!</f>
        <v>#REF!</v>
      </c>
      <c r="AR51" s="291" t="e">
        <f aca="false">+#REF!</f>
        <v>#REF!</v>
      </c>
      <c r="AS51" s="289" t="e">
        <f aca="false">+#REF!</f>
        <v>#REF!</v>
      </c>
      <c r="AT51" s="289" t="e">
        <f aca="false">+#REF!</f>
        <v>#REF!</v>
      </c>
      <c r="AU51" s="289" t="e">
        <f aca="false">+#REF!</f>
        <v>#REF!</v>
      </c>
      <c r="AV51" s="290" t="e">
        <f aca="false">+#REF!</f>
        <v>#REF!</v>
      </c>
      <c r="AW51" s="291" t="e">
        <f aca="false">+#REF!</f>
        <v>#REF!</v>
      </c>
      <c r="AX51" s="289" t="e">
        <f aca="false">+#REF!</f>
        <v>#REF!</v>
      </c>
      <c r="AY51" s="289" t="e">
        <f aca="false">+#REF!</f>
        <v>#REF!</v>
      </c>
      <c r="AZ51" s="290" t="e">
        <f aca="false">+#REF!</f>
        <v>#REF!</v>
      </c>
      <c r="BA51" s="291" t="e">
        <f aca="false">+#REF!</f>
        <v>#REF!</v>
      </c>
      <c r="BB51" s="289" t="e">
        <f aca="false">+#REF!</f>
        <v>#REF!</v>
      </c>
      <c r="BC51" s="289" t="e">
        <f aca="false">+#REF!</f>
        <v>#REF!</v>
      </c>
      <c r="BD51" s="290" t="e">
        <f aca="false">+#REF!</f>
        <v>#REF!</v>
      </c>
      <c r="BE51" s="291" t="e">
        <f aca="false">+#REF!</f>
        <v>#REF!</v>
      </c>
      <c r="BF51" s="289" t="e">
        <f aca="false">+#REF!</f>
        <v>#REF!</v>
      </c>
      <c r="BG51" s="289" t="e">
        <f aca="false">+#REF!</f>
        <v>#REF!</v>
      </c>
      <c r="BH51" s="290" t="e">
        <f aca="false">+#REF!</f>
        <v>#REF!</v>
      </c>
      <c r="BI51" s="291" t="e">
        <f aca="false">+#REF!</f>
        <v>#REF!</v>
      </c>
      <c r="BJ51" s="289" t="e">
        <f aca="false">+#REF!</f>
        <v>#REF!</v>
      </c>
      <c r="BK51" s="289" t="e">
        <f aca="false">+#REF!</f>
        <v>#REF!</v>
      </c>
      <c r="BL51" s="290" t="e">
        <f aca="false">+#REF!</f>
        <v>#REF!</v>
      </c>
      <c r="BM51" s="291" t="e">
        <f aca="false">+#REF!</f>
        <v>#REF!</v>
      </c>
      <c r="BN51" s="289" t="e">
        <f aca="false">+#REF!</f>
        <v>#REF!</v>
      </c>
      <c r="BO51" s="289" t="e">
        <f aca="false">+#REF!</f>
        <v>#REF!</v>
      </c>
      <c r="BP51" s="292" t="e">
        <f aca="false">+#REF!</f>
        <v>#REF!</v>
      </c>
      <c r="BQ51" s="293"/>
      <c r="BR51" s="294"/>
      <c r="BS51" s="294"/>
      <c r="BT51" s="294"/>
      <c r="BU51" s="294"/>
      <c r="BV51" s="294"/>
      <c r="BW51" s="294"/>
      <c r="BX51" s="294"/>
      <c r="BY51" s="294"/>
      <c r="BZ51" s="294"/>
      <c r="CA51" s="294"/>
      <c r="CB51" s="294"/>
      <c r="CC51" s="294"/>
      <c r="CD51" s="294"/>
      <c r="CE51" s="294"/>
      <c r="CF51" s="294"/>
      <c r="CG51" s="294"/>
      <c r="CH51" s="294"/>
      <c r="CI51" s="294"/>
      <c r="CJ51" s="294"/>
      <c r="CK51" s="294"/>
      <c r="CL51" s="294"/>
      <c r="CM51" s="294"/>
      <c r="CN51" s="294"/>
      <c r="CO51" s="294"/>
      <c r="CP51" s="294"/>
      <c r="CQ51" s="294"/>
      <c r="CR51" s="294"/>
      <c r="CS51" s="294"/>
      <c r="CT51" s="294"/>
      <c r="CU51" s="294"/>
      <c r="CV51" s="294"/>
      <c r="CW51" s="294"/>
      <c r="CX51" s="294"/>
      <c r="CY51" s="294"/>
      <c r="CZ51" s="294"/>
      <c r="DA51" s="294"/>
      <c r="DB51" s="294"/>
      <c r="DC51" s="294"/>
      <c r="DD51" s="294"/>
      <c r="DE51" s="294"/>
      <c r="DF51" s="294"/>
      <c r="DG51" s="294"/>
      <c r="DH51" s="294"/>
      <c r="DI51" s="294"/>
      <c r="DJ51" s="294"/>
      <c r="DK51" s="294"/>
      <c r="DL51" s="294"/>
      <c r="DM51" s="294"/>
      <c r="DN51" s="294"/>
      <c r="DO51" s="294"/>
      <c r="DP51" s="294"/>
      <c r="DQ51" s="294"/>
      <c r="DR51" s="294"/>
      <c r="DS51" s="294"/>
      <c r="DT51" s="294"/>
      <c r="DU51" s="294"/>
      <c r="DV51" s="294"/>
      <c r="DW51" s="294"/>
      <c r="DX51" s="294"/>
      <c r="DY51" s="294"/>
      <c r="DZ51" s="294"/>
      <c r="EA51" s="294"/>
      <c r="EB51" s="294"/>
      <c r="EC51" s="294"/>
      <c r="ED51" s="294"/>
      <c r="EE51" s="294"/>
      <c r="EF51" s="294"/>
      <c r="EG51" s="294"/>
      <c r="EH51" s="294"/>
      <c r="EI51" s="294"/>
      <c r="EJ51" s="294"/>
      <c r="EK51" s="294"/>
      <c r="EL51" s="294"/>
      <c r="EM51" s="294"/>
      <c r="EN51" s="294"/>
      <c r="EO51" s="294"/>
      <c r="EP51" s="294"/>
      <c r="EQ51" s="294"/>
      <c r="ER51" s="294"/>
      <c r="ES51" s="294"/>
      <c r="ET51" s="294"/>
      <c r="EU51" s="294"/>
      <c r="EV51" s="294"/>
      <c r="EW51" s="294"/>
      <c r="EX51" s="294"/>
      <c r="EY51" s="294"/>
      <c r="EZ51" s="294"/>
      <c r="FA51" s="294"/>
      <c r="FB51" s="294"/>
      <c r="FC51" s="295"/>
    </row>
    <row r="52" customFormat="false" ht="24" hidden="false" customHeight="true" outlineLevel="0" collapsed="false">
      <c r="B52" s="285" t="s">
        <v>92</v>
      </c>
      <c r="C52" s="286" t="e">
        <f aca="false">SUM(D52:FC52)</f>
        <v>#REF!</v>
      </c>
      <c r="D52" s="287" t="n">
        <v>0</v>
      </c>
      <c r="E52" s="288" t="n">
        <v>0</v>
      </c>
      <c r="F52" s="289" t="n">
        <v>0</v>
      </c>
      <c r="G52" s="289" t="e">
        <f aca="false">+#REF!</f>
        <v>#REF!</v>
      </c>
      <c r="H52" s="289" t="e">
        <f aca="false">+#REF!</f>
        <v>#REF!</v>
      </c>
      <c r="I52" s="290" t="e">
        <f aca="false">+#REF!</f>
        <v>#REF!</v>
      </c>
      <c r="J52" s="291" t="e">
        <f aca="false">+#REF!</f>
        <v>#REF!</v>
      </c>
      <c r="K52" s="289" t="e">
        <f aca="false">+#REF!</f>
        <v>#REF!</v>
      </c>
      <c r="L52" s="289" t="e">
        <f aca="false">+#REF!</f>
        <v>#REF!</v>
      </c>
      <c r="M52" s="290" t="e">
        <f aca="false">+#REF!</f>
        <v>#REF!</v>
      </c>
      <c r="N52" s="291" t="e">
        <f aca="false">+#REF!</f>
        <v>#REF!</v>
      </c>
      <c r="O52" s="289" t="e">
        <f aca="false">+#REF!</f>
        <v>#REF!</v>
      </c>
      <c r="P52" s="289" t="e">
        <f aca="false">+#REF!</f>
        <v>#REF!</v>
      </c>
      <c r="Q52" s="290" t="e">
        <f aca="false">+#REF!</f>
        <v>#REF!</v>
      </c>
      <c r="R52" s="291" t="e">
        <f aca="false">+#REF!</f>
        <v>#REF!</v>
      </c>
      <c r="S52" s="289" t="e">
        <f aca="false">+#REF!</f>
        <v>#REF!</v>
      </c>
      <c r="T52" s="289" t="e">
        <f aca="false">+#REF!</f>
        <v>#REF!</v>
      </c>
      <c r="U52" s="290" t="e">
        <f aca="false">+#REF!</f>
        <v>#REF!</v>
      </c>
      <c r="V52" s="291" t="e">
        <f aca="false">+#REF!</f>
        <v>#REF!</v>
      </c>
      <c r="W52" s="289" t="e">
        <f aca="false">+#REF!</f>
        <v>#REF!</v>
      </c>
      <c r="X52" s="289" t="e">
        <f aca="false">+#REF!</f>
        <v>#REF!</v>
      </c>
      <c r="Y52" s="289" t="e">
        <f aca="false">+#REF!</f>
        <v>#REF!</v>
      </c>
      <c r="Z52" s="290" t="e">
        <f aca="false">+#REF!</f>
        <v>#REF!</v>
      </c>
      <c r="AA52" s="291" t="e">
        <f aca="false">+#REF!</f>
        <v>#REF!</v>
      </c>
      <c r="AB52" s="289" t="e">
        <f aca="false">+#REF!</f>
        <v>#REF!</v>
      </c>
      <c r="AC52" s="289" t="e">
        <f aca="false">+#REF!</f>
        <v>#REF!</v>
      </c>
      <c r="AD52" s="290" t="e">
        <f aca="false">+#REF!</f>
        <v>#REF!</v>
      </c>
      <c r="AE52" s="291" t="e">
        <f aca="false">+#REF!</f>
        <v>#REF!</v>
      </c>
      <c r="AF52" s="289" t="e">
        <f aca="false">+#REF!</f>
        <v>#REF!</v>
      </c>
      <c r="AG52" s="289" t="e">
        <f aca="false">+#REF!</f>
        <v>#REF!</v>
      </c>
      <c r="AH52" s="290" t="e">
        <f aca="false">+#REF!</f>
        <v>#REF!</v>
      </c>
      <c r="AI52" s="290" t="e">
        <f aca="false">+#REF!</f>
        <v>#REF!</v>
      </c>
      <c r="AJ52" s="291" t="e">
        <f aca="false">+#REF!</f>
        <v>#REF!</v>
      </c>
      <c r="AK52" s="289" t="e">
        <f aca="false">+#REF!</f>
        <v>#REF!</v>
      </c>
      <c r="AL52" s="289" t="e">
        <f aca="false">+#REF!</f>
        <v>#REF!</v>
      </c>
      <c r="AM52" s="290" t="e">
        <f aca="false">+#REF!</f>
        <v>#REF!</v>
      </c>
      <c r="AN52" s="291" t="e">
        <f aca="false">+#REF!</f>
        <v>#REF!</v>
      </c>
      <c r="AO52" s="289" t="e">
        <f aca="false">+#REF!</f>
        <v>#REF!</v>
      </c>
      <c r="AP52" s="289" t="e">
        <f aca="false">+#REF!</f>
        <v>#REF!</v>
      </c>
      <c r="AQ52" s="290" t="e">
        <f aca="false">+#REF!</f>
        <v>#REF!</v>
      </c>
      <c r="AR52" s="291" t="e">
        <f aca="false">+#REF!</f>
        <v>#REF!</v>
      </c>
      <c r="AS52" s="289" t="e">
        <f aca="false">+#REF!</f>
        <v>#REF!</v>
      </c>
      <c r="AT52" s="289" t="e">
        <f aca="false">+#REF!</f>
        <v>#REF!</v>
      </c>
      <c r="AU52" s="289" t="e">
        <f aca="false">+#REF!</f>
        <v>#REF!</v>
      </c>
      <c r="AV52" s="290" t="e">
        <f aca="false">+#REF!</f>
        <v>#REF!</v>
      </c>
      <c r="AW52" s="291" t="e">
        <f aca="false">+#REF!</f>
        <v>#REF!</v>
      </c>
      <c r="AX52" s="289" t="e">
        <f aca="false">+#REF!</f>
        <v>#REF!</v>
      </c>
      <c r="AY52" s="289" t="e">
        <f aca="false">+#REF!</f>
        <v>#REF!</v>
      </c>
      <c r="AZ52" s="290" t="e">
        <f aca="false">+#REF!</f>
        <v>#REF!</v>
      </c>
      <c r="BA52" s="291" t="e">
        <f aca="false">+#REF!</f>
        <v>#REF!</v>
      </c>
      <c r="BB52" s="289" t="e">
        <f aca="false">+#REF!</f>
        <v>#REF!</v>
      </c>
      <c r="BC52" s="289" t="e">
        <f aca="false">+#REF!</f>
        <v>#REF!</v>
      </c>
      <c r="BD52" s="290" t="e">
        <f aca="false">+#REF!</f>
        <v>#REF!</v>
      </c>
      <c r="BE52" s="291" t="e">
        <f aca="false">+#REF!</f>
        <v>#REF!</v>
      </c>
      <c r="BF52" s="289" t="e">
        <f aca="false">+#REF!</f>
        <v>#REF!</v>
      </c>
      <c r="BG52" s="289" t="e">
        <f aca="false">+#REF!</f>
        <v>#REF!</v>
      </c>
      <c r="BH52" s="290" t="e">
        <f aca="false">+#REF!</f>
        <v>#REF!</v>
      </c>
      <c r="BI52" s="291" t="e">
        <f aca="false">+#REF!</f>
        <v>#REF!</v>
      </c>
      <c r="BJ52" s="289" t="e">
        <f aca="false">+#REF!</f>
        <v>#REF!</v>
      </c>
      <c r="BK52" s="289" t="e">
        <f aca="false">+#REF!</f>
        <v>#REF!</v>
      </c>
      <c r="BL52" s="290" t="e">
        <f aca="false">+#REF!</f>
        <v>#REF!</v>
      </c>
      <c r="BM52" s="291" t="e">
        <f aca="false">+#REF!</f>
        <v>#REF!</v>
      </c>
      <c r="BN52" s="289" t="e">
        <f aca="false">+#REF!</f>
        <v>#REF!</v>
      </c>
      <c r="BO52" s="289" t="e">
        <f aca="false">+#REF!</f>
        <v>#REF!</v>
      </c>
      <c r="BP52" s="292" t="e">
        <f aca="false">+#REF!</f>
        <v>#REF!</v>
      </c>
      <c r="BQ52" s="293"/>
      <c r="BR52" s="294"/>
      <c r="BS52" s="294"/>
      <c r="BT52" s="294"/>
      <c r="BU52" s="294"/>
      <c r="BV52" s="294"/>
      <c r="BW52" s="294"/>
      <c r="BX52" s="294"/>
      <c r="BY52" s="294"/>
      <c r="BZ52" s="294"/>
      <c r="CA52" s="294"/>
      <c r="CB52" s="294"/>
      <c r="CC52" s="294"/>
      <c r="CD52" s="294"/>
      <c r="CE52" s="294"/>
      <c r="CF52" s="294"/>
      <c r="CG52" s="294"/>
      <c r="CH52" s="294"/>
      <c r="CI52" s="294"/>
      <c r="CJ52" s="294"/>
      <c r="CK52" s="294"/>
      <c r="CL52" s="294"/>
      <c r="CM52" s="294"/>
      <c r="CN52" s="294"/>
      <c r="CO52" s="294"/>
      <c r="CP52" s="294"/>
      <c r="CQ52" s="294"/>
      <c r="CR52" s="294"/>
      <c r="CS52" s="294"/>
      <c r="CT52" s="294"/>
      <c r="CU52" s="294"/>
      <c r="CV52" s="294"/>
      <c r="CW52" s="294"/>
      <c r="CX52" s="294"/>
      <c r="CY52" s="294"/>
      <c r="CZ52" s="294"/>
      <c r="DA52" s="294"/>
      <c r="DB52" s="294"/>
      <c r="DC52" s="294"/>
      <c r="DD52" s="294"/>
      <c r="DE52" s="294"/>
      <c r="DF52" s="294"/>
      <c r="DG52" s="294"/>
      <c r="DH52" s="294"/>
      <c r="DI52" s="294"/>
      <c r="DJ52" s="294"/>
      <c r="DK52" s="294"/>
      <c r="DL52" s="294"/>
      <c r="DM52" s="294"/>
      <c r="DN52" s="294"/>
      <c r="DO52" s="294"/>
      <c r="DP52" s="294"/>
      <c r="DQ52" s="294"/>
      <c r="DR52" s="294"/>
      <c r="DS52" s="294"/>
      <c r="DT52" s="294"/>
      <c r="DU52" s="294"/>
      <c r="DV52" s="294"/>
      <c r="DW52" s="294"/>
      <c r="DX52" s="294"/>
      <c r="DY52" s="294"/>
      <c r="DZ52" s="294"/>
      <c r="EA52" s="294"/>
      <c r="EB52" s="294"/>
      <c r="EC52" s="294"/>
      <c r="ED52" s="294"/>
      <c r="EE52" s="294"/>
      <c r="EF52" s="294"/>
      <c r="EG52" s="294"/>
      <c r="EH52" s="294"/>
      <c r="EI52" s="294"/>
      <c r="EJ52" s="294"/>
      <c r="EK52" s="294"/>
      <c r="EL52" s="294"/>
      <c r="EM52" s="294"/>
      <c r="EN52" s="294"/>
      <c r="EO52" s="294"/>
      <c r="EP52" s="294"/>
      <c r="EQ52" s="294"/>
      <c r="ER52" s="294"/>
      <c r="ES52" s="294"/>
      <c r="ET52" s="294"/>
      <c r="EU52" s="294"/>
      <c r="EV52" s="294"/>
      <c r="EW52" s="294"/>
      <c r="EX52" s="294"/>
      <c r="EY52" s="294"/>
      <c r="EZ52" s="294"/>
      <c r="FA52" s="294"/>
      <c r="FB52" s="294"/>
      <c r="FC52" s="295"/>
    </row>
    <row r="53" customFormat="false" ht="24" hidden="false" customHeight="true" outlineLevel="0" collapsed="false">
      <c r="B53" s="285" t="s">
        <v>95</v>
      </c>
      <c r="C53" s="286" t="e">
        <f aca="false">SUM(D53:FC53)</f>
        <v>#REF!</v>
      </c>
      <c r="D53" s="287" t="n">
        <v>0</v>
      </c>
      <c r="E53" s="288" t="n">
        <v>0</v>
      </c>
      <c r="F53" s="289" t="n">
        <v>0</v>
      </c>
      <c r="G53" s="289" t="e">
        <f aca="false">+#REF!</f>
        <v>#REF!</v>
      </c>
      <c r="H53" s="289" t="e">
        <f aca="false">+#REF!</f>
        <v>#REF!</v>
      </c>
      <c r="I53" s="290" t="e">
        <f aca="false">+#REF!</f>
        <v>#REF!</v>
      </c>
      <c r="J53" s="291" t="e">
        <f aca="false">+#REF!</f>
        <v>#REF!</v>
      </c>
      <c r="K53" s="289" t="e">
        <f aca="false">+#REF!</f>
        <v>#REF!</v>
      </c>
      <c r="L53" s="289" t="e">
        <f aca="false">+#REF!</f>
        <v>#REF!</v>
      </c>
      <c r="M53" s="290" t="e">
        <f aca="false">+#REF!</f>
        <v>#REF!</v>
      </c>
      <c r="N53" s="291" t="e">
        <f aca="false">+#REF!</f>
        <v>#REF!</v>
      </c>
      <c r="O53" s="289" t="e">
        <f aca="false">+#REF!</f>
        <v>#REF!</v>
      </c>
      <c r="P53" s="289" t="e">
        <f aca="false">+#REF!</f>
        <v>#REF!</v>
      </c>
      <c r="Q53" s="290" t="e">
        <f aca="false">+#REF!</f>
        <v>#REF!</v>
      </c>
      <c r="R53" s="291" t="e">
        <f aca="false">+#REF!</f>
        <v>#REF!</v>
      </c>
      <c r="S53" s="289" t="e">
        <f aca="false">+#REF!</f>
        <v>#REF!</v>
      </c>
      <c r="T53" s="289" t="e">
        <f aca="false">+#REF!</f>
        <v>#REF!</v>
      </c>
      <c r="U53" s="290" t="e">
        <f aca="false">+#REF!</f>
        <v>#REF!</v>
      </c>
      <c r="V53" s="291" t="e">
        <f aca="false">+#REF!</f>
        <v>#REF!</v>
      </c>
      <c r="W53" s="289" t="e">
        <f aca="false">+#REF!</f>
        <v>#REF!</v>
      </c>
      <c r="X53" s="289" t="e">
        <f aca="false">+#REF!</f>
        <v>#REF!</v>
      </c>
      <c r="Y53" s="289" t="e">
        <f aca="false">+#REF!</f>
        <v>#REF!</v>
      </c>
      <c r="Z53" s="290" t="e">
        <f aca="false">+#REF!</f>
        <v>#REF!</v>
      </c>
      <c r="AA53" s="291" t="e">
        <f aca="false">+#REF!</f>
        <v>#REF!</v>
      </c>
      <c r="AB53" s="289" t="e">
        <f aca="false">+#REF!</f>
        <v>#REF!</v>
      </c>
      <c r="AC53" s="289" t="e">
        <f aca="false">+#REF!</f>
        <v>#REF!</v>
      </c>
      <c r="AD53" s="290" t="e">
        <f aca="false">+#REF!</f>
        <v>#REF!</v>
      </c>
      <c r="AE53" s="291" t="e">
        <f aca="false">+#REF!</f>
        <v>#REF!</v>
      </c>
      <c r="AF53" s="289" t="e">
        <f aca="false">+#REF!</f>
        <v>#REF!</v>
      </c>
      <c r="AG53" s="289" t="e">
        <f aca="false">+#REF!</f>
        <v>#REF!</v>
      </c>
      <c r="AH53" s="290" t="e">
        <f aca="false">+#REF!</f>
        <v>#REF!</v>
      </c>
      <c r="AI53" s="290" t="e">
        <f aca="false">+#REF!</f>
        <v>#REF!</v>
      </c>
      <c r="AJ53" s="291" t="e">
        <f aca="false">+#REF!</f>
        <v>#REF!</v>
      </c>
      <c r="AK53" s="289" t="e">
        <f aca="false">+#REF!</f>
        <v>#REF!</v>
      </c>
      <c r="AL53" s="289" t="e">
        <f aca="false">+#REF!</f>
        <v>#REF!</v>
      </c>
      <c r="AM53" s="290" t="e">
        <f aca="false">+#REF!</f>
        <v>#REF!</v>
      </c>
      <c r="AN53" s="291" t="e">
        <f aca="false">+#REF!</f>
        <v>#REF!</v>
      </c>
      <c r="AO53" s="289" t="e">
        <f aca="false">+#REF!</f>
        <v>#REF!</v>
      </c>
      <c r="AP53" s="289" t="e">
        <f aca="false">+#REF!</f>
        <v>#REF!</v>
      </c>
      <c r="AQ53" s="290" t="e">
        <f aca="false">+#REF!</f>
        <v>#REF!</v>
      </c>
      <c r="AR53" s="291" t="e">
        <f aca="false">+#REF!</f>
        <v>#REF!</v>
      </c>
      <c r="AS53" s="289" t="e">
        <f aca="false">+#REF!</f>
        <v>#REF!</v>
      </c>
      <c r="AT53" s="289" t="e">
        <f aca="false">+#REF!</f>
        <v>#REF!</v>
      </c>
      <c r="AU53" s="289" t="e">
        <f aca="false">+#REF!</f>
        <v>#REF!</v>
      </c>
      <c r="AV53" s="290" t="e">
        <f aca="false">+#REF!</f>
        <v>#REF!</v>
      </c>
      <c r="AW53" s="291" t="e">
        <f aca="false">+#REF!</f>
        <v>#REF!</v>
      </c>
      <c r="AX53" s="289" t="e">
        <f aca="false">+#REF!</f>
        <v>#REF!</v>
      </c>
      <c r="AY53" s="289" t="e">
        <f aca="false">+#REF!</f>
        <v>#REF!</v>
      </c>
      <c r="AZ53" s="290" t="e">
        <f aca="false">+#REF!</f>
        <v>#REF!</v>
      </c>
      <c r="BA53" s="291" t="e">
        <f aca="false">+#REF!</f>
        <v>#REF!</v>
      </c>
      <c r="BB53" s="289" t="e">
        <f aca="false">+#REF!</f>
        <v>#REF!</v>
      </c>
      <c r="BC53" s="289" t="e">
        <f aca="false">+#REF!</f>
        <v>#REF!</v>
      </c>
      <c r="BD53" s="290" t="e">
        <f aca="false">+#REF!</f>
        <v>#REF!</v>
      </c>
      <c r="BE53" s="291" t="e">
        <f aca="false">+#REF!</f>
        <v>#REF!</v>
      </c>
      <c r="BF53" s="289" t="e">
        <f aca="false">+#REF!</f>
        <v>#REF!</v>
      </c>
      <c r="BG53" s="289" t="e">
        <f aca="false">+#REF!</f>
        <v>#REF!</v>
      </c>
      <c r="BH53" s="290" t="e">
        <f aca="false">+#REF!</f>
        <v>#REF!</v>
      </c>
      <c r="BI53" s="291" t="e">
        <f aca="false">+#REF!</f>
        <v>#REF!</v>
      </c>
      <c r="BJ53" s="289" t="e">
        <f aca="false">+#REF!</f>
        <v>#REF!</v>
      </c>
      <c r="BK53" s="289" t="e">
        <f aca="false">+#REF!</f>
        <v>#REF!</v>
      </c>
      <c r="BL53" s="290" t="e">
        <f aca="false">+#REF!</f>
        <v>#REF!</v>
      </c>
      <c r="BM53" s="291" t="e">
        <f aca="false">+#REF!</f>
        <v>#REF!</v>
      </c>
      <c r="BN53" s="289" t="e">
        <f aca="false">+#REF!</f>
        <v>#REF!</v>
      </c>
      <c r="BO53" s="289" t="e">
        <f aca="false">+#REF!</f>
        <v>#REF!</v>
      </c>
      <c r="BP53" s="292" t="e">
        <f aca="false">+#REF!</f>
        <v>#REF!</v>
      </c>
      <c r="BQ53" s="293"/>
      <c r="BR53" s="294"/>
      <c r="BS53" s="294"/>
      <c r="BT53" s="294"/>
      <c r="BU53" s="294"/>
      <c r="BV53" s="294"/>
      <c r="BW53" s="294"/>
      <c r="BX53" s="294"/>
      <c r="BY53" s="294"/>
      <c r="BZ53" s="294"/>
      <c r="CA53" s="294"/>
      <c r="CB53" s="294"/>
      <c r="CC53" s="294"/>
      <c r="CD53" s="294"/>
      <c r="CE53" s="294"/>
      <c r="CF53" s="294"/>
      <c r="CG53" s="294"/>
      <c r="CH53" s="294"/>
      <c r="CI53" s="294"/>
      <c r="CJ53" s="294"/>
      <c r="CK53" s="294"/>
      <c r="CL53" s="294"/>
      <c r="CM53" s="294"/>
      <c r="CN53" s="294"/>
      <c r="CO53" s="294"/>
      <c r="CP53" s="294"/>
      <c r="CQ53" s="294"/>
      <c r="CR53" s="294"/>
      <c r="CS53" s="294"/>
      <c r="CT53" s="294"/>
      <c r="CU53" s="294"/>
      <c r="CV53" s="294"/>
      <c r="CW53" s="294"/>
      <c r="CX53" s="294"/>
      <c r="CY53" s="294"/>
      <c r="CZ53" s="294"/>
      <c r="DA53" s="294"/>
      <c r="DB53" s="294"/>
      <c r="DC53" s="294"/>
      <c r="DD53" s="294"/>
      <c r="DE53" s="294"/>
      <c r="DF53" s="294"/>
      <c r="DG53" s="294"/>
      <c r="DH53" s="294"/>
      <c r="DI53" s="294"/>
      <c r="DJ53" s="294"/>
      <c r="DK53" s="294"/>
      <c r="DL53" s="294"/>
      <c r="DM53" s="294"/>
      <c r="DN53" s="294"/>
      <c r="DO53" s="294"/>
      <c r="DP53" s="294"/>
      <c r="DQ53" s="294"/>
      <c r="DR53" s="294"/>
      <c r="DS53" s="294"/>
      <c r="DT53" s="294"/>
      <c r="DU53" s="294"/>
      <c r="DV53" s="294"/>
      <c r="DW53" s="294"/>
      <c r="DX53" s="294"/>
      <c r="DY53" s="294"/>
      <c r="DZ53" s="294"/>
      <c r="EA53" s="294"/>
      <c r="EB53" s="294"/>
      <c r="EC53" s="294"/>
      <c r="ED53" s="294"/>
      <c r="EE53" s="294"/>
      <c r="EF53" s="294"/>
      <c r="EG53" s="294"/>
      <c r="EH53" s="294"/>
      <c r="EI53" s="294"/>
      <c r="EJ53" s="294"/>
      <c r="EK53" s="294"/>
      <c r="EL53" s="294"/>
      <c r="EM53" s="294"/>
      <c r="EN53" s="294"/>
      <c r="EO53" s="294"/>
      <c r="EP53" s="294"/>
      <c r="EQ53" s="294"/>
      <c r="ER53" s="294"/>
      <c r="ES53" s="294"/>
      <c r="ET53" s="294"/>
      <c r="EU53" s="294"/>
      <c r="EV53" s="294"/>
      <c r="EW53" s="294"/>
      <c r="EX53" s="294"/>
      <c r="EY53" s="294"/>
      <c r="EZ53" s="294"/>
      <c r="FA53" s="294"/>
      <c r="FB53" s="294"/>
      <c r="FC53" s="295"/>
    </row>
    <row r="54" customFormat="false" ht="24" hidden="false" customHeight="true" outlineLevel="0" collapsed="false">
      <c r="B54" s="285" t="s">
        <v>98</v>
      </c>
      <c r="C54" s="286" t="e">
        <f aca="false">SUM(D54:FC54)</f>
        <v>#REF!</v>
      </c>
      <c r="D54" s="287" t="n">
        <v>0</v>
      </c>
      <c r="E54" s="288" t="n">
        <v>0</v>
      </c>
      <c r="F54" s="289" t="n">
        <v>0</v>
      </c>
      <c r="G54" s="289" t="e">
        <f aca="false">+#REF!</f>
        <v>#REF!</v>
      </c>
      <c r="H54" s="289" t="e">
        <f aca="false">+#REF!</f>
        <v>#REF!</v>
      </c>
      <c r="I54" s="290" t="e">
        <f aca="false">+#REF!</f>
        <v>#REF!</v>
      </c>
      <c r="J54" s="291" t="e">
        <f aca="false">+#REF!</f>
        <v>#REF!</v>
      </c>
      <c r="K54" s="289" t="e">
        <f aca="false">+#REF!</f>
        <v>#REF!</v>
      </c>
      <c r="L54" s="289" t="e">
        <f aca="false">+#REF!</f>
        <v>#REF!</v>
      </c>
      <c r="M54" s="290" t="e">
        <f aca="false">+#REF!</f>
        <v>#REF!</v>
      </c>
      <c r="N54" s="291" t="e">
        <f aca="false">+#REF!</f>
        <v>#REF!</v>
      </c>
      <c r="O54" s="289" t="e">
        <f aca="false">+#REF!</f>
        <v>#REF!</v>
      </c>
      <c r="P54" s="289" t="e">
        <f aca="false">+#REF!</f>
        <v>#REF!</v>
      </c>
      <c r="Q54" s="290" t="e">
        <f aca="false">+#REF!</f>
        <v>#REF!</v>
      </c>
      <c r="R54" s="291" t="e">
        <f aca="false">+#REF!</f>
        <v>#REF!</v>
      </c>
      <c r="S54" s="289" t="e">
        <f aca="false">+#REF!</f>
        <v>#REF!</v>
      </c>
      <c r="T54" s="289" t="e">
        <f aca="false">+#REF!</f>
        <v>#REF!</v>
      </c>
      <c r="U54" s="290" t="e">
        <f aca="false">+#REF!</f>
        <v>#REF!</v>
      </c>
      <c r="V54" s="291" t="e">
        <f aca="false">+#REF!</f>
        <v>#REF!</v>
      </c>
      <c r="W54" s="289" t="e">
        <f aca="false">+#REF!</f>
        <v>#REF!</v>
      </c>
      <c r="X54" s="289" t="e">
        <f aca="false">+#REF!</f>
        <v>#REF!</v>
      </c>
      <c r="Y54" s="289" t="e">
        <f aca="false">+#REF!</f>
        <v>#REF!</v>
      </c>
      <c r="Z54" s="290" t="e">
        <f aca="false">+#REF!</f>
        <v>#REF!</v>
      </c>
      <c r="AA54" s="291" t="e">
        <f aca="false">+#REF!</f>
        <v>#REF!</v>
      </c>
      <c r="AB54" s="289" t="e">
        <f aca="false">+#REF!</f>
        <v>#REF!</v>
      </c>
      <c r="AC54" s="289" t="e">
        <f aca="false">+#REF!</f>
        <v>#REF!</v>
      </c>
      <c r="AD54" s="290" t="e">
        <f aca="false">+#REF!</f>
        <v>#REF!</v>
      </c>
      <c r="AE54" s="291" t="e">
        <f aca="false">+#REF!</f>
        <v>#REF!</v>
      </c>
      <c r="AF54" s="289" t="e">
        <f aca="false">+#REF!</f>
        <v>#REF!</v>
      </c>
      <c r="AG54" s="289" t="e">
        <f aca="false">+#REF!</f>
        <v>#REF!</v>
      </c>
      <c r="AH54" s="290" t="e">
        <f aca="false">+#REF!</f>
        <v>#REF!</v>
      </c>
      <c r="AI54" s="290" t="e">
        <f aca="false">+#REF!</f>
        <v>#REF!</v>
      </c>
      <c r="AJ54" s="291" t="e">
        <f aca="false">+#REF!</f>
        <v>#REF!</v>
      </c>
      <c r="AK54" s="289" t="e">
        <f aca="false">+#REF!</f>
        <v>#REF!</v>
      </c>
      <c r="AL54" s="289" t="e">
        <f aca="false">+#REF!</f>
        <v>#REF!</v>
      </c>
      <c r="AM54" s="290" t="e">
        <f aca="false">+#REF!</f>
        <v>#REF!</v>
      </c>
      <c r="AN54" s="291" t="e">
        <f aca="false">+#REF!</f>
        <v>#REF!</v>
      </c>
      <c r="AO54" s="289" t="e">
        <f aca="false">+#REF!</f>
        <v>#REF!</v>
      </c>
      <c r="AP54" s="289" t="e">
        <f aca="false">+#REF!</f>
        <v>#REF!</v>
      </c>
      <c r="AQ54" s="290" t="e">
        <f aca="false">+#REF!</f>
        <v>#REF!</v>
      </c>
      <c r="AR54" s="291" t="e">
        <f aca="false">+#REF!</f>
        <v>#REF!</v>
      </c>
      <c r="AS54" s="289" t="e">
        <f aca="false">+#REF!</f>
        <v>#REF!</v>
      </c>
      <c r="AT54" s="289" t="e">
        <f aca="false">+#REF!</f>
        <v>#REF!</v>
      </c>
      <c r="AU54" s="289" t="e">
        <f aca="false">+#REF!</f>
        <v>#REF!</v>
      </c>
      <c r="AV54" s="290" t="e">
        <f aca="false">+#REF!</f>
        <v>#REF!</v>
      </c>
      <c r="AW54" s="291" t="e">
        <f aca="false">+#REF!</f>
        <v>#REF!</v>
      </c>
      <c r="AX54" s="289" t="e">
        <f aca="false">+#REF!</f>
        <v>#REF!</v>
      </c>
      <c r="AY54" s="289" t="e">
        <f aca="false">+#REF!</f>
        <v>#REF!</v>
      </c>
      <c r="AZ54" s="290" t="e">
        <f aca="false">+#REF!</f>
        <v>#REF!</v>
      </c>
      <c r="BA54" s="291" t="e">
        <f aca="false">+#REF!</f>
        <v>#REF!</v>
      </c>
      <c r="BB54" s="289" t="e">
        <f aca="false">+#REF!</f>
        <v>#REF!</v>
      </c>
      <c r="BC54" s="289" t="e">
        <f aca="false">+#REF!</f>
        <v>#REF!</v>
      </c>
      <c r="BD54" s="290" t="e">
        <f aca="false">+#REF!</f>
        <v>#REF!</v>
      </c>
      <c r="BE54" s="291" t="e">
        <f aca="false">+#REF!</f>
        <v>#REF!</v>
      </c>
      <c r="BF54" s="289" t="e">
        <f aca="false">+#REF!</f>
        <v>#REF!</v>
      </c>
      <c r="BG54" s="289" t="e">
        <f aca="false">+#REF!</f>
        <v>#REF!</v>
      </c>
      <c r="BH54" s="290" t="e">
        <f aca="false">+#REF!</f>
        <v>#REF!</v>
      </c>
      <c r="BI54" s="291" t="e">
        <f aca="false">+#REF!</f>
        <v>#REF!</v>
      </c>
      <c r="BJ54" s="289" t="e">
        <f aca="false">+#REF!</f>
        <v>#REF!</v>
      </c>
      <c r="BK54" s="289" t="e">
        <f aca="false">+#REF!</f>
        <v>#REF!</v>
      </c>
      <c r="BL54" s="290" t="e">
        <f aca="false">+#REF!</f>
        <v>#REF!</v>
      </c>
      <c r="BM54" s="291" t="e">
        <f aca="false">+#REF!</f>
        <v>#REF!</v>
      </c>
      <c r="BN54" s="289" t="e">
        <f aca="false">+#REF!</f>
        <v>#REF!</v>
      </c>
      <c r="BO54" s="289" t="e">
        <f aca="false">+#REF!</f>
        <v>#REF!</v>
      </c>
      <c r="BP54" s="292" t="e">
        <f aca="false">+#REF!</f>
        <v>#REF!</v>
      </c>
      <c r="BQ54" s="293"/>
      <c r="BR54" s="294"/>
      <c r="BS54" s="294"/>
      <c r="BT54" s="294"/>
      <c r="BU54" s="294"/>
      <c r="BV54" s="294"/>
      <c r="BW54" s="294"/>
      <c r="BX54" s="294"/>
      <c r="BY54" s="294"/>
      <c r="BZ54" s="294"/>
      <c r="CA54" s="294"/>
      <c r="CB54" s="294"/>
      <c r="CC54" s="294"/>
      <c r="CD54" s="294"/>
      <c r="CE54" s="294"/>
      <c r="CF54" s="294"/>
      <c r="CG54" s="294"/>
      <c r="CH54" s="294"/>
      <c r="CI54" s="294"/>
      <c r="CJ54" s="294"/>
      <c r="CK54" s="294"/>
      <c r="CL54" s="294"/>
      <c r="CM54" s="294"/>
      <c r="CN54" s="294"/>
      <c r="CO54" s="294"/>
      <c r="CP54" s="294"/>
      <c r="CQ54" s="294"/>
      <c r="CR54" s="294"/>
      <c r="CS54" s="294"/>
      <c r="CT54" s="294"/>
      <c r="CU54" s="294"/>
      <c r="CV54" s="294"/>
      <c r="CW54" s="294"/>
      <c r="CX54" s="294"/>
      <c r="CY54" s="294"/>
      <c r="CZ54" s="294"/>
      <c r="DA54" s="294"/>
      <c r="DB54" s="294"/>
      <c r="DC54" s="294"/>
      <c r="DD54" s="294"/>
      <c r="DE54" s="294"/>
      <c r="DF54" s="294"/>
      <c r="DG54" s="294"/>
      <c r="DH54" s="294"/>
      <c r="DI54" s="294"/>
      <c r="DJ54" s="294"/>
      <c r="DK54" s="294"/>
      <c r="DL54" s="294"/>
      <c r="DM54" s="294"/>
      <c r="DN54" s="294"/>
      <c r="DO54" s="294"/>
      <c r="DP54" s="294"/>
      <c r="DQ54" s="294"/>
      <c r="DR54" s="294"/>
      <c r="DS54" s="294"/>
      <c r="DT54" s="294"/>
      <c r="DU54" s="294"/>
      <c r="DV54" s="294"/>
      <c r="DW54" s="294"/>
      <c r="DX54" s="294"/>
      <c r="DY54" s="294"/>
      <c r="DZ54" s="294"/>
      <c r="EA54" s="294"/>
      <c r="EB54" s="294"/>
      <c r="EC54" s="294"/>
      <c r="ED54" s="294"/>
      <c r="EE54" s="294"/>
      <c r="EF54" s="294"/>
      <c r="EG54" s="294"/>
      <c r="EH54" s="294"/>
      <c r="EI54" s="294"/>
      <c r="EJ54" s="294"/>
      <c r="EK54" s="294"/>
      <c r="EL54" s="294"/>
      <c r="EM54" s="294"/>
      <c r="EN54" s="294"/>
      <c r="EO54" s="294"/>
      <c r="EP54" s="294"/>
      <c r="EQ54" s="294"/>
      <c r="ER54" s="294"/>
      <c r="ES54" s="294"/>
      <c r="ET54" s="294"/>
      <c r="EU54" s="294"/>
      <c r="EV54" s="294"/>
      <c r="EW54" s="294"/>
      <c r="EX54" s="294"/>
      <c r="EY54" s="294"/>
      <c r="EZ54" s="294"/>
      <c r="FA54" s="294"/>
      <c r="FB54" s="294"/>
      <c r="FC54" s="295"/>
    </row>
    <row r="55" customFormat="false" ht="24" hidden="false" customHeight="true" outlineLevel="0" collapsed="false">
      <c r="B55" s="297" t="s">
        <v>115</v>
      </c>
      <c r="C55" s="298" t="e">
        <f aca="false">SUM(D55:FC55)</f>
        <v>#REF!</v>
      </c>
      <c r="D55" s="299" t="n">
        <v>0</v>
      </c>
      <c r="E55" s="300" t="n">
        <v>0</v>
      </c>
      <c r="F55" s="301" t="n">
        <v>0</v>
      </c>
      <c r="G55" s="301" t="e">
        <f aca="false">+#REF!</f>
        <v>#REF!</v>
      </c>
      <c r="H55" s="301" t="e">
        <f aca="false">+#REF!</f>
        <v>#REF!</v>
      </c>
      <c r="I55" s="302" t="e">
        <f aca="false">+#REF!</f>
        <v>#REF!</v>
      </c>
      <c r="J55" s="303" t="e">
        <f aca="false">+#REF!</f>
        <v>#REF!</v>
      </c>
      <c r="K55" s="301" t="e">
        <f aca="false">+#REF!</f>
        <v>#REF!</v>
      </c>
      <c r="L55" s="301" t="e">
        <f aca="false">+#REF!</f>
        <v>#REF!</v>
      </c>
      <c r="M55" s="302" t="e">
        <f aca="false">+#REF!</f>
        <v>#REF!</v>
      </c>
      <c r="N55" s="303" t="e">
        <f aca="false">+#REF!</f>
        <v>#REF!</v>
      </c>
      <c r="O55" s="301" t="e">
        <f aca="false">+#REF!</f>
        <v>#REF!</v>
      </c>
      <c r="P55" s="301" t="e">
        <f aca="false">+#REF!</f>
        <v>#REF!</v>
      </c>
      <c r="Q55" s="302" t="e">
        <f aca="false">+#REF!</f>
        <v>#REF!</v>
      </c>
      <c r="R55" s="303" t="e">
        <f aca="false">+#REF!</f>
        <v>#REF!</v>
      </c>
      <c r="S55" s="301" t="e">
        <f aca="false">+#REF!</f>
        <v>#REF!</v>
      </c>
      <c r="T55" s="301" t="e">
        <f aca="false">+#REF!</f>
        <v>#REF!</v>
      </c>
      <c r="U55" s="302" t="e">
        <f aca="false">+#REF!</f>
        <v>#REF!</v>
      </c>
      <c r="V55" s="303" t="e">
        <f aca="false">+#REF!</f>
        <v>#REF!</v>
      </c>
      <c r="W55" s="301" t="e">
        <f aca="false">+#REF!</f>
        <v>#REF!</v>
      </c>
      <c r="X55" s="301" t="e">
        <f aca="false">+#REF!</f>
        <v>#REF!</v>
      </c>
      <c r="Y55" s="301" t="e">
        <f aca="false">+#REF!</f>
        <v>#REF!</v>
      </c>
      <c r="Z55" s="302" t="e">
        <f aca="false">+#REF!</f>
        <v>#REF!</v>
      </c>
      <c r="AA55" s="303" t="e">
        <f aca="false">+#REF!</f>
        <v>#REF!</v>
      </c>
      <c r="AB55" s="301" t="e">
        <f aca="false">+#REF!</f>
        <v>#REF!</v>
      </c>
      <c r="AC55" s="301" t="e">
        <f aca="false">+#REF!</f>
        <v>#REF!</v>
      </c>
      <c r="AD55" s="302" t="e">
        <f aca="false">+#REF!</f>
        <v>#REF!</v>
      </c>
      <c r="AE55" s="303" t="e">
        <f aca="false">+#REF!</f>
        <v>#REF!</v>
      </c>
      <c r="AF55" s="301" t="e">
        <f aca="false">+#REF!</f>
        <v>#REF!</v>
      </c>
      <c r="AG55" s="301" t="e">
        <f aca="false">+#REF!</f>
        <v>#REF!</v>
      </c>
      <c r="AH55" s="302" t="e">
        <f aca="false">+#REF!</f>
        <v>#REF!</v>
      </c>
      <c r="AI55" s="302" t="e">
        <f aca="false">+#REF!</f>
        <v>#REF!</v>
      </c>
      <c r="AJ55" s="303" t="e">
        <f aca="false">+#REF!</f>
        <v>#REF!</v>
      </c>
      <c r="AK55" s="301" t="e">
        <f aca="false">+#REF!</f>
        <v>#REF!</v>
      </c>
      <c r="AL55" s="301" t="e">
        <f aca="false">+#REF!</f>
        <v>#REF!</v>
      </c>
      <c r="AM55" s="302" t="e">
        <f aca="false">+#REF!</f>
        <v>#REF!</v>
      </c>
      <c r="AN55" s="303" t="e">
        <f aca="false">+#REF!</f>
        <v>#REF!</v>
      </c>
      <c r="AO55" s="301" t="e">
        <f aca="false">+#REF!</f>
        <v>#REF!</v>
      </c>
      <c r="AP55" s="301" t="e">
        <f aca="false">+#REF!</f>
        <v>#REF!</v>
      </c>
      <c r="AQ55" s="302" t="e">
        <f aca="false">+#REF!</f>
        <v>#REF!</v>
      </c>
      <c r="AR55" s="303" t="e">
        <f aca="false">+#REF!</f>
        <v>#REF!</v>
      </c>
      <c r="AS55" s="301" t="e">
        <f aca="false">+#REF!</f>
        <v>#REF!</v>
      </c>
      <c r="AT55" s="301" t="e">
        <f aca="false">+#REF!</f>
        <v>#REF!</v>
      </c>
      <c r="AU55" s="301" t="e">
        <f aca="false">+#REF!</f>
        <v>#REF!</v>
      </c>
      <c r="AV55" s="302" t="e">
        <f aca="false">+#REF!</f>
        <v>#REF!</v>
      </c>
      <c r="AW55" s="303" t="e">
        <f aca="false">+#REF!</f>
        <v>#REF!</v>
      </c>
      <c r="AX55" s="301" t="e">
        <f aca="false">+#REF!</f>
        <v>#REF!</v>
      </c>
      <c r="AY55" s="301" t="e">
        <f aca="false">+#REF!</f>
        <v>#REF!</v>
      </c>
      <c r="AZ55" s="302" t="e">
        <f aca="false">+#REF!</f>
        <v>#REF!</v>
      </c>
      <c r="BA55" s="303" t="e">
        <f aca="false">+#REF!</f>
        <v>#REF!</v>
      </c>
      <c r="BB55" s="301" t="e">
        <f aca="false">+#REF!</f>
        <v>#REF!</v>
      </c>
      <c r="BC55" s="301" t="e">
        <f aca="false">+#REF!</f>
        <v>#REF!</v>
      </c>
      <c r="BD55" s="302" t="e">
        <f aca="false">+#REF!</f>
        <v>#REF!</v>
      </c>
      <c r="BE55" s="303" t="e">
        <f aca="false">+#REF!</f>
        <v>#REF!</v>
      </c>
      <c r="BF55" s="301" t="e">
        <f aca="false">+#REF!</f>
        <v>#REF!</v>
      </c>
      <c r="BG55" s="301" t="e">
        <f aca="false">+#REF!</f>
        <v>#REF!</v>
      </c>
      <c r="BH55" s="302" t="e">
        <f aca="false">+#REF!</f>
        <v>#REF!</v>
      </c>
      <c r="BI55" s="303" t="e">
        <f aca="false">+#REF!</f>
        <v>#REF!</v>
      </c>
      <c r="BJ55" s="301" t="e">
        <f aca="false">+#REF!</f>
        <v>#REF!</v>
      </c>
      <c r="BK55" s="301" t="e">
        <f aca="false">+#REF!</f>
        <v>#REF!</v>
      </c>
      <c r="BL55" s="302" t="e">
        <f aca="false">+#REF!</f>
        <v>#REF!</v>
      </c>
      <c r="BM55" s="303" t="e">
        <f aca="false">+#REF!</f>
        <v>#REF!</v>
      </c>
      <c r="BN55" s="301" t="e">
        <f aca="false">+#REF!</f>
        <v>#REF!</v>
      </c>
      <c r="BO55" s="301" t="e">
        <f aca="false">+#REF!</f>
        <v>#REF!</v>
      </c>
      <c r="BP55" s="304" t="e">
        <f aca="false">+#REF!</f>
        <v>#REF!</v>
      </c>
      <c r="BQ55" s="305"/>
      <c r="BR55" s="306"/>
      <c r="BS55" s="306"/>
      <c r="BT55" s="306"/>
      <c r="BU55" s="306"/>
      <c r="BV55" s="306"/>
      <c r="BW55" s="306"/>
      <c r="BX55" s="306"/>
      <c r="BY55" s="306"/>
      <c r="BZ55" s="306"/>
      <c r="CA55" s="306"/>
      <c r="CB55" s="306"/>
      <c r="CC55" s="306"/>
      <c r="CD55" s="306"/>
      <c r="CE55" s="306"/>
      <c r="CF55" s="306"/>
      <c r="CG55" s="306"/>
      <c r="CH55" s="306"/>
      <c r="CI55" s="306"/>
      <c r="CJ55" s="306"/>
      <c r="CK55" s="306"/>
      <c r="CL55" s="306"/>
      <c r="CM55" s="306"/>
      <c r="CN55" s="306"/>
      <c r="CO55" s="306"/>
      <c r="CP55" s="306"/>
      <c r="CQ55" s="306"/>
      <c r="CR55" s="306"/>
      <c r="CS55" s="306"/>
      <c r="CT55" s="306"/>
      <c r="CU55" s="306"/>
      <c r="CV55" s="306"/>
      <c r="CW55" s="306"/>
      <c r="CX55" s="306"/>
      <c r="CY55" s="306"/>
      <c r="CZ55" s="306"/>
      <c r="DA55" s="306"/>
      <c r="DB55" s="306"/>
      <c r="DC55" s="306"/>
      <c r="DD55" s="306"/>
      <c r="DE55" s="306"/>
      <c r="DF55" s="306"/>
      <c r="DG55" s="306"/>
      <c r="DH55" s="306"/>
      <c r="DI55" s="306"/>
      <c r="DJ55" s="306"/>
      <c r="DK55" s="306"/>
      <c r="DL55" s="306"/>
      <c r="DM55" s="306"/>
      <c r="DN55" s="306"/>
      <c r="DO55" s="306"/>
      <c r="DP55" s="306"/>
      <c r="DQ55" s="306"/>
      <c r="DR55" s="306"/>
      <c r="DS55" s="306"/>
      <c r="DT55" s="306"/>
      <c r="DU55" s="306"/>
      <c r="DV55" s="306"/>
      <c r="DW55" s="306"/>
      <c r="DX55" s="306"/>
      <c r="DY55" s="306"/>
      <c r="DZ55" s="306"/>
      <c r="EA55" s="306"/>
      <c r="EB55" s="306"/>
      <c r="EC55" s="306"/>
      <c r="ED55" s="306"/>
      <c r="EE55" s="306"/>
      <c r="EF55" s="306"/>
      <c r="EG55" s="306"/>
      <c r="EH55" s="306"/>
      <c r="EI55" s="306"/>
      <c r="EJ55" s="306"/>
      <c r="EK55" s="306"/>
      <c r="EL55" s="306"/>
      <c r="EM55" s="306"/>
      <c r="EN55" s="306"/>
      <c r="EO55" s="306"/>
      <c r="EP55" s="306"/>
      <c r="EQ55" s="306"/>
      <c r="ER55" s="306"/>
      <c r="ES55" s="306"/>
      <c r="ET55" s="306"/>
      <c r="EU55" s="306"/>
      <c r="EV55" s="306"/>
      <c r="EW55" s="306"/>
      <c r="EX55" s="306"/>
      <c r="EY55" s="306"/>
      <c r="EZ55" s="306"/>
      <c r="FA55" s="306"/>
      <c r="FB55" s="306"/>
      <c r="FC55" s="307"/>
    </row>
    <row r="56" s="308" customFormat="true" ht="14.5" hidden="false" customHeight="false" outlineLevel="0" collapsed="false">
      <c r="C56" s="308" t="e">
        <f aca="false">SUM(C47:C55)</f>
        <v>#REF!</v>
      </c>
      <c r="D56" s="308" t="n">
        <f aca="false">SUM(D47:D55)</f>
        <v>0</v>
      </c>
      <c r="E56" s="308" t="n">
        <f aca="false">SUM(E47:E55)</f>
        <v>0</v>
      </c>
      <c r="F56" s="308" t="n">
        <f aca="false">SUM(F47:F55)</f>
        <v>0</v>
      </c>
      <c r="G56" s="308" t="e">
        <f aca="false">SUM(G47:G55)</f>
        <v>#REF!</v>
      </c>
      <c r="H56" s="308" t="e">
        <f aca="false">SUM(H47:H55)</f>
        <v>#REF!</v>
      </c>
      <c r="I56" s="308" t="e">
        <f aca="false">SUM(I47:I55)</f>
        <v>#REF!</v>
      </c>
      <c r="J56" s="308" t="e">
        <f aca="false">SUM(J47:J55)</f>
        <v>#REF!</v>
      </c>
      <c r="K56" s="308" t="e">
        <f aca="false">SUM(K47:K55)</f>
        <v>#REF!</v>
      </c>
      <c r="L56" s="308" t="e">
        <f aca="false">SUM(L47:L55)</f>
        <v>#REF!</v>
      </c>
      <c r="M56" s="308" t="e">
        <f aca="false">SUM(M47:M55)</f>
        <v>#REF!</v>
      </c>
      <c r="N56" s="308" t="e">
        <f aca="false">SUM(N47:N55)</f>
        <v>#REF!</v>
      </c>
      <c r="O56" s="308" t="e">
        <f aca="false">SUM(O47:O55)</f>
        <v>#REF!</v>
      </c>
      <c r="P56" s="308" t="e">
        <f aca="false">SUM(P47:P55)</f>
        <v>#REF!</v>
      </c>
      <c r="Q56" s="308" t="e">
        <f aca="false">SUM(Q47:Q55)</f>
        <v>#REF!</v>
      </c>
      <c r="R56" s="308" t="e">
        <f aca="false">SUM(R47:R55)</f>
        <v>#REF!</v>
      </c>
      <c r="S56" s="308" t="e">
        <f aca="false">SUM(S47:S55)</f>
        <v>#REF!</v>
      </c>
      <c r="T56" s="308" t="e">
        <f aca="false">SUM(T47:T55)</f>
        <v>#REF!</v>
      </c>
      <c r="U56" s="308" t="e">
        <f aca="false">SUM(U47:U55)</f>
        <v>#REF!</v>
      </c>
      <c r="V56" s="308" t="e">
        <f aca="false">SUM(V47:V55)</f>
        <v>#REF!</v>
      </c>
      <c r="W56" s="308" t="e">
        <f aca="false">SUM(W47:W55)</f>
        <v>#REF!</v>
      </c>
      <c r="X56" s="308" t="e">
        <f aca="false">SUM(X47:X55)</f>
        <v>#REF!</v>
      </c>
      <c r="Y56" s="308" t="e">
        <f aca="false">SUM(Y47:Y55)</f>
        <v>#REF!</v>
      </c>
      <c r="Z56" s="308" t="e">
        <f aca="false">SUM(Z47:Z55)</f>
        <v>#REF!</v>
      </c>
      <c r="AA56" s="308" t="e">
        <f aca="false">SUM(AA47:AA55)</f>
        <v>#REF!</v>
      </c>
      <c r="AB56" s="308" t="e">
        <f aca="false">SUM(AB47:AB55)</f>
        <v>#REF!</v>
      </c>
      <c r="AC56" s="308" t="e">
        <f aca="false">SUM(AC47:AC55)</f>
        <v>#REF!</v>
      </c>
      <c r="AD56" s="308" t="e">
        <f aca="false">SUM(AD47:AD55)</f>
        <v>#REF!</v>
      </c>
      <c r="AE56" s="308" t="e">
        <f aca="false">SUM(AE47:AE55)</f>
        <v>#REF!</v>
      </c>
      <c r="AF56" s="308" t="e">
        <f aca="false">SUM(AF47:AF55)</f>
        <v>#REF!</v>
      </c>
      <c r="AG56" s="308" t="e">
        <f aca="false">SUM(AG47:AG55)</f>
        <v>#REF!</v>
      </c>
      <c r="AH56" s="308" t="e">
        <f aca="false">SUM(AH47:AH55)</f>
        <v>#REF!</v>
      </c>
      <c r="AI56" s="308" t="e">
        <f aca="false">SUM(AI47:AI55)</f>
        <v>#REF!</v>
      </c>
      <c r="AJ56" s="308" t="e">
        <f aca="false">SUM(AJ47:AJ55)</f>
        <v>#REF!</v>
      </c>
      <c r="AK56" s="308" t="e">
        <f aca="false">SUM(AK47:AK55)</f>
        <v>#REF!</v>
      </c>
      <c r="AL56" s="308" t="e">
        <f aca="false">SUM(AL47:AL55)</f>
        <v>#REF!</v>
      </c>
      <c r="AM56" s="308" t="e">
        <f aca="false">SUM(AM47:AM55)</f>
        <v>#REF!</v>
      </c>
      <c r="AN56" s="308" t="e">
        <f aca="false">SUM(AN47:AN55)</f>
        <v>#REF!</v>
      </c>
      <c r="AO56" s="308" t="e">
        <f aca="false">SUM(AO47:AO55)</f>
        <v>#REF!</v>
      </c>
      <c r="AP56" s="308" t="e">
        <f aca="false">SUM(AP47:AP55)</f>
        <v>#REF!</v>
      </c>
      <c r="AQ56" s="308" t="e">
        <f aca="false">SUM(AQ47:AQ55)</f>
        <v>#REF!</v>
      </c>
      <c r="AR56" s="308" t="e">
        <f aca="false">SUM(AR47:AR55)</f>
        <v>#REF!</v>
      </c>
      <c r="AS56" s="308" t="e">
        <f aca="false">SUM(AS47:AS55)</f>
        <v>#REF!</v>
      </c>
      <c r="AT56" s="308" t="e">
        <f aca="false">SUM(AT47:AT55)</f>
        <v>#REF!</v>
      </c>
      <c r="AU56" s="308" t="e">
        <f aca="false">SUM(AU47:AU55)</f>
        <v>#REF!</v>
      </c>
      <c r="AV56" s="308" t="e">
        <f aca="false">SUM(AV47:AV55)</f>
        <v>#REF!</v>
      </c>
      <c r="AW56" s="308" t="e">
        <f aca="false">SUM(AW47:AW55)</f>
        <v>#REF!</v>
      </c>
      <c r="AX56" s="308" t="e">
        <f aca="false">SUM(AX47:AX55)</f>
        <v>#REF!</v>
      </c>
      <c r="AY56" s="308" t="e">
        <f aca="false">SUM(AY47:AY55)</f>
        <v>#REF!</v>
      </c>
      <c r="AZ56" s="308" t="e">
        <f aca="false">SUM(AZ47:AZ55)</f>
        <v>#REF!</v>
      </c>
      <c r="BA56" s="308" t="e">
        <f aca="false">SUM(BA47:BA55)</f>
        <v>#REF!</v>
      </c>
      <c r="BB56" s="308" t="e">
        <f aca="false">SUM(BB47:BB55)</f>
        <v>#REF!</v>
      </c>
      <c r="BC56" s="308" t="e">
        <f aca="false">SUM(BC47:BC55)</f>
        <v>#REF!</v>
      </c>
      <c r="BD56" s="308" t="e">
        <f aca="false">SUM(BD47:BD55)</f>
        <v>#REF!</v>
      </c>
      <c r="BE56" s="308" t="e">
        <f aca="false">SUM(BE47:BE55)</f>
        <v>#REF!</v>
      </c>
      <c r="BF56" s="308" t="e">
        <f aca="false">SUM(BF47:BF55)</f>
        <v>#REF!</v>
      </c>
      <c r="BG56" s="308" t="e">
        <f aca="false">SUM(BG47:BG55)</f>
        <v>#REF!</v>
      </c>
      <c r="BH56" s="308" t="e">
        <f aca="false">SUM(BH47:BH55)</f>
        <v>#REF!</v>
      </c>
      <c r="BI56" s="308" t="e">
        <f aca="false">SUM(BI47:BI55)</f>
        <v>#REF!</v>
      </c>
      <c r="BJ56" s="308" t="e">
        <f aca="false">SUM(BJ47:BJ55)</f>
        <v>#REF!</v>
      </c>
      <c r="BK56" s="308" t="e">
        <f aca="false">SUM(BK47:BK55)</f>
        <v>#REF!</v>
      </c>
      <c r="BL56" s="308" t="e">
        <f aca="false">SUM(BL47:BL55)</f>
        <v>#REF!</v>
      </c>
      <c r="BM56" s="308" t="e">
        <f aca="false">SUM(BM47:BM55)</f>
        <v>#REF!</v>
      </c>
      <c r="BN56" s="308" t="e">
        <f aca="false">SUM(BN47:BN55)</f>
        <v>#REF!</v>
      </c>
      <c r="BO56" s="308" t="e">
        <f aca="false">SUM(BO47:BO55)</f>
        <v>#REF!</v>
      </c>
      <c r="BP56" s="308" t="e">
        <f aca="false">SUM(BP47:BP55)</f>
        <v>#REF!</v>
      </c>
    </row>
    <row r="58" customFormat="false" ht="14.5" hidden="false" customHeight="false" outlineLevel="0" collapsed="false">
      <c r="B58" s="309" t="s">
        <v>488</v>
      </c>
      <c r="C58" s="309"/>
    </row>
    <row r="59" customFormat="false" ht="24" hidden="false" customHeight="true" outlineLevel="0" collapsed="false">
      <c r="B59" s="274" t="s">
        <v>82</v>
      </c>
      <c r="C59" s="310" t="e">
        <f aca="false">+C47/$C$56</f>
        <v>#REF!</v>
      </c>
      <c r="D59" s="311" t="n">
        <v>0</v>
      </c>
      <c r="E59" s="312" t="n">
        <v>0</v>
      </c>
      <c r="F59" s="313" t="n">
        <v>0</v>
      </c>
      <c r="G59" s="314" t="e">
        <f aca="false">+G47/$G$56</f>
        <v>#REF!</v>
      </c>
      <c r="H59" s="314" t="e">
        <f aca="false">+H47/H$56</f>
        <v>#REF!</v>
      </c>
      <c r="I59" s="315" t="n">
        <v>0</v>
      </c>
      <c r="J59" s="312" t="e">
        <f aca="false">+J47/J$56</f>
        <v>#REF!</v>
      </c>
      <c r="K59" s="314" t="e">
        <f aca="false">+K47/K$56</f>
        <v>#REF!</v>
      </c>
      <c r="L59" s="314" t="e">
        <f aca="false">+L47/L$56</f>
        <v>#REF!</v>
      </c>
      <c r="M59" s="315" t="e">
        <f aca="false">+M47/M$56</f>
        <v>#REF!</v>
      </c>
      <c r="N59" s="312" t="e">
        <f aca="false">+N47/N$56</f>
        <v>#REF!</v>
      </c>
      <c r="O59" s="314" t="e">
        <f aca="false">+O47/O$56</f>
        <v>#REF!</v>
      </c>
      <c r="P59" s="314" t="e">
        <f aca="false">+P47/P$56</f>
        <v>#REF!</v>
      </c>
      <c r="Q59" s="311" t="e">
        <f aca="false">+Q47/Q$56</f>
        <v>#REF!</v>
      </c>
      <c r="R59" s="312" t="e">
        <f aca="false">+R47/R$56</f>
        <v>#REF!</v>
      </c>
      <c r="S59" s="314" t="e">
        <f aca="false">+S47/S$56</f>
        <v>#REF!</v>
      </c>
      <c r="T59" s="314" t="e">
        <f aca="false">+T47/T$56</f>
        <v>#REF!</v>
      </c>
      <c r="U59" s="311" t="e">
        <f aca="false">+U47/U$56</f>
        <v>#REF!</v>
      </c>
      <c r="V59" s="312" t="e">
        <f aca="false">+V47/V$56</f>
        <v>#REF!</v>
      </c>
      <c r="W59" s="314" t="e">
        <f aca="false">+W47/W$56</f>
        <v>#REF!</v>
      </c>
      <c r="X59" s="314" t="e">
        <f aca="false">+X47/X$56</f>
        <v>#REF!</v>
      </c>
      <c r="Y59" s="314" t="e">
        <f aca="false">+Y47/Y$56</f>
        <v>#REF!</v>
      </c>
      <c r="Z59" s="311" t="e">
        <f aca="false">+Z47/Z$56</f>
        <v>#REF!</v>
      </c>
      <c r="AA59" s="312" t="e">
        <f aca="false">+AA47/AA$56</f>
        <v>#REF!</v>
      </c>
      <c r="AB59" s="314" t="e">
        <f aca="false">+AB47/AB$56</f>
        <v>#REF!</v>
      </c>
      <c r="AC59" s="314" t="e">
        <f aca="false">+AC47/AC$56</f>
        <v>#REF!</v>
      </c>
      <c r="AD59" s="311" t="e">
        <f aca="false">+AD47/AD$56</f>
        <v>#REF!</v>
      </c>
      <c r="AE59" s="312" t="e">
        <f aca="false">+AE47/AE$56</f>
        <v>#REF!</v>
      </c>
      <c r="AF59" s="314" t="e">
        <f aca="false">+AF47/AF$56</f>
        <v>#REF!</v>
      </c>
      <c r="AG59" s="314" t="e">
        <f aca="false">+AG47/AG$56</f>
        <v>#REF!</v>
      </c>
      <c r="AH59" s="314" t="e">
        <f aca="false">+AH47/AH$56</f>
        <v>#REF!</v>
      </c>
      <c r="AI59" s="311" t="e">
        <f aca="false">+AI47/AI$56</f>
        <v>#REF!</v>
      </c>
      <c r="AJ59" s="312" t="e">
        <f aca="false">+AJ47/AJ$56</f>
        <v>#REF!</v>
      </c>
      <c r="AK59" s="314" t="e">
        <f aca="false">+AK47/AK$56</f>
        <v>#REF!</v>
      </c>
      <c r="AL59" s="314" t="e">
        <f aca="false">+AL47/AL$56</f>
        <v>#REF!</v>
      </c>
      <c r="AM59" s="311" t="e">
        <f aca="false">+AM47/AM$56</f>
        <v>#REF!</v>
      </c>
      <c r="AN59" s="316" t="e">
        <f aca="false">+AN47/AN$56</f>
        <v>#REF!</v>
      </c>
      <c r="AO59" s="314" t="e">
        <f aca="false">+AO47/AO$56</f>
        <v>#REF!</v>
      </c>
      <c r="AP59" s="314" t="e">
        <f aca="false">+AP47/AP$56</f>
        <v>#REF!</v>
      </c>
      <c r="AQ59" s="311" t="e">
        <f aca="false">+AQ47/AQ$56</f>
        <v>#REF!</v>
      </c>
      <c r="AR59" s="312" t="e">
        <f aca="false">+AR47/AR$56</f>
        <v>#REF!</v>
      </c>
      <c r="AS59" s="314" t="e">
        <f aca="false">+AS47/AS$56</f>
        <v>#REF!</v>
      </c>
      <c r="AT59" s="314" t="e">
        <f aca="false">+AT47/AT$56</f>
        <v>#REF!</v>
      </c>
      <c r="AU59" s="314" t="e">
        <f aca="false">+AU47/AU$56</f>
        <v>#REF!</v>
      </c>
      <c r="AV59" s="311" t="e">
        <f aca="false">+AV47/AV$56</f>
        <v>#REF!</v>
      </c>
      <c r="AW59" s="312" t="e">
        <f aca="false">+AW47/AW$56</f>
        <v>#REF!</v>
      </c>
      <c r="AX59" s="314" t="e">
        <f aca="false">+AX47/AX$56</f>
        <v>#REF!</v>
      </c>
      <c r="AY59" s="314" t="e">
        <f aca="false">+AY47/AY$56</f>
        <v>#REF!</v>
      </c>
      <c r="AZ59" s="311" t="e">
        <f aca="false">+AZ47/AZ$56</f>
        <v>#REF!</v>
      </c>
      <c r="BA59" s="316" t="e">
        <f aca="false">+BA47/BA$56</f>
        <v>#REF!</v>
      </c>
      <c r="BB59" s="314" t="e">
        <f aca="false">+BB47/BB$56</f>
        <v>#REF!</v>
      </c>
      <c r="BC59" s="314" t="e">
        <f aca="false">+BC47/BC$56</f>
        <v>#REF!</v>
      </c>
      <c r="BD59" s="311" t="e">
        <f aca="false">+BD47/BD$56</f>
        <v>#REF!</v>
      </c>
      <c r="BE59" s="312" t="e">
        <f aca="false">+BE47/BE$56</f>
        <v>#REF!</v>
      </c>
      <c r="BF59" s="314" t="e">
        <f aca="false">+BF47/BF$56</f>
        <v>#REF!</v>
      </c>
      <c r="BG59" s="314" t="e">
        <f aca="false">+BG47/BG$56</f>
        <v>#REF!</v>
      </c>
      <c r="BH59" s="311" t="e">
        <f aca="false">+BH47/BH$56</f>
        <v>#REF!</v>
      </c>
      <c r="BI59" s="312" t="e">
        <f aca="false">+BI47/BI$56</f>
        <v>#REF!</v>
      </c>
      <c r="BJ59" s="314" t="e">
        <f aca="false">+BJ47/BJ$56</f>
        <v>#REF!</v>
      </c>
      <c r="BK59" s="314" t="e">
        <f aca="false">+BK47/BK$56</f>
        <v>#REF!</v>
      </c>
      <c r="BL59" s="311" t="e">
        <f aca="false">+BL47/BL$56</f>
        <v>#REF!</v>
      </c>
      <c r="BM59" s="312" t="e">
        <f aca="false">+BM47/BM$56</f>
        <v>#REF!</v>
      </c>
      <c r="BN59" s="314" t="e">
        <f aca="false">+BN47/BN$56</f>
        <v>#REF!</v>
      </c>
      <c r="BO59" s="314" t="e">
        <f aca="false">+BO47/BO$56</f>
        <v>#REF!</v>
      </c>
      <c r="BP59" s="315" t="e">
        <f aca="false">+BP47/BP$56</f>
        <v>#REF!</v>
      </c>
      <c r="BQ59" s="282"/>
      <c r="BR59" s="283"/>
      <c r="BS59" s="283"/>
      <c r="BT59" s="283"/>
      <c r="BU59" s="283"/>
      <c r="BV59" s="283"/>
      <c r="BW59" s="283"/>
      <c r="BX59" s="283"/>
      <c r="BY59" s="283"/>
      <c r="BZ59" s="283"/>
      <c r="CA59" s="283"/>
      <c r="CB59" s="283"/>
      <c r="CC59" s="283"/>
      <c r="CD59" s="283"/>
      <c r="CE59" s="283"/>
      <c r="CF59" s="283"/>
      <c r="CG59" s="283"/>
      <c r="CH59" s="283"/>
      <c r="CI59" s="283"/>
      <c r="CJ59" s="283"/>
      <c r="CK59" s="283"/>
      <c r="CL59" s="283"/>
      <c r="CM59" s="283"/>
      <c r="CN59" s="283"/>
      <c r="CO59" s="283"/>
      <c r="CP59" s="283"/>
      <c r="CQ59" s="283"/>
      <c r="CR59" s="283"/>
      <c r="CS59" s="283"/>
      <c r="CT59" s="283"/>
      <c r="CU59" s="283"/>
      <c r="CV59" s="283"/>
      <c r="CW59" s="283"/>
      <c r="CX59" s="283"/>
      <c r="CY59" s="283"/>
      <c r="CZ59" s="283"/>
      <c r="DA59" s="283"/>
      <c r="DB59" s="283"/>
      <c r="DC59" s="283"/>
      <c r="DD59" s="283"/>
      <c r="DE59" s="283"/>
      <c r="DF59" s="283"/>
      <c r="DG59" s="283"/>
      <c r="DH59" s="283"/>
      <c r="DI59" s="283"/>
      <c r="DJ59" s="283"/>
      <c r="DK59" s="283"/>
      <c r="DL59" s="283"/>
      <c r="DM59" s="283"/>
      <c r="DN59" s="283"/>
      <c r="DO59" s="283"/>
      <c r="DP59" s="283"/>
      <c r="DQ59" s="283"/>
      <c r="DR59" s="283"/>
      <c r="DS59" s="283"/>
      <c r="DT59" s="283"/>
      <c r="DU59" s="283"/>
      <c r="DV59" s="283"/>
      <c r="DW59" s="283"/>
      <c r="DX59" s="283"/>
      <c r="DY59" s="283"/>
      <c r="DZ59" s="283"/>
      <c r="EA59" s="283"/>
      <c r="EB59" s="283"/>
      <c r="EC59" s="283"/>
      <c r="ED59" s="283"/>
      <c r="EE59" s="283"/>
      <c r="EF59" s="283"/>
      <c r="EG59" s="283"/>
      <c r="EH59" s="283"/>
      <c r="EI59" s="283"/>
      <c r="EJ59" s="283"/>
      <c r="EK59" s="283"/>
      <c r="EL59" s="283"/>
      <c r="EM59" s="283"/>
      <c r="EN59" s="283"/>
      <c r="EO59" s="283"/>
      <c r="EP59" s="283"/>
      <c r="EQ59" s="283"/>
      <c r="ER59" s="283"/>
      <c r="ES59" s="283"/>
      <c r="ET59" s="283"/>
      <c r="EU59" s="283"/>
      <c r="EV59" s="283"/>
      <c r="EW59" s="283"/>
      <c r="EX59" s="283"/>
      <c r="EY59" s="283"/>
      <c r="EZ59" s="283"/>
      <c r="FA59" s="283"/>
      <c r="FB59" s="283"/>
      <c r="FC59" s="284"/>
    </row>
    <row r="60" customFormat="false" ht="24" hidden="false" customHeight="true" outlineLevel="0" collapsed="false">
      <c r="B60" s="285" t="s">
        <v>85</v>
      </c>
      <c r="C60" s="317" t="e">
        <f aca="false">+C48/$C$56</f>
        <v>#REF!</v>
      </c>
      <c r="D60" s="318" t="n">
        <v>0</v>
      </c>
      <c r="E60" s="319" t="n">
        <v>0</v>
      </c>
      <c r="F60" s="320" t="n">
        <v>0</v>
      </c>
      <c r="G60" s="321" t="e">
        <f aca="false">+G48/$G$56</f>
        <v>#REF!</v>
      </c>
      <c r="H60" s="321" t="e">
        <f aca="false">+H48/H$56</f>
        <v>#REF!</v>
      </c>
      <c r="I60" s="322" t="n">
        <v>0</v>
      </c>
      <c r="J60" s="319" t="e">
        <f aca="false">+J48/J$56</f>
        <v>#REF!</v>
      </c>
      <c r="K60" s="321" t="e">
        <f aca="false">+K48/K$56</f>
        <v>#REF!</v>
      </c>
      <c r="L60" s="321" t="e">
        <f aca="false">+L48/L$56</f>
        <v>#REF!</v>
      </c>
      <c r="M60" s="322" t="e">
        <f aca="false">+M48/M$56</f>
        <v>#REF!</v>
      </c>
      <c r="N60" s="319" t="e">
        <f aca="false">+N48/N$56</f>
        <v>#REF!</v>
      </c>
      <c r="O60" s="321" t="e">
        <f aca="false">+O48/O$56</f>
        <v>#REF!</v>
      </c>
      <c r="P60" s="321" t="e">
        <f aca="false">+P48/P$56</f>
        <v>#REF!</v>
      </c>
      <c r="Q60" s="318" t="e">
        <f aca="false">+Q48/Q$56</f>
        <v>#REF!</v>
      </c>
      <c r="R60" s="319" t="e">
        <f aca="false">+R48/R$56</f>
        <v>#REF!</v>
      </c>
      <c r="S60" s="321" t="e">
        <f aca="false">+S48/S$56</f>
        <v>#REF!</v>
      </c>
      <c r="T60" s="321" t="e">
        <f aca="false">+T48/T$56</f>
        <v>#REF!</v>
      </c>
      <c r="U60" s="318" t="e">
        <f aca="false">+U48/U$56</f>
        <v>#REF!</v>
      </c>
      <c r="V60" s="319" t="e">
        <f aca="false">+V48/V$56</f>
        <v>#REF!</v>
      </c>
      <c r="W60" s="321" t="e">
        <f aca="false">+W48/W$56</f>
        <v>#REF!</v>
      </c>
      <c r="X60" s="321" t="e">
        <f aca="false">+X48/X$56</f>
        <v>#REF!</v>
      </c>
      <c r="Y60" s="321" t="e">
        <f aca="false">+Y48/Y$56</f>
        <v>#REF!</v>
      </c>
      <c r="Z60" s="318" t="e">
        <f aca="false">+Z48/Z$56</f>
        <v>#REF!</v>
      </c>
      <c r="AA60" s="319" t="e">
        <f aca="false">+AA48/AA$56</f>
        <v>#REF!</v>
      </c>
      <c r="AB60" s="321" t="e">
        <f aca="false">+AB48/AB$56</f>
        <v>#REF!</v>
      </c>
      <c r="AC60" s="321" t="e">
        <f aca="false">+AC48/AC$56</f>
        <v>#REF!</v>
      </c>
      <c r="AD60" s="318" t="e">
        <f aca="false">+AD48/AD$56</f>
        <v>#REF!</v>
      </c>
      <c r="AE60" s="319" t="e">
        <f aca="false">+AE48/AE$56</f>
        <v>#REF!</v>
      </c>
      <c r="AF60" s="321" t="e">
        <f aca="false">+AF48/AF$56</f>
        <v>#REF!</v>
      </c>
      <c r="AG60" s="321" t="e">
        <f aca="false">+AG48/AG$56</f>
        <v>#REF!</v>
      </c>
      <c r="AH60" s="321" t="e">
        <f aca="false">+AH48/AH$56</f>
        <v>#REF!</v>
      </c>
      <c r="AI60" s="318" t="e">
        <f aca="false">+AI48/AI$56</f>
        <v>#REF!</v>
      </c>
      <c r="AJ60" s="319" t="e">
        <f aca="false">+AJ48/AJ$56</f>
        <v>#REF!</v>
      </c>
      <c r="AK60" s="321" t="e">
        <f aca="false">+AK48/AK$56</f>
        <v>#REF!</v>
      </c>
      <c r="AL60" s="321" t="e">
        <f aca="false">+AL48/AL$56</f>
        <v>#REF!</v>
      </c>
      <c r="AM60" s="318" t="e">
        <f aca="false">+AM48/AM$56</f>
        <v>#REF!</v>
      </c>
      <c r="AN60" s="323" t="e">
        <f aca="false">+AN48/AN$56</f>
        <v>#REF!</v>
      </c>
      <c r="AO60" s="321" t="e">
        <f aca="false">+AO48/AO$56</f>
        <v>#REF!</v>
      </c>
      <c r="AP60" s="321" t="e">
        <f aca="false">+AP48/AP$56</f>
        <v>#REF!</v>
      </c>
      <c r="AQ60" s="318" t="e">
        <f aca="false">+AQ48/AQ$56</f>
        <v>#REF!</v>
      </c>
      <c r="AR60" s="319" t="e">
        <f aca="false">+AR48/AR$56</f>
        <v>#REF!</v>
      </c>
      <c r="AS60" s="321" t="e">
        <f aca="false">+AS48/AS$56</f>
        <v>#REF!</v>
      </c>
      <c r="AT60" s="321" t="e">
        <f aca="false">+AT48/AT$56</f>
        <v>#REF!</v>
      </c>
      <c r="AU60" s="321" t="e">
        <f aca="false">+AU48/AU$56</f>
        <v>#REF!</v>
      </c>
      <c r="AV60" s="318" t="e">
        <f aca="false">+AV48/AV$56</f>
        <v>#REF!</v>
      </c>
      <c r="AW60" s="319" t="e">
        <f aca="false">+AW48/AW$56</f>
        <v>#REF!</v>
      </c>
      <c r="AX60" s="321" t="e">
        <f aca="false">+AX48/AX$56</f>
        <v>#REF!</v>
      </c>
      <c r="AY60" s="321" t="e">
        <f aca="false">+AY48/AY$56</f>
        <v>#REF!</v>
      </c>
      <c r="AZ60" s="318" t="e">
        <f aca="false">+AZ48/AZ$56</f>
        <v>#REF!</v>
      </c>
      <c r="BA60" s="323" t="e">
        <f aca="false">+BA48/BA$56</f>
        <v>#REF!</v>
      </c>
      <c r="BB60" s="321" t="e">
        <f aca="false">+BB48/BB$56</f>
        <v>#REF!</v>
      </c>
      <c r="BC60" s="321" t="e">
        <f aca="false">+BC48/BC$56</f>
        <v>#REF!</v>
      </c>
      <c r="BD60" s="318" t="e">
        <f aca="false">+BD48/BD$56</f>
        <v>#REF!</v>
      </c>
      <c r="BE60" s="319" t="e">
        <f aca="false">+BE48/BE$56</f>
        <v>#REF!</v>
      </c>
      <c r="BF60" s="321" t="e">
        <f aca="false">+BF48/BF$56</f>
        <v>#REF!</v>
      </c>
      <c r="BG60" s="321" t="e">
        <f aca="false">+BG48/BG$56</f>
        <v>#REF!</v>
      </c>
      <c r="BH60" s="318" t="e">
        <f aca="false">+BH48/BH$56</f>
        <v>#REF!</v>
      </c>
      <c r="BI60" s="319" t="e">
        <f aca="false">+BI48/BI$56</f>
        <v>#REF!</v>
      </c>
      <c r="BJ60" s="321" t="e">
        <f aca="false">+BJ48/BJ$56</f>
        <v>#REF!</v>
      </c>
      <c r="BK60" s="321" t="e">
        <f aca="false">+BK48/BK$56</f>
        <v>#REF!</v>
      </c>
      <c r="BL60" s="318" t="e">
        <f aca="false">+BL48/BL$56</f>
        <v>#REF!</v>
      </c>
      <c r="BM60" s="319" t="e">
        <f aca="false">+BM48/BM$56</f>
        <v>#REF!</v>
      </c>
      <c r="BN60" s="321" t="e">
        <f aca="false">+BN48/BN$56</f>
        <v>#REF!</v>
      </c>
      <c r="BO60" s="321" t="e">
        <f aca="false">+BO48/BO$56</f>
        <v>#REF!</v>
      </c>
      <c r="BP60" s="322" t="e">
        <f aca="false">+BP48/BP$56</f>
        <v>#REF!</v>
      </c>
      <c r="BQ60" s="293"/>
      <c r="BR60" s="294"/>
      <c r="BS60" s="294"/>
      <c r="BT60" s="294"/>
      <c r="BU60" s="294"/>
      <c r="BV60" s="294"/>
      <c r="BW60" s="294"/>
      <c r="BX60" s="294"/>
      <c r="BY60" s="294"/>
      <c r="BZ60" s="294"/>
      <c r="CA60" s="294"/>
      <c r="CB60" s="294"/>
      <c r="CC60" s="294"/>
      <c r="CD60" s="294"/>
      <c r="CE60" s="294"/>
      <c r="CF60" s="294"/>
      <c r="CG60" s="294"/>
      <c r="CH60" s="294"/>
      <c r="CI60" s="294"/>
      <c r="CJ60" s="294"/>
      <c r="CK60" s="294"/>
      <c r="CL60" s="294"/>
      <c r="CM60" s="294"/>
      <c r="CN60" s="294"/>
      <c r="CO60" s="294"/>
      <c r="CP60" s="294"/>
      <c r="CQ60" s="294"/>
      <c r="CR60" s="294"/>
      <c r="CS60" s="294"/>
      <c r="CT60" s="294"/>
      <c r="CU60" s="294"/>
      <c r="CV60" s="294"/>
      <c r="CW60" s="294"/>
      <c r="CX60" s="294"/>
      <c r="CY60" s="294"/>
      <c r="CZ60" s="294"/>
      <c r="DA60" s="294"/>
      <c r="DB60" s="294"/>
      <c r="DC60" s="294"/>
      <c r="DD60" s="294"/>
      <c r="DE60" s="294"/>
      <c r="DF60" s="294"/>
      <c r="DG60" s="294"/>
      <c r="DH60" s="294"/>
      <c r="DI60" s="294"/>
      <c r="DJ60" s="294"/>
      <c r="DK60" s="294"/>
      <c r="DL60" s="294"/>
      <c r="DM60" s="294"/>
      <c r="DN60" s="294"/>
      <c r="DO60" s="294"/>
      <c r="DP60" s="294"/>
      <c r="DQ60" s="294"/>
      <c r="DR60" s="294"/>
      <c r="DS60" s="294"/>
      <c r="DT60" s="294"/>
      <c r="DU60" s="294"/>
      <c r="DV60" s="294"/>
      <c r="DW60" s="294"/>
      <c r="DX60" s="294"/>
      <c r="DY60" s="294"/>
      <c r="DZ60" s="294"/>
      <c r="EA60" s="294"/>
      <c r="EB60" s="294"/>
      <c r="EC60" s="294"/>
      <c r="ED60" s="294"/>
      <c r="EE60" s="294"/>
      <c r="EF60" s="294"/>
      <c r="EG60" s="294"/>
      <c r="EH60" s="294"/>
      <c r="EI60" s="294"/>
      <c r="EJ60" s="294"/>
      <c r="EK60" s="294"/>
      <c r="EL60" s="294"/>
      <c r="EM60" s="294"/>
      <c r="EN60" s="294"/>
      <c r="EO60" s="294"/>
      <c r="EP60" s="294"/>
      <c r="EQ60" s="294"/>
      <c r="ER60" s="294"/>
      <c r="ES60" s="294"/>
      <c r="ET60" s="294"/>
      <c r="EU60" s="294"/>
      <c r="EV60" s="294"/>
      <c r="EW60" s="294"/>
      <c r="EX60" s="294"/>
      <c r="EY60" s="294"/>
      <c r="EZ60" s="294"/>
      <c r="FA60" s="294"/>
      <c r="FB60" s="294"/>
      <c r="FC60" s="295"/>
    </row>
    <row r="61" customFormat="false" ht="24" hidden="false" customHeight="true" outlineLevel="0" collapsed="false">
      <c r="B61" s="285" t="s">
        <v>88</v>
      </c>
      <c r="C61" s="317" t="e">
        <f aca="false">+C49/$C$56</f>
        <v>#REF!</v>
      </c>
      <c r="D61" s="318" t="n">
        <v>0</v>
      </c>
      <c r="E61" s="319" t="n">
        <v>0</v>
      </c>
      <c r="F61" s="320" t="n">
        <v>0</v>
      </c>
      <c r="G61" s="321" t="e">
        <f aca="false">+G49/$G$56</f>
        <v>#REF!</v>
      </c>
      <c r="H61" s="321" t="e">
        <f aca="false">+H49/H$56</f>
        <v>#REF!</v>
      </c>
      <c r="I61" s="322" t="n">
        <v>0</v>
      </c>
      <c r="J61" s="319" t="e">
        <f aca="false">+J49/J$56</f>
        <v>#REF!</v>
      </c>
      <c r="K61" s="321" t="e">
        <f aca="false">+K49/K$56</f>
        <v>#REF!</v>
      </c>
      <c r="L61" s="321" t="e">
        <f aca="false">+L49/L$56</f>
        <v>#REF!</v>
      </c>
      <c r="M61" s="322" t="e">
        <f aca="false">+M49/M$56</f>
        <v>#REF!</v>
      </c>
      <c r="N61" s="319" t="e">
        <f aca="false">+N49/N$56</f>
        <v>#REF!</v>
      </c>
      <c r="O61" s="321" t="e">
        <f aca="false">+O49/O$56</f>
        <v>#REF!</v>
      </c>
      <c r="P61" s="321" t="e">
        <f aca="false">+P49/P$56</f>
        <v>#REF!</v>
      </c>
      <c r="Q61" s="318" t="e">
        <f aca="false">+Q49/Q$56</f>
        <v>#REF!</v>
      </c>
      <c r="R61" s="319" t="e">
        <f aca="false">+R49/R$56</f>
        <v>#REF!</v>
      </c>
      <c r="S61" s="321" t="e">
        <f aca="false">+S49/S$56</f>
        <v>#REF!</v>
      </c>
      <c r="T61" s="321" t="e">
        <f aca="false">+T49/T$56</f>
        <v>#REF!</v>
      </c>
      <c r="U61" s="318" t="e">
        <f aca="false">+U49/U$56</f>
        <v>#REF!</v>
      </c>
      <c r="V61" s="319" t="e">
        <f aca="false">+V49/V$56</f>
        <v>#REF!</v>
      </c>
      <c r="W61" s="321" t="e">
        <f aca="false">+W49/W$56</f>
        <v>#REF!</v>
      </c>
      <c r="X61" s="321" t="e">
        <f aca="false">+X49/X$56</f>
        <v>#REF!</v>
      </c>
      <c r="Y61" s="321" t="e">
        <f aca="false">+Y49/Y$56</f>
        <v>#REF!</v>
      </c>
      <c r="Z61" s="318" t="e">
        <f aca="false">+Z49/Z$56</f>
        <v>#REF!</v>
      </c>
      <c r="AA61" s="319" t="e">
        <f aca="false">+AA49/AA$56</f>
        <v>#REF!</v>
      </c>
      <c r="AB61" s="321" t="e">
        <f aca="false">+AB49/AB$56</f>
        <v>#REF!</v>
      </c>
      <c r="AC61" s="321" t="e">
        <f aca="false">+AC49/AC$56</f>
        <v>#REF!</v>
      </c>
      <c r="AD61" s="318" t="e">
        <f aca="false">+AD49/AD$56</f>
        <v>#REF!</v>
      </c>
      <c r="AE61" s="319" t="e">
        <f aca="false">+AE49/AE$56</f>
        <v>#REF!</v>
      </c>
      <c r="AF61" s="321" t="e">
        <f aca="false">+AF49/AF$56</f>
        <v>#REF!</v>
      </c>
      <c r="AG61" s="321" t="e">
        <f aca="false">+AG49/AG$56</f>
        <v>#REF!</v>
      </c>
      <c r="AH61" s="321" t="e">
        <f aca="false">+AH49/AH$56</f>
        <v>#REF!</v>
      </c>
      <c r="AI61" s="318" t="e">
        <f aca="false">+AI49/AI$56</f>
        <v>#REF!</v>
      </c>
      <c r="AJ61" s="319" t="e">
        <f aca="false">+AJ49/AJ$56</f>
        <v>#REF!</v>
      </c>
      <c r="AK61" s="321" t="e">
        <f aca="false">+AK49/AK$56</f>
        <v>#REF!</v>
      </c>
      <c r="AL61" s="321" t="e">
        <f aca="false">+AL49/AL$56</f>
        <v>#REF!</v>
      </c>
      <c r="AM61" s="318" t="e">
        <f aca="false">+AM49/AM$56</f>
        <v>#REF!</v>
      </c>
      <c r="AN61" s="323" t="e">
        <f aca="false">+AN49/AN$56</f>
        <v>#REF!</v>
      </c>
      <c r="AO61" s="321" t="e">
        <f aca="false">+AO49/AO$56</f>
        <v>#REF!</v>
      </c>
      <c r="AP61" s="321" t="e">
        <f aca="false">+AP49/AP$56</f>
        <v>#REF!</v>
      </c>
      <c r="AQ61" s="318" t="e">
        <f aca="false">+AQ49/AQ$56</f>
        <v>#REF!</v>
      </c>
      <c r="AR61" s="319" t="e">
        <f aca="false">+AR49/AR$56</f>
        <v>#REF!</v>
      </c>
      <c r="AS61" s="321" t="e">
        <f aca="false">+AS49/AS$56</f>
        <v>#REF!</v>
      </c>
      <c r="AT61" s="321" t="e">
        <f aca="false">+AT49/AT$56</f>
        <v>#REF!</v>
      </c>
      <c r="AU61" s="321" t="e">
        <f aca="false">+AU49/AU$56</f>
        <v>#REF!</v>
      </c>
      <c r="AV61" s="318" t="e">
        <f aca="false">+AV49/AV$56</f>
        <v>#REF!</v>
      </c>
      <c r="AW61" s="319" t="e">
        <f aca="false">+AW49/AW$56</f>
        <v>#REF!</v>
      </c>
      <c r="AX61" s="321" t="e">
        <f aca="false">+AX49/AX$56</f>
        <v>#REF!</v>
      </c>
      <c r="AY61" s="321" t="e">
        <f aca="false">+AY49/AY$56</f>
        <v>#REF!</v>
      </c>
      <c r="AZ61" s="318" t="e">
        <f aca="false">+AZ49/AZ$56</f>
        <v>#REF!</v>
      </c>
      <c r="BA61" s="323" t="e">
        <f aca="false">+BA49/BA$56</f>
        <v>#REF!</v>
      </c>
      <c r="BB61" s="321" t="e">
        <f aca="false">+BB49/BB$56</f>
        <v>#REF!</v>
      </c>
      <c r="BC61" s="321" t="e">
        <f aca="false">+BC49/BC$56</f>
        <v>#REF!</v>
      </c>
      <c r="BD61" s="318" t="e">
        <f aca="false">+BD49/BD$56</f>
        <v>#REF!</v>
      </c>
      <c r="BE61" s="319" t="e">
        <f aca="false">+BE49/BE$56</f>
        <v>#REF!</v>
      </c>
      <c r="BF61" s="321" t="e">
        <f aca="false">+BF49/BF$56</f>
        <v>#REF!</v>
      </c>
      <c r="BG61" s="321" t="e">
        <f aca="false">+BG49/BG$56</f>
        <v>#REF!</v>
      </c>
      <c r="BH61" s="318" t="e">
        <f aca="false">+BH49/BH$56</f>
        <v>#REF!</v>
      </c>
      <c r="BI61" s="319" t="e">
        <f aca="false">+BI49/BI$56</f>
        <v>#REF!</v>
      </c>
      <c r="BJ61" s="321" t="e">
        <f aca="false">+BJ49/BJ$56</f>
        <v>#REF!</v>
      </c>
      <c r="BK61" s="321" t="e">
        <f aca="false">+BK49/BK$56</f>
        <v>#REF!</v>
      </c>
      <c r="BL61" s="318" t="e">
        <f aca="false">+BL49/BL$56</f>
        <v>#REF!</v>
      </c>
      <c r="BM61" s="319" t="e">
        <f aca="false">+BM49/BM$56</f>
        <v>#REF!</v>
      </c>
      <c r="BN61" s="321" t="e">
        <f aca="false">+BN49/BN$56</f>
        <v>#REF!</v>
      </c>
      <c r="BO61" s="321" t="e">
        <f aca="false">+BO49/BO$56</f>
        <v>#REF!</v>
      </c>
      <c r="BP61" s="322" t="e">
        <f aca="false">+BP49/BP$56</f>
        <v>#REF!</v>
      </c>
      <c r="BQ61" s="293"/>
      <c r="BR61" s="294"/>
      <c r="BS61" s="294"/>
      <c r="BT61" s="294"/>
      <c r="BU61" s="294"/>
      <c r="BV61" s="294"/>
      <c r="BW61" s="294"/>
      <c r="BX61" s="294"/>
      <c r="BY61" s="294"/>
      <c r="BZ61" s="294"/>
      <c r="CA61" s="294"/>
      <c r="CB61" s="294"/>
      <c r="CC61" s="294"/>
      <c r="CD61" s="294"/>
      <c r="CE61" s="294"/>
      <c r="CF61" s="294"/>
      <c r="CG61" s="294"/>
      <c r="CH61" s="294"/>
      <c r="CI61" s="294"/>
      <c r="CJ61" s="294"/>
      <c r="CK61" s="294"/>
      <c r="CL61" s="294"/>
      <c r="CM61" s="294"/>
      <c r="CN61" s="294"/>
      <c r="CO61" s="294"/>
      <c r="CP61" s="294"/>
      <c r="CQ61" s="294"/>
      <c r="CR61" s="294"/>
      <c r="CS61" s="294"/>
      <c r="CT61" s="294"/>
      <c r="CU61" s="294"/>
      <c r="CV61" s="294"/>
      <c r="CW61" s="294"/>
      <c r="CX61" s="294"/>
      <c r="CY61" s="294"/>
      <c r="CZ61" s="294"/>
      <c r="DA61" s="294"/>
      <c r="DB61" s="294"/>
      <c r="DC61" s="294"/>
      <c r="DD61" s="294"/>
      <c r="DE61" s="294"/>
      <c r="DF61" s="294"/>
      <c r="DG61" s="294"/>
      <c r="DH61" s="294"/>
      <c r="DI61" s="294"/>
      <c r="DJ61" s="294"/>
      <c r="DK61" s="294"/>
      <c r="DL61" s="294"/>
      <c r="DM61" s="294"/>
      <c r="DN61" s="294"/>
      <c r="DO61" s="294"/>
      <c r="DP61" s="294"/>
      <c r="DQ61" s="294"/>
      <c r="DR61" s="294"/>
      <c r="DS61" s="294"/>
      <c r="DT61" s="294"/>
      <c r="DU61" s="294"/>
      <c r="DV61" s="294"/>
      <c r="DW61" s="294"/>
      <c r="DX61" s="294"/>
      <c r="DY61" s="294"/>
      <c r="DZ61" s="294"/>
      <c r="EA61" s="294"/>
      <c r="EB61" s="294"/>
      <c r="EC61" s="294"/>
      <c r="ED61" s="294"/>
      <c r="EE61" s="294"/>
      <c r="EF61" s="294"/>
      <c r="EG61" s="294"/>
      <c r="EH61" s="294"/>
      <c r="EI61" s="294"/>
      <c r="EJ61" s="294"/>
      <c r="EK61" s="294"/>
      <c r="EL61" s="294"/>
      <c r="EM61" s="294"/>
      <c r="EN61" s="294"/>
      <c r="EO61" s="294"/>
      <c r="EP61" s="294"/>
      <c r="EQ61" s="294"/>
      <c r="ER61" s="294"/>
      <c r="ES61" s="294"/>
      <c r="ET61" s="294"/>
      <c r="EU61" s="294"/>
      <c r="EV61" s="294"/>
      <c r="EW61" s="294"/>
      <c r="EX61" s="294"/>
      <c r="EY61" s="294"/>
      <c r="EZ61" s="294"/>
      <c r="FA61" s="294"/>
      <c r="FB61" s="294"/>
      <c r="FC61" s="295"/>
    </row>
    <row r="62" customFormat="false" ht="24" hidden="false" customHeight="true" outlineLevel="0" collapsed="false">
      <c r="B62" s="285" t="s">
        <v>90</v>
      </c>
      <c r="C62" s="317" t="e">
        <f aca="false">+C50/$C$56</f>
        <v>#REF!</v>
      </c>
      <c r="D62" s="318" t="n">
        <v>0</v>
      </c>
      <c r="E62" s="319" t="n">
        <v>0</v>
      </c>
      <c r="F62" s="320" t="n">
        <v>0</v>
      </c>
      <c r="G62" s="321" t="e">
        <f aca="false">+G50/$G$56</f>
        <v>#REF!</v>
      </c>
      <c r="H62" s="321" t="e">
        <f aca="false">+H50/H$56</f>
        <v>#REF!</v>
      </c>
      <c r="I62" s="322" t="n">
        <v>0</v>
      </c>
      <c r="J62" s="319" t="e">
        <f aca="false">+J50/J$56</f>
        <v>#REF!</v>
      </c>
      <c r="K62" s="321" t="e">
        <f aca="false">+K50/K$56</f>
        <v>#REF!</v>
      </c>
      <c r="L62" s="321" t="e">
        <f aca="false">+L50/L$56</f>
        <v>#REF!</v>
      </c>
      <c r="M62" s="322" t="e">
        <f aca="false">+M50/M$56</f>
        <v>#REF!</v>
      </c>
      <c r="N62" s="319" t="e">
        <f aca="false">+N50/N$56</f>
        <v>#REF!</v>
      </c>
      <c r="O62" s="321" t="e">
        <f aca="false">+O50/O$56</f>
        <v>#REF!</v>
      </c>
      <c r="P62" s="321" t="e">
        <f aca="false">+P50/P$56</f>
        <v>#REF!</v>
      </c>
      <c r="Q62" s="318" t="e">
        <f aca="false">+Q50/Q$56</f>
        <v>#REF!</v>
      </c>
      <c r="R62" s="319" t="e">
        <f aca="false">+R50/R$56</f>
        <v>#REF!</v>
      </c>
      <c r="S62" s="321" t="e">
        <f aca="false">+S50/S$56</f>
        <v>#REF!</v>
      </c>
      <c r="T62" s="321" t="e">
        <f aca="false">+T50/T$56</f>
        <v>#REF!</v>
      </c>
      <c r="U62" s="318" t="e">
        <f aca="false">+U50/U$56</f>
        <v>#REF!</v>
      </c>
      <c r="V62" s="319" t="e">
        <f aca="false">+V50/V$56</f>
        <v>#REF!</v>
      </c>
      <c r="W62" s="321" t="e">
        <f aca="false">+W50/W$56</f>
        <v>#REF!</v>
      </c>
      <c r="X62" s="321" t="e">
        <f aca="false">+X50/X$56</f>
        <v>#REF!</v>
      </c>
      <c r="Y62" s="321" t="e">
        <f aca="false">+Y50/Y$56</f>
        <v>#REF!</v>
      </c>
      <c r="Z62" s="318" t="e">
        <f aca="false">+Z50/Z$56</f>
        <v>#REF!</v>
      </c>
      <c r="AA62" s="319" t="e">
        <f aca="false">+AA50/AA$56</f>
        <v>#REF!</v>
      </c>
      <c r="AB62" s="321" t="e">
        <f aca="false">+AB50/AB$56</f>
        <v>#REF!</v>
      </c>
      <c r="AC62" s="321" t="e">
        <f aca="false">+AC50/AC$56</f>
        <v>#REF!</v>
      </c>
      <c r="AD62" s="318" t="e">
        <f aca="false">+AD50/AD$56</f>
        <v>#REF!</v>
      </c>
      <c r="AE62" s="319" t="e">
        <f aca="false">+AE50/AE$56</f>
        <v>#REF!</v>
      </c>
      <c r="AF62" s="321" t="e">
        <f aca="false">+AF50/AF$56</f>
        <v>#REF!</v>
      </c>
      <c r="AG62" s="321" t="e">
        <f aca="false">+AG50/AG$56</f>
        <v>#REF!</v>
      </c>
      <c r="AH62" s="321" t="e">
        <f aca="false">+AH50/AH$56</f>
        <v>#REF!</v>
      </c>
      <c r="AI62" s="318" t="e">
        <f aca="false">+AI50/AI$56</f>
        <v>#REF!</v>
      </c>
      <c r="AJ62" s="319" t="e">
        <f aca="false">+AJ50/AJ$56</f>
        <v>#REF!</v>
      </c>
      <c r="AK62" s="321" t="e">
        <f aca="false">+AK50/AK$56</f>
        <v>#REF!</v>
      </c>
      <c r="AL62" s="321" t="e">
        <f aca="false">+AL50/AL$56</f>
        <v>#REF!</v>
      </c>
      <c r="AM62" s="318" t="e">
        <f aca="false">+AM50/AM$56</f>
        <v>#REF!</v>
      </c>
      <c r="AN62" s="323" t="e">
        <f aca="false">+AN50/AN$56</f>
        <v>#REF!</v>
      </c>
      <c r="AO62" s="321" t="e">
        <f aca="false">+AO50/AO$56</f>
        <v>#REF!</v>
      </c>
      <c r="AP62" s="321" t="e">
        <f aca="false">+AP50/AP$56</f>
        <v>#REF!</v>
      </c>
      <c r="AQ62" s="318" t="e">
        <f aca="false">+AQ50/AQ$56</f>
        <v>#REF!</v>
      </c>
      <c r="AR62" s="319" t="e">
        <f aca="false">+AR50/AR$56</f>
        <v>#REF!</v>
      </c>
      <c r="AS62" s="321" t="e">
        <f aca="false">+AS50/AS$56</f>
        <v>#REF!</v>
      </c>
      <c r="AT62" s="321" t="e">
        <f aca="false">+AT50/AT$56</f>
        <v>#REF!</v>
      </c>
      <c r="AU62" s="321" t="e">
        <f aca="false">+AU50/AU$56</f>
        <v>#REF!</v>
      </c>
      <c r="AV62" s="318" t="e">
        <f aca="false">+AV50/AV$56</f>
        <v>#REF!</v>
      </c>
      <c r="AW62" s="319" t="e">
        <f aca="false">+AW50/AW$56</f>
        <v>#REF!</v>
      </c>
      <c r="AX62" s="321" t="e">
        <f aca="false">+AX50/AX$56</f>
        <v>#REF!</v>
      </c>
      <c r="AY62" s="321" t="e">
        <f aca="false">+AY50/AY$56</f>
        <v>#REF!</v>
      </c>
      <c r="AZ62" s="318" t="e">
        <f aca="false">+AZ50/AZ$56</f>
        <v>#REF!</v>
      </c>
      <c r="BA62" s="323" t="e">
        <f aca="false">+BA50/BA$56</f>
        <v>#REF!</v>
      </c>
      <c r="BB62" s="321" t="e">
        <f aca="false">+BB50/BB$56</f>
        <v>#REF!</v>
      </c>
      <c r="BC62" s="321" t="e">
        <f aca="false">+BC50/BC$56</f>
        <v>#REF!</v>
      </c>
      <c r="BD62" s="318" t="e">
        <f aca="false">+BD50/BD$56</f>
        <v>#REF!</v>
      </c>
      <c r="BE62" s="319" t="e">
        <f aca="false">+BE50/BE$56</f>
        <v>#REF!</v>
      </c>
      <c r="BF62" s="321" t="e">
        <f aca="false">+BF50/BF$56</f>
        <v>#REF!</v>
      </c>
      <c r="BG62" s="321" t="e">
        <f aca="false">+BG50/BG$56</f>
        <v>#REF!</v>
      </c>
      <c r="BH62" s="318" t="e">
        <f aca="false">+BH50/BH$56</f>
        <v>#REF!</v>
      </c>
      <c r="BI62" s="319" t="e">
        <f aca="false">+BI50/BI$56</f>
        <v>#REF!</v>
      </c>
      <c r="BJ62" s="321" t="e">
        <f aca="false">+BJ50/BJ$56</f>
        <v>#REF!</v>
      </c>
      <c r="BK62" s="321" t="e">
        <f aca="false">+BK50/BK$56</f>
        <v>#REF!</v>
      </c>
      <c r="BL62" s="318" t="e">
        <f aca="false">+BL50/BL$56</f>
        <v>#REF!</v>
      </c>
      <c r="BM62" s="319" t="e">
        <f aca="false">+BM50/BM$56</f>
        <v>#REF!</v>
      </c>
      <c r="BN62" s="321" t="e">
        <f aca="false">+BN50/BN$56</f>
        <v>#REF!</v>
      </c>
      <c r="BO62" s="321" t="e">
        <f aca="false">+BO50/BO$56</f>
        <v>#REF!</v>
      </c>
      <c r="BP62" s="322" t="e">
        <f aca="false">+BP50/BP$56</f>
        <v>#REF!</v>
      </c>
      <c r="BQ62" s="293"/>
      <c r="BR62" s="294"/>
      <c r="BS62" s="294"/>
      <c r="BT62" s="294"/>
      <c r="BU62" s="294"/>
      <c r="BV62" s="294"/>
      <c r="BW62" s="294"/>
      <c r="BX62" s="294"/>
      <c r="BY62" s="294"/>
      <c r="BZ62" s="294"/>
      <c r="CA62" s="294"/>
      <c r="CB62" s="294"/>
      <c r="CC62" s="294"/>
      <c r="CD62" s="294"/>
      <c r="CE62" s="294"/>
      <c r="CF62" s="294"/>
      <c r="CG62" s="294"/>
      <c r="CH62" s="294"/>
      <c r="CI62" s="294"/>
      <c r="CJ62" s="294"/>
      <c r="CK62" s="294"/>
      <c r="CL62" s="294"/>
      <c r="CM62" s="294"/>
      <c r="CN62" s="294"/>
      <c r="CO62" s="294"/>
      <c r="CP62" s="294"/>
      <c r="CQ62" s="294"/>
      <c r="CR62" s="294"/>
      <c r="CS62" s="294"/>
      <c r="CT62" s="294"/>
      <c r="CU62" s="294"/>
      <c r="CV62" s="294"/>
      <c r="CW62" s="294"/>
      <c r="CX62" s="294"/>
      <c r="CY62" s="294"/>
      <c r="CZ62" s="294"/>
      <c r="DA62" s="294"/>
      <c r="DB62" s="294"/>
      <c r="DC62" s="294"/>
      <c r="DD62" s="294"/>
      <c r="DE62" s="294"/>
      <c r="DF62" s="294"/>
      <c r="DG62" s="294"/>
      <c r="DH62" s="294"/>
      <c r="DI62" s="294"/>
      <c r="DJ62" s="294"/>
      <c r="DK62" s="294"/>
      <c r="DL62" s="294"/>
      <c r="DM62" s="294"/>
      <c r="DN62" s="294"/>
      <c r="DO62" s="294"/>
      <c r="DP62" s="294"/>
      <c r="DQ62" s="294"/>
      <c r="DR62" s="294"/>
      <c r="DS62" s="294"/>
      <c r="DT62" s="294"/>
      <c r="DU62" s="294"/>
      <c r="DV62" s="294"/>
      <c r="DW62" s="294"/>
      <c r="DX62" s="294"/>
      <c r="DY62" s="294"/>
      <c r="DZ62" s="294"/>
      <c r="EA62" s="294"/>
      <c r="EB62" s="294"/>
      <c r="EC62" s="294"/>
      <c r="ED62" s="294"/>
      <c r="EE62" s="294"/>
      <c r="EF62" s="294"/>
      <c r="EG62" s="294"/>
      <c r="EH62" s="294"/>
      <c r="EI62" s="294"/>
      <c r="EJ62" s="294"/>
      <c r="EK62" s="294"/>
      <c r="EL62" s="294"/>
      <c r="EM62" s="294"/>
      <c r="EN62" s="294"/>
      <c r="EO62" s="294"/>
      <c r="EP62" s="294"/>
      <c r="EQ62" s="294"/>
      <c r="ER62" s="294"/>
      <c r="ES62" s="294"/>
      <c r="ET62" s="294"/>
      <c r="EU62" s="294"/>
      <c r="EV62" s="294"/>
      <c r="EW62" s="294"/>
      <c r="EX62" s="294"/>
      <c r="EY62" s="294"/>
      <c r="EZ62" s="294"/>
      <c r="FA62" s="294"/>
      <c r="FB62" s="294"/>
      <c r="FC62" s="295"/>
    </row>
    <row r="63" customFormat="false" ht="34.5" hidden="false" customHeight="true" outlineLevel="0" collapsed="false">
      <c r="B63" s="296" t="s">
        <v>91</v>
      </c>
      <c r="C63" s="317" t="e">
        <f aca="false">+C51/$C$56</f>
        <v>#REF!</v>
      </c>
      <c r="D63" s="318" t="n">
        <v>0</v>
      </c>
      <c r="E63" s="319" t="n">
        <v>0</v>
      </c>
      <c r="F63" s="320" t="n">
        <v>0</v>
      </c>
      <c r="G63" s="321" t="e">
        <f aca="false">+G51/$G$56</f>
        <v>#REF!</v>
      </c>
      <c r="H63" s="321" t="e">
        <f aca="false">+H51/H$56</f>
        <v>#REF!</v>
      </c>
      <c r="I63" s="322" t="n">
        <v>0</v>
      </c>
      <c r="J63" s="319" t="e">
        <f aca="false">+J51/J$56</f>
        <v>#REF!</v>
      </c>
      <c r="K63" s="321" t="e">
        <f aca="false">+K51/K$56</f>
        <v>#REF!</v>
      </c>
      <c r="L63" s="321" t="e">
        <f aca="false">+L51/L$56</f>
        <v>#REF!</v>
      </c>
      <c r="M63" s="322" t="e">
        <f aca="false">+M51/M$56</f>
        <v>#REF!</v>
      </c>
      <c r="N63" s="319" t="e">
        <f aca="false">+N51/N$56</f>
        <v>#REF!</v>
      </c>
      <c r="O63" s="321" t="e">
        <f aca="false">+O51/O$56</f>
        <v>#REF!</v>
      </c>
      <c r="P63" s="321" t="e">
        <f aca="false">+P51/P$56</f>
        <v>#REF!</v>
      </c>
      <c r="Q63" s="318" t="e">
        <f aca="false">+Q51/Q$56</f>
        <v>#REF!</v>
      </c>
      <c r="R63" s="319" t="e">
        <f aca="false">+R51/R$56</f>
        <v>#REF!</v>
      </c>
      <c r="S63" s="321" t="e">
        <f aca="false">+S51/S$56</f>
        <v>#REF!</v>
      </c>
      <c r="T63" s="321" t="e">
        <f aca="false">+T51/T$56</f>
        <v>#REF!</v>
      </c>
      <c r="U63" s="318" t="e">
        <f aca="false">+U51/U$56</f>
        <v>#REF!</v>
      </c>
      <c r="V63" s="319" t="e">
        <f aca="false">+V51/V$56</f>
        <v>#REF!</v>
      </c>
      <c r="W63" s="321" t="e">
        <f aca="false">+W51/W$56</f>
        <v>#REF!</v>
      </c>
      <c r="X63" s="321" t="e">
        <f aca="false">+X51/X$56</f>
        <v>#REF!</v>
      </c>
      <c r="Y63" s="321" t="e">
        <f aca="false">+Y51/Y$56</f>
        <v>#REF!</v>
      </c>
      <c r="Z63" s="318" t="e">
        <f aca="false">+Z51/Z$56</f>
        <v>#REF!</v>
      </c>
      <c r="AA63" s="319" t="e">
        <f aca="false">+AA51/AA$56</f>
        <v>#REF!</v>
      </c>
      <c r="AB63" s="321" t="e">
        <f aca="false">+AB51/AB$56</f>
        <v>#REF!</v>
      </c>
      <c r="AC63" s="321" t="e">
        <f aca="false">+AC51/AC$56</f>
        <v>#REF!</v>
      </c>
      <c r="AD63" s="318" t="e">
        <f aca="false">+AD51/AD$56</f>
        <v>#REF!</v>
      </c>
      <c r="AE63" s="319" t="e">
        <f aca="false">+AE51/AE$56</f>
        <v>#REF!</v>
      </c>
      <c r="AF63" s="321" t="e">
        <f aca="false">+AF51/AF$56</f>
        <v>#REF!</v>
      </c>
      <c r="AG63" s="321" t="e">
        <f aca="false">+AG51/AG$56</f>
        <v>#REF!</v>
      </c>
      <c r="AH63" s="321" t="e">
        <f aca="false">+AH51/AH$56</f>
        <v>#REF!</v>
      </c>
      <c r="AI63" s="318" t="e">
        <f aca="false">+AI51/AI$56</f>
        <v>#REF!</v>
      </c>
      <c r="AJ63" s="319" t="e">
        <f aca="false">+AJ51/AJ$56</f>
        <v>#REF!</v>
      </c>
      <c r="AK63" s="321" t="e">
        <f aca="false">+AK51/AK$56</f>
        <v>#REF!</v>
      </c>
      <c r="AL63" s="321" t="e">
        <f aca="false">+AL51/AL$56</f>
        <v>#REF!</v>
      </c>
      <c r="AM63" s="318" t="e">
        <f aca="false">+AM51/AM$56</f>
        <v>#REF!</v>
      </c>
      <c r="AN63" s="323" t="e">
        <f aca="false">+AN51/AN$56</f>
        <v>#REF!</v>
      </c>
      <c r="AO63" s="321" t="e">
        <f aca="false">+AO51/AO$56</f>
        <v>#REF!</v>
      </c>
      <c r="AP63" s="321" t="e">
        <f aca="false">+AP51/AP$56</f>
        <v>#REF!</v>
      </c>
      <c r="AQ63" s="318" t="e">
        <f aca="false">+AQ51/AQ$56</f>
        <v>#REF!</v>
      </c>
      <c r="AR63" s="319" t="e">
        <f aca="false">+AR51/AR$56</f>
        <v>#REF!</v>
      </c>
      <c r="AS63" s="321" t="e">
        <f aca="false">+AS51/AS$56</f>
        <v>#REF!</v>
      </c>
      <c r="AT63" s="321" t="e">
        <f aca="false">+AT51/AT$56</f>
        <v>#REF!</v>
      </c>
      <c r="AU63" s="321" t="e">
        <f aca="false">+AU51/AU$56</f>
        <v>#REF!</v>
      </c>
      <c r="AV63" s="318" t="e">
        <f aca="false">+AV51/AV$56</f>
        <v>#REF!</v>
      </c>
      <c r="AW63" s="319" t="e">
        <f aca="false">+AW51/AW$56</f>
        <v>#REF!</v>
      </c>
      <c r="AX63" s="321" t="e">
        <f aca="false">+AX51/AX$56</f>
        <v>#REF!</v>
      </c>
      <c r="AY63" s="321" t="e">
        <f aca="false">+AY51/AY$56</f>
        <v>#REF!</v>
      </c>
      <c r="AZ63" s="318" t="e">
        <f aca="false">+AZ51/AZ$56</f>
        <v>#REF!</v>
      </c>
      <c r="BA63" s="323" t="e">
        <f aca="false">+BA51/BA$56</f>
        <v>#REF!</v>
      </c>
      <c r="BB63" s="321" t="e">
        <f aca="false">+BB51/BB$56</f>
        <v>#REF!</v>
      </c>
      <c r="BC63" s="321" t="e">
        <f aca="false">+BC51/BC$56</f>
        <v>#REF!</v>
      </c>
      <c r="BD63" s="318" t="e">
        <f aca="false">+BD51/BD$56</f>
        <v>#REF!</v>
      </c>
      <c r="BE63" s="319" t="e">
        <f aca="false">+BE51/BE$56</f>
        <v>#REF!</v>
      </c>
      <c r="BF63" s="321" t="e">
        <f aca="false">+BF51/BF$56</f>
        <v>#REF!</v>
      </c>
      <c r="BG63" s="321" t="e">
        <f aca="false">+BG51/BG$56</f>
        <v>#REF!</v>
      </c>
      <c r="BH63" s="318" t="e">
        <f aca="false">+BH51/BH$56</f>
        <v>#REF!</v>
      </c>
      <c r="BI63" s="319" t="e">
        <f aca="false">+BI51/BI$56</f>
        <v>#REF!</v>
      </c>
      <c r="BJ63" s="321" t="e">
        <f aca="false">+BJ51/BJ$56</f>
        <v>#REF!</v>
      </c>
      <c r="BK63" s="321" t="e">
        <f aca="false">+BK51/BK$56</f>
        <v>#REF!</v>
      </c>
      <c r="BL63" s="318" t="e">
        <f aca="false">+BL51/BL$56</f>
        <v>#REF!</v>
      </c>
      <c r="BM63" s="319" t="e">
        <f aca="false">+BM51/BM$56</f>
        <v>#REF!</v>
      </c>
      <c r="BN63" s="321" t="e">
        <f aca="false">+BN51/BN$56</f>
        <v>#REF!</v>
      </c>
      <c r="BO63" s="321" t="e">
        <f aca="false">+BO51/BO$56</f>
        <v>#REF!</v>
      </c>
      <c r="BP63" s="322" t="e">
        <f aca="false">+BP51/BP$56</f>
        <v>#REF!</v>
      </c>
      <c r="BQ63" s="293"/>
      <c r="BR63" s="294"/>
      <c r="BS63" s="294"/>
      <c r="BT63" s="294"/>
      <c r="BU63" s="294"/>
      <c r="BV63" s="294"/>
      <c r="BW63" s="294"/>
      <c r="BX63" s="294"/>
      <c r="BY63" s="294"/>
      <c r="BZ63" s="294"/>
      <c r="CA63" s="294"/>
      <c r="CB63" s="294"/>
      <c r="CC63" s="294"/>
      <c r="CD63" s="294"/>
      <c r="CE63" s="294"/>
      <c r="CF63" s="294"/>
      <c r="CG63" s="294"/>
      <c r="CH63" s="294"/>
      <c r="CI63" s="294"/>
      <c r="CJ63" s="294"/>
      <c r="CK63" s="294"/>
      <c r="CL63" s="294"/>
      <c r="CM63" s="294"/>
      <c r="CN63" s="294"/>
      <c r="CO63" s="294"/>
      <c r="CP63" s="294"/>
      <c r="CQ63" s="294"/>
      <c r="CR63" s="294"/>
      <c r="CS63" s="294"/>
      <c r="CT63" s="294"/>
      <c r="CU63" s="294"/>
      <c r="CV63" s="294"/>
      <c r="CW63" s="294"/>
      <c r="CX63" s="294"/>
      <c r="CY63" s="294"/>
      <c r="CZ63" s="294"/>
      <c r="DA63" s="294"/>
      <c r="DB63" s="294"/>
      <c r="DC63" s="294"/>
      <c r="DD63" s="294"/>
      <c r="DE63" s="294"/>
      <c r="DF63" s="294"/>
      <c r="DG63" s="294"/>
      <c r="DH63" s="294"/>
      <c r="DI63" s="294"/>
      <c r="DJ63" s="294"/>
      <c r="DK63" s="294"/>
      <c r="DL63" s="294"/>
      <c r="DM63" s="294"/>
      <c r="DN63" s="294"/>
      <c r="DO63" s="294"/>
      <c r="DP63" s="294"/>
      <c r="DQ63" s="294"/>
      <c r="DR63" s="294"/>
      <c r="DS63" s="294"/>
      <c r="DT63" s="294"/>
      <c r="DU63" s="294"/>
      <c r="DV63" s="294"/>
      <c r="DW63" s="294"/>
      <c r="DX63" s="294"/>
      <c r="DY63" s="294"/>
      <c r="DZ63" s="294"/>
      <c r="EA63" s="294"/>
      <c r="EB63" s="294"/>
      <c r="EC63" s="294"/>
      <c r="ED63" s="294"/>
      <c r="EE63" s="294"/>
      <c r="EF63" s="294"/>
      <c r="EG63" s="294"/>
      <c r="EH63" s="294"/>
      <c r="EI63" s="294"/>
      <c r="EJ63" s="294"/>
      <c r="EK63" s="294"/>
      <c r="EL63" s="294"/>
      <c r="EM63" s="294"/>
      <c r="EN63" s="294"/>
      <c r="EO63" s="294"/>
      <c r="EP63" s="294"/>
      <c r="EQ63" s="294"/>
      <c r="ER63" s="294"/>
      <c r="ES63" s="294"/>
      <c r="ET63" s="294"/>
      <c r="EU63" s="294"/>
      <c r="EV63" s="294"/>
      <c r="EW63" s="294"/>
      <c r="EX63" s="294"/>
      <c r="EY63" s="294"/>
      <c r="EZ63" s="294"/>
      <c r="FA63" s="294"/>
      <c r="FB63" s="294"/>
      <c r="FC63" s="295"/>
    </row>
    <row r="64" customFormat="false" ht="24" hidden="false" customHeight="true" outlineLevel="0" collapsed="false">
      <c r="B64" s="285" t="s">
        <v>92</v>
      </c>
      <c r="C64" s="317" t="e">
        <f aca="false">+C52/$C$56</f>
        <v>#REF!</v>
      </c>
      <c r="D64" s="318" t="n">
        <v>0</v>
      </c>
      <c r="E64" s="319" t="n">
        <v>0</v>
      </c>
      <c r="F64" s="320" t="n">
        <v>0</v>
      </c>
      <c r="G64" s="321" t="e">
        <f aca="false">+G52/$G$56</f>
        <v>#REF!</v>
      </c>
      <c r="H64" s="321" t="e">
        <f aca="false">+H52/H$56</f>
        <v>#REF!</v>
      </c>
      <c r="I64" s="322" t="n">
        <v>0</v>
      </c>
      <c r="J64" s="319" t="e">
        <f aca="false">+J52/J$56</f>
        <v>#REF!</v>
      </c>
      <c r="K64" s="321" t="e">
        <f aca="false">+K52/K$56</f>
        <v>#REF!</v>
      </c>
      <c r="L64" s="321" t="e">
        <f aca="false">+L52/L$56</f>
        <v>#REF!</v>
      </c>
      <c r="M64" s="322" t="e">
        <f aca="false">+M52/M$56</f>
        <v>#REF!</v>
      </c>
      <c r="N64" s="319" t="e">
        <f aca="false">+N52/N$56</f>
        <v>#REF!</v>
      </c>
      <c r="O64" s="321" t="e">
        <f aca="false">+O52/O$56</f>
        <v>#REF!</v>
      </c>
      <c r="P64" s="321" t="e">
        <f aca="false">+P52/P$56</f>
        <v>#REF!</v>
      </c>
      <c r="Q64" s="318" t="e">
        <f aca="false">+Q52/Q$56</f>
        <v>#REF!</v>
      </c>
      <c r="R64" s="319" t="e">
        <f aca="false">+R52/R$56</f>
        <v>#REF!</v>
      </c>
      <c r="S64" s="321" t="e">
        <f aca="false">+S52/S$56</f>
        <v>#REF!</v>
      </c>
      <c r="T64" s="321" t="e">
        <f aca="false">+T52/T$56</f>
        <v>#REF!</v>
      </c>
      <c r="U64" s="318" t="e">
        <f aca="false">+U52/U$56</f>
        <v>#REF!</v>
      </c>
      <c r="V64" s="319" t="e">
        <f aca="false">+V52/V$56</f>
        <v>#REF!</v>
      </c>
      <c r="W64" s="321" t="e">
        <f aca="false">+W52/W$56</f>
        <v>#REF!</v>
      </c>
      <c r="X64" s="321" t="e">
        <f aca="false">+X52/X$56</f>
        <v>#REF!</v>
      </c>
      <c r="Y64" s="321" t="e">
        <f aca="false">+Y52/Y$56</f>
        <v>#REF!</v>
      </c>
      <c r="Z64" s="318" t="e">
        <f aca="false">+Z52/Z$56</f>
        <v>#REF!</v>
      </c>
      <c r="AA64" s="319" t="e">
        <f aca="false">+AA52/AA$56</f>
        <v>#REF!</v>
      </c>
      <c r="AB64" s="321" t="e">
        <f aca="false">+AB52/AB$56</f>
        <v>#REF!</v>
      </c>
      <c r="AC64" s="321" t="e">
        <f aca="false">+AC52/AC$56</f>
        <v>#REF!</v>
      </c>
      <c r="AD64" s="318" t="e">
        <f aca="false">+AD52/AD$56</f>
        <v>#REF!</v>
      </c>
      <c r="AE64" s="319" t="e">
        <f aca="false">+AE52/AE$56</f>
        <v>#REF!</v>
      </c>
      <c r="AF64" s="321" t="e">
        <f aca="false">+AF52/AF$56</f>
        <v>#REF!</v>
      </c>
      <c r="AG64" s="321" t="e">
        <f aca="false">+AG52/AG$56</f>
        <v>#REF!</v>
      </c>
      <c r="AH64" s="321" t="e">
        <f aca="false">+AH52/AH$56</f>
        <v>#REF!</v>
      </c>
      <c r="AI64" s="318" t="e">
        <f aca="false">+AI52/AI$56</f>
        <v>#REF!</v>
      </c>
      <c r="AJ64" s="319" t="e">
        <f aca="false">+AJ52/AJ$56</f>
        <v>#REF!</v>
      </c>
      <c r="AK64" s="321" t="e">
        <f aca="false">+AK52/AK$56</f>
        <v>#REF!</v>
      </c>
      <c r="AL64" s="321" t="e">
        <f aca="false">+AL52/AL$56</f>
        <v>#REF!</v>
      </c>
      <c r="AM64" s="318" t="e">
        <f aca="false">+AM52/AM$56</f>
        <v>#REF!</v>
      </c>
      <c r="AN64" s="323" t="e">
        <f aca="false">+AN52/AN$56</f>
        <v>#REF!</v>
      </c>
      <c r="AO64" s="321" t="e">
        <f aca="false">+AO52/AO$56</f>
        <v>#REF!</v>
      </c>
      <c r="AP64" s="321" t="e">
        <f aca="false">+AP52/AP$56</f>
        <v>#REF!</v>
      </c>
      <c r="AQ64" s="318" t="e">
        <f aca="false">+AQ52/AQ$56</f>
        <v>#REF!</v>
      </c>
      <c r="AR64" s="319" t="e">
        <f aca="false">+AR52/AR$56</f>
        <v>#REF!</v>
      </c>
      <c r="AS64" s="321" t="e">
        <f aca="false">+AS52/AS$56</f>
        <v>#REF!</v>
      </c>
      <c r="AT64" s="321" t="e">
        <f aca="false">+AT52/AT$56</f>
        <v>#REF!</v>
      </c>
      <c r="AU64" s="321" t="e">
        <f aca="false">+AU52/AU$56</f>
        <v>#REF!</v>
      </c>
      <c r="AV64" s="318" t="e">
        <f aca="false">+AV52/AV$56</f>
        <v>#REF!</v>
      </c>
      <c r="AW64" s="319" t="e">
        <f aca="false">+AW52/AW$56</f>
        <v>#REF!</v>
      </c>
      <c r="AX64" s="321" t="e">
        <f aca="false">+AX52/AX$56</f>
        <v>#REF!</v>
      </c>
      <c r="AY64" s="321" t="e">
        <f aca="false">+AY52/AY$56</f>
        <v>#REF!</v>
      </c>
      <c r="AZ64" s="318" t="e">
        <f aca="false">+AZ52/AZ$56</f>
        <v>#REF!</v>
      </c>
      <c r="BA64" s="323" t="e">
        <f aca="false">+BA52/BA$56</f>
        <v>#REF!</v>
      </c>
      <c r="BB64" s="321" t="e">
        <f aca="false">+BB52/BB$56</f>
        <v>#REF!</v>
      </c>
      <c r="BC64" s="321" t="e">
        <f aca="false">+BC52/BC$56</f>
        <v>#REF!</v>
      </c>
      <c r="BD64" s="318" t="e">
        <f aca="false">+BD52/BD$56</f>
        <v>#REF!</v>
      </c>
      <c r="BE64" s="319" t="e">
        <f aca="false">+BE52/BE$56</f>
        <v>#REF!</v>
      </c>
      <c r="BF64" s="321" t="e">
        <f aca="false">+BF52/BF$56</f>
        <v>#REF!</v>
      </c>
      <c r="BG64" s="321" t="e">
        <f aca="false">+BG52/BG$56</f>
        <v>#REF!</v>
      </c>
      <c r="BH64" s="318" t="e">
        <f aca="false">+BH52/BH$56</f>
        <v>#REF!</v>
      </c>
      <c r="BI64" s="319" t="e">
        <f aca="false">+BI52/BI$56</f>
        <v>#REF!</v>
      </c>
      <c r="BJ64" s="321" t="e">
        <f aca="false">+BJ52/BJ$56</f>
        <v>#REF!</v>
      </c>
      <c r="BK64" s="321" t="e">
        <f aca="false">+BK52/BK$56</f>
        <v>#REF!</v>
      </c>
      <c r="BL64" s="318" t="e">
        <f aca="false">+BL52/BL$56</f>
        <v>#REF!</v>
      </c>
      <c r="BM64" s="319" t="e">
        <f aca="false">+BM52/BM$56</f>
        <v>#REF!</v>
      </c>
      <c r="BN64" s="321" t="e">
        <f aca="false">+BN52/BN$56</f>
        <v>#REF!</v>
      </c>
      <c r="BO64" s="321" t="e">
        <f aca="false">+BO52/BO$56</f>
        <v>#REF!</v>
      </c>
      <c r="BP64" s="322" t="e">
        <f aca="false">+BP52/BP$56</f>
        <v>#REF!</v>
      </c>
      <c r="BQ64" s="293"/>
      <c r="BR64" s="294"/>
      <c r="BS64" s="294"/>
      <c r="BT64" s="294"/>
      <c r="BU64" s="294"/>
      <c r="BV64" s="294"/>
      <c r="BW64" s="294"/>
      <c r="BX64" s="294"/>
      <c r="BY64" s="294"/>
      <c r="BZ64" s="294"/>
      <c r="CA64" s="294"/>
      <c r="CB64" s="294"/>
      <c r="CC64" s="294"/>
      <c r="CD64" s="294"/>
      <c r="CE64" s="294"/>
      <c r="CF64" s="294"/>
      <c r="CG64" s="294"/>
      <c r="CH64" s="294"/>
      <c r="CI64" s="294"/>
      <c r="CJ64" s="294"/>
      <c r="CK64" s="294"/>
      <c r="CL64" s="294"/>
      <c r="CM64" s="294"/>
      <c r="CN64" s="294"/>
      <c r="CO64" s="294"/>
      <c r="CP64" s="294"/>
      <c r="CQ64" s="294"/>
      <c r="CR64" s="294"/>
      <c r="CS64" s="294"/>
      <c r="CT64" s="294"/>
      <c r="CU64" s="294"/>
      <c r="CV64" s="294"/>
      <c r="CW64" s="294"/>
      <c r="CX64" s="294"/>
      <c r="CY64" s="294"/>
      <c r="CZ64" s="294"/>
      <c r="DA64" s="294"/>
      <c r="DB64" s="294"/>
      <c r="DC64" s="294"/>
      <c r="DD64" s="294"/>
      <c r="DE64" s="294"/>
      <c r="DF64" s="294"/>
      <c r="DG64" s="294"/>
      <c r="DH64" s="294"/>
      <c r="DI64" s="294"/>
      <c r="DJ64" s="294"/>
      <c r="DK64" s="294"/>
      <c r="DL64" s="294"/>
      <c r="DM64" s="294"/>
      <c r="DN64" s="294"/>
      <c r="DO64" s="294"/>
      <c r="DP64" s="294"/>
      <c r="DQ64" s="294"/>
      <c r="DR64" s="294"/>
      <c r="DS64" s="294"/>
      <c r="DT64" s="294"/>
      <c r="DU64" s="294"/>
      <c r="DV64" s="294"/>
      <c r="DW64" s="294"/>
      <c r="DX64" s="294"/>
      <c r="DY64" s="294"/>
      <c r="DZ64" s="294"/>
      <c r="EA64" s="294"/>
      <c r="EB64" s="294"/>
      <c r="EC64" s="294"/>
      <c r="ED64" s="294"/>
      <c r="EE64" s="294"/>
      <c r="EF64" s="294"/>
      <c r="EG64" s="294"/>
      <c r="EH64" s="294"/>
      <c r="EI64" s="294"/>
      <c r="EJ64" s="294"/>
      <c r="EK64" s="294"/>
      <c r="EL64" s="294"/>
      <c r="EM64" s="294"/>
      <c r="EN64" s="294"/>
      <c r="EO64" s="294"/>
      <c r="EP64" s="294"/>
      <c r="EQ64" s="294"/>
      <c r="ER64" s="294"/>
      <c r="ES64" s="294"/>
      <c r="ET64" s="294"/>
      <c r="EU64" s="294"/>
      <c r="EV64" s="294"/>
      <c r="EW64" s="294"/>
      <c r="EX64" s="294"/>
      <c r="EY64" s="294"/>
      <c r="EZ64" s="294"/>
      <c r="FA64" s="294"/>
      <c r="FB64" s="294"/>
      <c r="FC64" s="295"/>
    </row>
    <row r="65" customFormat="false" ht="24" hidden="false" customHeight="true" outlineLevel="0" collapsed="false">
      <c r="B65" s="285" t="s">
        <v>95</v>
      </c>
      <c r="C65" s="317" t="e">
        <f aca="false">+C53/$C$56</f>
        <v>#REF!</v>
      </c>
      <c r="D65" s="318" t="n">
        <v>0</v>
      </c>
      <c r="E65" s="319" t="n">
        <v>0</v>
      </c>
      <c r="F65" s="320" t="n">
        <v>0</v>
      </c>
      <c r="G65" s="321" t="e">
        <f aca="false">+G53/$G$56</f>
        <v>#REF!</v>
      </c>
      <c r="H65" s="321" t="e">
        <f aca="false">+H53/H$56</f>
        <v>#REF!</v>
      </c>
      <c r="I65" s="322" t="n">
        <v>0</v>
      </c>
      <c r="J65" s="319" t="e">
        <f aca="false">+J53/J$56</f>
        <v>#REF!</v>
      </c>
      <c r="K65" s="321" t="e">
        <f aca="false">+K53/K$56</f>
        <v>#REF!</v>
      </c>
      <c r="L65" s="321" t="e">
        <f aca="false">+L53/L$56</f>
        <v>#REF!</v>
      </c>
      <c r="M65" s="322" t="e">
        <f aca="false">+M53/M$56</f>
        <v>#REF!</v>
      </c>
      <c r="N65" s="319" t="e">
        <f aca="false">+N53/N$56</f>
        <v>#REF!</v>
      </c>
      <c r="O65" s="321" t="e">
        <f aca="false">+O53/O$56</f>
        <v>#REF!</v>
      </c>
      <c r="P65" s="321" t="e">
        <f aca="false">+P53/P$56</f>
        <v>#REF!</v>
      </c>
      <c r="Q65" s="318" t="e">
        <f aca="false">+Q53/Q$56</f>
        <v>#REF!</v>
      </c>
      <c r="R65" s="319" t="e">
        <f aca="false">+R53/R$56</f>
        <v>#REF!</v>
      </c>
      <c r="S65" s="321" t="e">
        <f aca="false">+S53/S$56</f>
        <v>#REF!</v>
      </c>
      <c r="T65" s="321" t="e">
        <f aca="false">+T53/T$56</f>
        <v>#REF!</v>
      </c>
      <c r="U65" s="318" t="e">
        <f aca="false">+U53/U$56</f>
        <v>#REF!</v>
      </c>
      <c r="V65" s="319" t="e">
        <f aca="false">+V53/V$56</f>
        <v>#REF!</v>
      </c>
      <c r="W65" s="321" t="e">
        <f aca="false">+W53/W$56</f>
        <v>#REF!</v>
      </c>
      <c r="X65" s="321" t="e">
        <f aca="false">+X53/X$56</f>
        <v>#REF!</v>
      </c>
      <c r="Y65" s="321" t="e">
        <f aca="false">+Y53/Y$56</f>
        <v>#REF!</v>
      </c>
      <c r="Z65" s="318" t="e">
        <f aca="false">+Z53/Z$56</f>
        <v>#REF!</v>
      </c>
      <c r="AA65" s="319" t="e">
        <f aca="false">+AA53/AA$56</f>
        <v>#REF!</v>
      </c>
      <c r="AB65" s="321" t="e">
        <f aca="false">+AB53/AB$56</f>
        <v>#REF!</v>
      </c>
      <c r="AC65" s="321" t="e">
        <f aca="false">+AC53/AC$56</f>
        <v>#REF!</v>
      </c>
      <c r="AD65" s="318" t="e">
        <f aca="false">+AD53/AD$56</f>
        <v>#REF!</v>
      </c>
      <c r="AE65" s="319" t="e">
        <f aca="false">+AE53/AE$56</f>
        <v>#REF!</v>
      </c>
      <c r="AF65" s="321" t="e">
        <f aca="false">+AF53/AF$56</f>
        <v>#REF!</v>
      </c>
      <c r="AG65" s="321" t="e">
        <f aca="false">+AG53/AG$56</f>
        <v>#REF!</v>
      </c>
      <c r="AH65" s="321" t="e">
        <f aca="false">+AH53/AH$56</f>
        <v>#REF!</v>
      </c>
      <c r="AI65" s="318" t="e">
        <f aca="false">+AI53/AI$56</f>
        <v>#REF!</v>
      </c>
      <c r="AJ65" s="319" t="e">
        <f aca="false">+AJ53/AJ$56</f>
        <v>#REF!</v>
      </c>
      <c r="AK65" s="321" t="e">
        <f aca="false">+AK53/AK$56</f>
        <v>#REF!</v>
      </c>
      <c r="AL65" s="321" t="e">
        <f aca="false">+AL53/AL$56</f>
        <v>#REF!</v>
      </c>
      <c r="AM65" s="318" t="e">
        <f aca="false">+AM53/AM$56</f>
        <v>#REF!</v>
      </c>
      <c r="AN65" s="323" t="e">
        <f aca="false">+AN53/AN$56</f>
        <v>#REF!</v>
      </c>
      <c r="AO65" s="321" t="e">
        <f aca="false">+AO53/AO$56</f>
        <v>#REF!</v>
      </c>
      <c r="AP65" s="321" t="e">
        <f aca="false">+AP53/AP$56</f>
        <v>#REF!</v>
      </c>
      <c r="AQ65" s="318" t="e">
        <f aca="false">+AQ53/AQ$56</f>
        <v>#REF!</v>
      </c>
      <c r="AR65" s="319" t="e">
        <f aca="false">+AR53/AR$56</f>
        <v>#REF!</v>
      </c>
      <c r="AS65" s="321" t="e">
        <f aca="false">+AS53/AS$56</f>
        <v>#REF!</v>
      </c>
      <c r="AT65" s="321" t="e">
        <f aca="false">+AT53/AT$56</f>
        <v>#REF!</v>
      </c>
      <c r="AU65" s="321" t="e">
        <f aca="false">+AU53/AU$56</f>
        <v>#REF!</v>
      </c>
      <c r="AV65" s="318" t="e">
        <f aca="false">+AV53/AV$56</f>
        <v>#REF!</v>
      </c>
      <c r="AW65" s="319" t="e">
        <f aca="false">+AW53/AW$56</f>
        <v>#REF!</v>
      </c>
      <c r="AX65" s="321" t="e">
        <f aca="false">+AX53/AX$56</f>
        <v>#REF!</v>
      </c>
      <c r="AY65" s="321" t="e">
        <f aca="false">+AY53/AY$56</f>
        <v>#REF!</v>
      </c>
      <c r="AZ65" s="318" t="e">
        <f aca="false">+AZ53/AZ$56</f>
        <v>#REF!</v>
      </c>
      <c r="BA65" s="323" t="e">
        <f aca="false">+BA53/BA$56</f>
        <v>#REF!</v>
      </c>
      <c r="BB65" s="321" t="e">
        <f aca="false">+BB53/BB$56</f>
        <v>#REF!</v>
      </c>
      <c r="BC65" s="321" t="e">
        <f aca="false">+BC53/BC$56</f>
        <v>#REF!</v>
      </c>
      <c r="BD65" s="318" t="e">
        <f aca="false">+BD53/BD$56</f>
        <v>#REF!</v>
      </c>
      <c r="BE65" s="319" t="e">
        <f aca="false">+BE53/BE$56</f>
        <v>#REF!</v>
      </c>
      <c r="BF65" s="321" t="e">
        <f aca="false">+BF53/BF$56</f>
        <v>#REF!</v>
      </c>
      <c r="BG65" s="321" t="e">
        <f aca="false">+BG53/BG$56</f>
        <v>#REF!</v>
      </c>
      <c r="BH65" s="318" t="e">
        <f aca="false">+BH53/BH$56</f>
        <v>#REF!</v>
      </c>
      <c r="BI65" s="319" t="e">
        <f aca="false">+BI53/BI$56</f>
        <v>#REF!</v>
      </c>
      <c r="BJ65" s="321" t="e">
        <f aca="false">+BJ53/BJ$56</f>
        <v>#REF!</v>
      </c>
      <c r="BK65" s="321" t="e">
        <f aca="false">+BK53/BK$56</f>
        <v>#REF!</v>
      </c>
      <c r="BL65" s="318" t="e">
        <f aca="false">+BL53/BL$56</f>
        <v>#REF!</v>
      </c>
      <c r="BM65" s="319" t="e">
        <f aca="false">+BM53/BM$56</f>
        <v>#REF!</v>
      </c>
      <c r="BN65" s="321" t="e">
        <f aca="false">+BN53/BN$56</f>
        <v>#REF!</v>
      </c>
      <c r="BO65" s="321" t="e">
        <f aca="false">+BO53/BO$56</f>
        <v>#REF!</v>
      </c>
      <c r="BP65" s="322" t="e">
        <f aca="false">+BP53/BP$56</f>
        <v>#REF!</v>
      </c>
      <c r="BQ65" s="293"/>
      <c r="BR65" s="294"/>
      <c r="BS65" s="294"/>
      <c r="BT65" s="294"/>
      <c r="BU65" s="294"/>
      <c r="BV65" s="294"/>
      <c r="BW65" s="294"/>
      <c r="BX65" s="294"/>
      <c r="BY65" s="294"/>
      <c r="BZ65" s="294"/>
      <c r="CA65" s="294"/>
      <c r="CB65" s="294"/>
      <c r="CC65" s="294"/>
      <c r="CD65" s="294"/>
      <c r="CE65" s="294"/>
      <c r="CF65" s="294"/>
      <c r="CG65" s="294"/>
      <c r="CH65" s="294"/>
      <c r="CI65" s="294"/>
      <c r="CJ65" s="294"/>
      <c r="CK65" s="294"/>
      <c r="CL65" s="294"/>
      <c r="CM65" s="294"/>
      <c r="CN65" s="294"/>
      <c r="CO65" s="294"/>
      <c r="CP65" s="294"/>
      <c r="CQ65" s="294"/>
      <c r="CR65" s="294"/>
      <c r="CS65" s="294"/>
      <c r="CT65" s="294"/>
      <c r="CU65" s="294"/>
      <c r="CV65" s="294"/>
      <c r="CW65" s="294"/>
      <c r="CX65" s="294"/>
      <c r="CY65" s="294"/>
      <c r="CZ65" s="294"/>
      <c r="DA65" s="294"/>
      <c r="DB65" s="294"/>
      <c r="DC65" s="294"/>
      <c r="DD65" s="294"/>
      <c r="DE65" s="294"/>
      <c r="DF65" s="294"/>
      <c r="DG65" s="294"/>
      <c r="DH65" s="294"/>
      <c r="DI65" s="294"/>
      <c r="DJ65" s="294"/>
      <c r="DK65" s="294"/>
      <c r="DL65" s="294"/>
      <c r="DM65" s="294"/>
      <c r="DN65" s="294"/>
      <c r="DO65" s="294"/>
      <c r="DP65" s="294"/>
      <c r="DQ65" s="294"/>
      <c r="DR65" s="294"/>
      <c r="DS65" s="294"/>
      <c r="DT65" s="294"/>
      <c r="DU65" s="294"/>
      <c r="DV65" s="294"/>
      <c r="DW65" s="294"/>
      <c r="DX65" s="294"/>
      <c r="DY65" s="294"/>
      <c r="DZ65" s="294"/>
      <c r="EA65" s="294"/>
      <c r="EB65" s="294"/>
      <c r="EC65" s="294"/>
      <c r="ED65" s="294"/>
      <c r="EE65" s="294"/>
      <c r="EF65" s="294"/>
      <c r="EG65" s="294"/>
      <c r="EH65" s="294"/>
      <c r="EI65" s="294"/>
      <c r="EJ65" s="294"/>
      <c r="EK65" s="294"/>
      <c r="EL65" s="294"/>
      <c r="EM65" s="294"/>
      <c r="EN65" s="294"/>
      <c r="EO65" s="294"/>
      <c r="EP65" s="294"/>
      <c r="EQ65" s="294"/>
      <c r="ER65" s="294"/>
      <c r="ES65" s="294"/>
      <c r="ET65" s="294"/>
      <c r="EU65" s="294"/>
      <c r="EV65" s="294"/>
      <c r="EW65" s="294"/>
      <c r="EX65" s="294"/>
      <c r="EY65" s="294"/>
      <c r="EZ65" s="294"/>
      <c r="FA65" s="294"/>
      <c r="FB65" s="294"/>
      <c r="FC65" s="295"/>
    </row>
    <row r="66" customFormat="false" ht="24" hidden="false" customHeight="true" outlineLevel="0" collapsed="false">
      <c r="B66" s="285" t="s">
        <v>98</v>
      </c>
      <c r="C66" s="317" t="e">
        <f aca="false">+C54/$C$56</f>
        <v>#REF!</v>
      </c>
      <c r="D66" s="318" t="n">
        <v>0</v>
      </c>
      <c r="E66" s="319" t="n">
        <v>0</v>
      </c>
      <c r="F66" s="320" t="n">
        <v>0</v>
      </c>
      <c r="G66" s="321" t="e">
        <f aca="false">+G54/$G$56</f>
        <v>#REF!</v>
      </c>
      <c r="H66" s="321" t="e">
        <f aca="false">+H54/H$56</f>
        <v>#REF!</v>
      </c>
      <c r="I66" s="322" t="n">
        <v>0</v>
      </c>
      <c r="J66" s="319" t="e">
        <f aca="false">+J54/J$56</f>
        <v>#REF!</v>
      </c>
      <c r="K66" s="321" t="e">
        <f aca="false">+K54/K$56</f>
        <v>#REF!</v>
      </c>
      <c r="L66" s="321" t="e">
        <f aca="false">+L54/L$56</f>
        <v>#REF!</v>
      </c>
      <c r="M66" s="322" t="e">
        <f aca="false">+M54/M$56</f>
        <v>#REF!</v>
      </c>
      <c r="N66" s="319" t="e">
        <f aca="false">+N54/N$56</f>
        <v>#REF!</v>
      </c>
      <c r="O66" s="321" t="e">
        <f aca="false">+O54/O$56</f>
        <v>#REF!</v>
      </c>
      <c r="P66" s="321" t="e">
        <f aca="false">+P54/P$56</f>
        <v>#REF!</v>
      </c>
      <c r="Q66" s="318" t="e">
        <f aca="false">+Q54/Q$56</f>
        <v>#REF!</v>
      </c>
      <c r="R66" s="319" t="e">
        <f aca="false">+R54/R$56</f>
        <v>#REF!</v>
      </c>
      <c r="S66" s="321" t="e">
        <f aca="false">+S54/S$56</f>
        <v>#REF!</v>
      </c>
      <c r="T66" s="321" t="e">
        <f aca="false">+T54/T$56</f>
        <v>#REF!</v>
      </c>
      <c r="U66" s="318" t="e">
        <f aca="false">+U54/U$56</f>
        <v>#REF!</v>
      </c>
      <c r="V66" s="319" t="e">
        <f aca="false">+V54/V$56</f>
        <v>#REF!</v>
      </c>
      <c r="W66" s="321" t="e">
        <f aca="false">+W54/W$56</f>
        <v>#REF!</v>
      </c>
      <c r="X66" s="321" t="e">
        <f aca="false">+X54/X$56</f>
        <v>#REF!</v>
      </c>
      <c r="Y66" s="321" t="e">
        <f aca="false">+Y54/Y$56</f>
        <v>#REF!</v>
      </c>
      <c r="Z66" s="318" t="e">
        <f aca="false">+Z54/Z$56</f>
        <v>#REF!</v>
      </c>
      <c r="AA66" s="319" t="e">
        <f aca="false">+AA54/AA$56</f>
        <v>#REF!</v>
      </c>
      <c r="AB66" s="321" t="e">
        <f aca="false">+AB54/AB$56</f>
        <v>#REF!</v>
      </c>
      <c r="AC66" s="321" t="e">
        <f aca="false">+AC54/AC$56</f>
        <v>#REF!</v>
      </c>
      <c r="AD66" s="318" t="e">
        <f aca="false">+AD54/AD$56</f>
        <v>#REF!</v>
      </c>
      <c r="AE66" s="319" t="e">
        <f aca="false">+AE54/AE$56</f>
        <v>#REF!</v>
      </c>
      <c r="AF66" s="321" t="e">
        <f aca="false">+AF54/AF$56</f>
        <v>#REF!</v>
      </c>
      <c r="AG66" s="321" t="e">
        <f aca="false">+AG54/AG$56</f>
        <v>#REF!</v>
      </c>
      <c r="AH66" s="321" t="e">
        <f aca="false">+AH54/AH$56</f>
        <v>#REF!</v>
      </c>
      <c r="AI66" s="318" t="e">
        <f aca="false">+AI54/AI$56</f>
        <v>#REF!</v>
      </c>
      <c r="AJ66" s="319" t="e">
        <f aca="false">+AJ54/AJ$56</f>
        <v>#REF!</v>
      </c>
      <c r="AK66" s="321" t="e">
        <f aca="false">+AK54/AK$56</f>
        <v>#REF!</v>
      </c>
      <c r="AL66" s="321" t="e">
        <f aca="false">+AL54/AL$56</f>
        <v>#REF!</v>
      </c>
      <c r="AM66" s="318" t="e">
        <f aca="false">+AM54/AM$56</f>
        <v>#REF!</v>
      </c>
      <c r="AN66" s="323" t="e">
        <f aca="false">+AN54/AN$56</f>
        <v>#REF!</v>
      </c>
      <c r="AO66" s="321" t="e">
        <f aca="false">+AO54/AO$56</f>
        <v>#REF!</v>
      </c>
      <c r="AP66" s="321" t="e">
        <f aca="false">+AP54/AP$56</f>
        <v>#REF!</v>
      </c>
      <c r="AQ66" s="318" t="e">
        <f aca="false">+AQ54/AQ$56</f>
        <v>#REF!</v>
      </c>
      <c r="AR66" s="319" t="e">
        <f aca="false">+AR54/AR$56</f>
        <v>#REF!</v>
      </c>
      <c r="AS66" s="321" t="e">
        <f aca="false">+AS54/AS$56</f>
        <v>#REF!</v>
      </c>
      <c r="AT66" s="321" t="e">
        <f aca="false">+AT54/AT$56</f>
        <v>#REF!</v>
      </c>
      <c r="AU66" s="321" t="e">
        <f aca="false">+AU54/AU$56</f>
        <v>#REF!</v>
      </c>
      <c r="AV66" s="318" t="e">
        <f aca="false">+AV54/AV$56</f>
        <v>#REF!</v>
      </c>
      <c r="AW66" s="319" t="e">
        <f aca="false">+AW54/AW$56</f>
        <v>#REF!</v>
      </c>
      <c r="AX66" s="321" t="e">
        <f aca="false">+AX54/AX$56</f>
        <v>#REF!</v>
      </c>
      <c r="AY66" s="321" t="e">
        <f aca="false">+AY54/AY$56</f>
        <v>#REF!</v>
      </c>
      <c r="AZ66" s="318" t="e">
        <f aca="false">+AZ54/AZ$56</f>
        <v>#REF!</v>
      </c>
      <c r="BA66" s="323" t="e">
        <f aca="false">+BA54/BA$56</f>
        <v>#REF!</v>
      </c>
      <c r="BB66" s="321" t="e">
        <f aca="false">+BB54/BB$56</f>
        <v>#REF!</v>
      </c>
      <c r="BC66" s="321" t="e">
        <f aca="false">+BC54/BC$56</f>
        <v>#REF!</v>
      </c>
      <c r="BD66" s="318" t="e">
        <f aca="false">+BD54/BD$56</f>
        <v>#REF!</v>
      </c>
      <c r="BE66" s="319" t="e">
        <f aca="false">+BE54/BE$56</f>
        <v>#REF!</v>
      </c>
      <c r="BF66" s="321" t="e">
        <f aca="false">+BF54/BF$56</f>
        <v>#REF!</v>
      </c>
      <c r="BG66" s="321" t="e">
        <f aca="false">+BG54/BG$56</f>
        <v>#REF!</v>
      </c>
      <c r="BH66" s="318" t="e">
        <f aca="false">+BH54/BH$56</f>
        <v>#REF!</v>
      </c>
      <c r="BI66" s="319" t="e">
        <f aca="false">+BI54/BI$56</f>
        <v>#REF!</v>
      </c>
      <c r="BJ66" s="321" t="e">
        <f aca="false">+BJ54/BJ$56</f>
        <v>#REF!</v>
      </c>
      <c r="BK66" s="321" t="e">
        <f aca="false">+BK54/BK$56</f>
        <v>#REF!</v>
      </c>
      <c r="BL66" s="318" t="e">
        <f aca="false">+BL54/BL$56</f>
        <v>#REF!</v>
      </c>
      <c r="BM66" s="319" t="e">
        <f aca="false">+BM54/BM$56</f>
        <v>#REF!</v>
      </c>
      <c r="BN66" s="321" t="e">
        <f aca="false">+BN54/BN$56</f>
        <v>#REF!</v>
      </c>
      <c r="BO66" s="321" t="e">
        <f aca="false">+BO54/BO$56</f>
        <v>#REF!</v>
      </c>
      <c r="BP66" s="322" t="e">
        <f aca="false">+BP54/BP$56</f>
        <v>#REF!</v>
      </c>
      <c r="BQ66" s="293"/>
      <c r="BR66" s="294"/>
      <c r="BS66" s="294"/>
      <c r="BT66" s="294"/>
      <c r="BU66" s="294"/>
      <c r="BV66" s="294"/>
      <c r="BW66" s="294"/>
      <c r="BX66" s="294"/>
      <c r="BY66" s="294"/>
      <c r="BZ66" s="294"/>
      <c r="CA66" s="294"/>
      <c r="CB66" s="294"/>
      <c r="CC66" s="294"/>
      <c r="CD66" s="294"/>
      <c r="CE66" s="294"/>
      <c r="CF66" s="294"/>
      <c r="CG66" s="294"/>
      <c r="CH66" s="294"/>
      <c r="CI66" s="294"/>
      <c r="CJ66" s="294"/>
      <c r="CK66" s="294"/>
      <c r="CL66" s="294"/>
      <c r="CM66" s="294"/>
      <c r="CN66" s="294"/>
      <c r="CO66" s="294"/>
      <c r="CP66" s="294"/>
      <c r="CQ66" s="294"/>
      <c r="CR66" s="294"/>
      <c r="CS66" s="294"/>
      <c r="CT66" s="294"/>
      <c r="CU66" s="294"/>
      <c r="CV66" s="294"/>
      <c r="CW66" s="294"/>
      <c r="CX66" s="294"/>
      <c r="CY66" s="294"/>
      <c r="CZ66" s="294"/>
      <c r="DA66" s="294"/>
      <c r="DB66" s="294"/>
      <c r="DC66" s="294"/>
      <c r="DD66" s="294"/>
      <c r="DE66" s="294"/>
      <c r="DF66" s="294"/>
      <c r="DG66" s="294"/>
      <c r="DH66" s="294"/>
      <c r="DI66" s="294"/>
      <c r="DJ66" s="294"/>
      <c r="DK66" s="294"/>
      <c r="DL66" s="294"/>
      <c r="DM66" s="294"/>
      <c r="DN66" s="294"/>
      <c r="DO66" s="294"/>
      <c r="DP66" s="294"/>
      <c r="DQ66" s="294"/>
      <c r="DR66" s="294"/>
      <c r="DS66" s="294"/>
      <c r="DT66" s="294"/>
      <c r="DU66" s="294"/>
      <c r="DV66" s="294"/>
      <c r="DW66" s="294"/>
      <c r="DX66" s="294"/>
      <c r="DY66" s="294"/>
      <c r="DZ66" s="294"/>
      <c r="EA66" s="294"/>
      <c r="EB66" s="294"/>
      <c r="EC66" s="294"/>
      <c r="ED66" s="294"/>
      <c r="EE66" s="294"/>
      <c r="EF66" s="294"/>
      <c r="EG66" s="294"/>
      <c r="EH66" s="294"/>
      <c r="EI66" s="294"/>
      <c r="EJ66" s="294"/>
      <c r="EK66" s="294"/>
      <c r="EL66" s="294"/>
      <c r="EM66" s="294"/>
      <c r="EN66" s="294"/>
      <c r="EO66" s="294"/>
      <c r="EP66" s="294"/>
      <c r="EQ66" s="294"/>
      <c r="ER66" s="294"/>
      <c r="ES66" s="294"/>
      <c r="ET66" s="294"/>
      <c r="EU66" s="294"/>
      <c r="EV66" s="294"/>
      <c r="EW66" s="294"/>
      <c r="EX66" s="294"/>
      <c r="EY66" s="294"/>
      <c r="EZ66" s="294"/>
      <c r="FA66" s="294"/>
      <c r="FB66" s="294"/>
      <c r="FC66" s="295"/>
    </row>
    <row r="67" customFormat="false" ht="24" hidden="false" customHeight="true" outlineLevel="0" collapsed="false">
      <c r="B67" s="297" t="s">
        <v>115</v>
      </c>
      <c r="C67" s="324" t="e">
        <f aca="false">+C55/$C$56</f>
        <v>#REF!</v>
      </c>
      <c r="D67" s="325" t="n">
        <v>0</v>
      </c>
      <c r="E67" s="326" t="n">
        <v>0</v>
      </c>
      <c r="F67" s="327" t="n">
        <v>0</v>
      </c>
      <c r="G67" s="328" t="e">
        <f aca="false">+G55/$G$56</f>
        <v>#REF!</v>
      </c>
      <c r="H67" s="328" t="e">
        <f aca="false">+H55/H$56</f>
        <v>#REF!</v>
      </c>
      <c r="I67" s="329" t="n">
        <v>0</v>
      </c>
      <c r="J67" s="326" t="e">
        <f aca="false">+J55/J$56</f>
        <v>#REF!</v>
      </c>
      <c r="K67" s="328" t="e">
        <f aca="false">+K55/K$56</f>
        <v>#REF!</v>
      </c>
      <c r="L67" s="328" t="e">
        <f aca="false">+L55/L$56</f>
        <v>#REF!</v>
      </c>
      <c r="M67" s="329" t="e">
        <f aca="false">+M55/M$56</f>
        <v>#REF!</v>
      </c>
      <c r="N67" s="326" t="e">
        <f aca="false">+N55/N$56</f>
        <v>#REF!</v>
      </c>
      <c r="O67" s="328" t="e">
        <f aca="false">+O55/O$56</f>
        <v>#REF!</v>
      </c>
      <c r="P67" s="328" t="e">
        <f aca="false">+P55/P$56</f>
        <v>#REF!</v>
      </c>
      <c r="Q67" s="325" t="e">
        <f aca="false">+Q55/Q$56</f>
        <v>#REF!</v>
      </c>
      <c r="R67" s="326" t="e">
        <f aca="false">+R55/R$56</f>
        <v>#REF!</v>
      </c>
      <c r="S67" s="328" t="e">
        <f aca="false">+S55/S$56</f>
        <v>#REF!</v>
      </c>
      <c r="T67" s="328" t="e">
        <f aca="false">+T55/T$56</f>
        <v>#REF!</v>
      </c>
      <c r="U67" s="325" t="e">
        <f aca="false">+U55/U$56</f>
        <v>#REF!</v>
      </c>
      <c r="V67" s="326" t="e">
        <f aca="false">+V55/V$56</f>
        <v>#REF!</v>
      </c>
      <c r="W67" s="328" t="e">
        <f aca="false">+W55/W$56</f>
        <v>#REF!</v>
      </c>
      <c r="X67" s="328" t="e">
        <f aca="false">+X55/X$56</f>
        <v>#REF!</v>
      </c>
      <c r="Y67" s="328" t="e">
        <f aca="false">+Y55/Y$56</f>
        <v>#REF!</v>
      </c>
      <c r="Z67" s="325" t="e">
        <f aca="false">+Z55/Z$56</f>
        <v>#REF!</v>
      </c>
      <c r="AA67" s="326" t="e">
        <f aca="false">+AA55/AA$56</f>
        <v>#REF!</v>
      </c>
      <c r="AB67" s="328" t="e">
        <f aca="false">+AB55/AB$56</f>
        <v>#REF!</v>
      </c>
      <c r="AC67" s="328" t="e">
        <f aca="false">+AC55/AC$56</f>
        <v>#REF!</v>
      </c>
      <c r="AD67" s="325" t="e">
        <f aca="false">+AD55/AD$56</f>
        <v>#REF!</v>
      </c>
      <c r="AE67" s="326" t="e">
        <f aca="false">+AE55/AE$56</f>
        <v>#REF!</v>
      </c>
      <c r="AF67" s="328" t="e">
        <f aca="false">+AF55/AF$56</f>
        <v>#REF!</v>
      </c>
      <c r="AG67" s="328" t="e">
        <f aca="false">+AG55/AG$56</f>
        <v>#REF!</v>
      </c>
      <c r="AH67" s="328" t="e">
        <f aca="false">+AH55/AH$56</f>
        <v>#REF!</v>
      </c>
      <c r="AI67" s="325" t="e">
        <f aca="false">+AI55/AI$56</f>
        <v>#REF!</v>
      </c>
      <c r="AJ67" s="326" t="e">
        <f aca="false">+AJ55/AJ$56</f>
        <v>#REF!</v>
      </c>
      <c r="AK67" s="328" t="e">
        <f aca="false">+AK55/AK$56</f>
        <v>#REF!</v>
      </c>
      <c r="AL67" s="328" t="e">
        <f aca="false">+AL55/AL$56</f>
        <v>#REF!</v>
      </c>
      <c r="AM67" s="325" t="e">
        <f aca="false">+AM55/AM$56</f>
        <v>#REF!</v>
      </c>
      <c r="AN67" s="330" t="e">
        <f aca="false">+AN55/AN$56</f>
        <v>#REF!</v>
      </c>
      <c r="AO67" s="328" t="e">
        <f aca="false">+AO55/AO$56</f>
        <v>#REF!</v>
      </c>
      <c r="AP67" s="328" t="e">
        <f aca="false">+AP55/AP$56</f>
        <v>#REF!</v>
      </c>
      <c r="AQ67" s="325" t="e">
        <f aca="false">+AQ55/AQ$56</f>
        <v>#REF!</v>
      </c>
      <c r="AR67" s="326" t="e">
        <f aca="false">+AR55/AR$56</f>
        <v>#REF!</v>
      </c>
      <c r="AS67" s="328" t="e">
        <f aca="false">+AS55/AS$56</f>
        <v>#REF!</v>
      </c>
      <c r="AT67" s="328" t="e">
        <f aca="false">+AT55/AT$56</f>
        <v>#REF!</v>
      </c>
      <c r="AU67" s="328" t="e">
        <f aca="false">+AU55/AU$56</f>
        <v>#REF!</v>
      </c>
      <c r="AV67" s="325" t="e">
        <f aca="false">+AV55/AV$56</f>
        <v>#REF!</v>
      </c>
      <c r="AW67" s="326" t="e">
        <f aca="false">+AW55/AW$56</f>
        <v>#REF!</v>
      </c>
      <c r="AX67" s="328" t="e">
        <f aca="false">+AX55/AX$56</f>
        <v>#REF!</v>
      </c>
      <c r="AY67" s="328" t="e">
        <f aca="false">+AY55/AY$56</f>
        <v>#REF!</v>
      </c>
      <c r="AZ67" s="325" t="e">
        <f aca="false">+AZ55/AZ$56</f>
        <v>#REF!</v>
      </c>
      <c r="BA67" s="330" t="e">
        <f aca="false">+BA55/BA$56</f>
        <v>#REF!</v>
      </c>
      <c r="BB67" s="328" t="e">
        <f aca="false">+BB55/BB$56</f>
        <v>#REF!</v>
      </c>
      <c r="BC67" s="328" t="e">
        <f aca="false">+BC55/BC$56</f>
        <v>#REF!</v>
      </c>
      <c r="BD67" s="325" t="e">
        <f aca="false">+BD55/BD$56</f>
        <v>#REF!</v>
      </c>
      <c r="BE67" s="326" t="e">
        <f aca="false">+BE55/BE$56</f>
        <v>#REF!</v>
      </c>
      <c r="BF67" s="328" t="e">
        <f aca="false">+BF55/BF$56</f>
        <v>#REF!</v>
      </c>
      <c r="BG67" s="328" t="e">
        <f aca="false">+BG55/BG$56</f>
        <v>#REF!</v>
      </c>
      <c r="BH67" s="325" t="e">
        <f aca="false">+BH55/BH$56</f>
        <v>#REF!</v>
      </c>
      <c r="BI67" s="326" t="e">
        <f aca="false">+BI55/BI$56</f>
        <v>#REF!</v>
      </c>
      <c r="BJ67" s="328" t="e">
        <f aca="false">+BJ55/BJ$56</f>
        <v>#REF!</v>
      </c>
      <c r="BK67" s="328" t="e">
        <f aca="false">+BK55/BK$56</f>
        <v>#REF!</v>
      </c>
      <c r="BL67" s="325" t="e">
        <f aca="false">+BL55/BL$56</f>
        <v>#REF!</v>
      </c>
      <c r="BM67" s="326" t="e">
        <f aca="false">+BM55/BM$56</f>
        <v>#REF!</v>
      </c>
      <c r="BN67" s="328" t="e">
        <f aca="false">+BN55/BN$56</f>
        <v>#REF!</v>
      </c>
      <c r="BO67" s="328" t="e">
        <f aca="false">+BO55/BO$56</f>
        <v>#REF!</v>
      </c>
      <c r="BP67" s="329" t="e">
        <f aca="false">+BP55/BP$56</f>
        <v>#REF!</v>
      </c>
      <c r="BQ67" s="305"/>
      <c r="BR67" s="306"/>
      <c r="BS67" s="306"/>
      <c r="BT67" s="306"/>
      <c r="BU67" s="306"/>
      <c r="BV67" s="306"/>
      <c r="BW67" s="306"/>
      <c r="BX67" s="306"/>
      <c r="BY67" s="306"/>
      <c r="BZ67" s="306"/>
      <c r="CA67" s="306"/>
      <c r="CB67" s="306"/>
      <c r="CC67" s="306"/>
      <c r="CD67" s="306"/>
      <c r="CE67" s="306"/>
      <c r="CF67" s="306"/>
      <c r="CG67" s="306"/>
      <c r="CH67" s="306"/>
      <c r="CI67" s="306"/>
      <c r="CJ67" s="306"/>
      <c r="CK67" s="306"/>
      <c r="CL67" s="306"/>
      <c r="CM67" s="306"/>
      <c r="CN67" s="306"/>
      <c r="CO67" s="306"/>
      <c r="CP67" s="306"/>
      <c r="CQ67" s="306"/>
      <c r="CR67" s="306"/>
      <c r="CS67" s="306"/>
      <c r="CT67" s="306"/>
      <c r="CU67" s="306"/>
      <c r="CV67" s="306"/>
      <c r="CW67" s="306"/>
      <c r="CX67" s="306"/>
      <c r="CY67" s="306"/>
      <c r="CZ67" s="306"/>
      <c r="DA67" s="306"/>
      <c r="DB67" s="306"/>
      <c r="DC67" s="306"/>
      <c r="DD67" s="306"/>
      <c r="DE67" s="306"/>
      <c r="DF67" s="306"/>
      <c r="DG67" s="306"/>
      <c r="DH67" s="306"/>
      <c r="DI67" s="306"/>
      <c r="DJ67" s="306"/>
      <c r="DK67" s="306"/>
      <c r="DL67" s="306"/>
      <c r="DM67" s="306"/>
      <c r="DN67" s="306"/>
      <c r="DO67" s="306"/>
      <c r="DP67" s="306"/>
      <c r="DQ67" s="306"/>
      <c r="DR67" s="306"/>
      <c r="DS67" s="306"/>
      <c r="DT67" s="306"/>
      <c r="DU67" s="306"/>
      <c r="DV67" s="306"/>
      <c r="DW67" s="306"/>
      <c r="DX67" s="306"/>
      <c r="DY67" s="306"/>
      <c r="DZ67" s="306"/>
      <c r="EA67" s="306"/>
      <c r="EB67" s="306"/>
      <c r="EC67" s="306"/>
      <c r="ED67" s="306"/>
      <c r="EE67" s="306"/>
      <c r="EF67" s="306"/>
      <c r="EG67" s="306"/>
      <c r="EH67" s="306"/>
      <c r="EI67" s="306"/>
      <c r="EJ67" s="306"/>
      <c r="EK67" s="306"/>
      <c r="EL67" s="306"/>
      <c r="EM67" s="306"/>
      <c r="EN67" s="306"/>
      <c r="EO67" s="306"/>
      <c r="EP67" s="306"/>
      <c r="EQ67" s="306"/>
      <c r="ER67" s="306"/>
      <c r="ES67" s="306"/>
      <c r="ET67" s="306"/>
      <c r="EU67" s="306"/>
      <c r="EV67" s="306"/>
      <c r="EW67" s="306"/>
      <c r="EX67" s="306"/>
      <c r="EY67" s="306"/>
      <c r="EZ67" s="306"/>
      <c r="FA67" s="306"/>
      <c r="FB67" s="306"/>
      <c r="FC67" s="307"/>
    </row>
  </sheetData>
  <mergeCells count="30">
    <mergeCell ref="C2:Q5"/>
    <mergeCell ref="R2:S5"/>
    <mergeCell ref="U2:Y2"/>
    <mergeCell ref="Z2:AC2"/>
    <mergeCell ref="U3:Y3"/>
    <mergeCell ref="Z3:AC3"/>
    <mergeCell ref="U4:Y4"/>
    <mergeCell ref="Z4:AC4"/>
    <mergeCell ref="U5:Y5"/>
    <mergeCell ref="Z5:AC5"/>
    <mergeCell ref="E40:H40"/>
    <mergeCell ref="I40:M40"/>
    <mergeCell ref="N40:Q40"/>
    <mergeCell ref="R40:U40"/>
    <mergeCell ref="V40:Z40"/>
    <mergeCell ref="AA40:AD40"/>
    <mergeCell ref="AE40:AI40"/>
    <mergeCell ref="AJ40:AM40"/>
    <mergeCell ref="AN40:AQ40"/>
    <mergeCell ref="AR40:AV40"/>
    <mergeCell ref="AW40:AZ40"/>
    <mergeCell ref="BA40:BD40"/>
    <mergeCell ref="BE40:BH40"/>
    <mergeCell ref="BI40:BL40"/>
    <mergeCell ref="BM40:BP40"/>
    <mergeCell ref="BQ40:FC40"/>
    <mergeCell ref="B42:C42"/>
    <mergeCell ref="B43:C43"/>
    <mergeCell ref="B45:C45"/>
    <mergeCell ref="B58:C58"/>
  </mergeCells>
  <printOptions headings="false" gridLines="false" gridLinesSet="true" horizontalCentered="false" verticalCentered="false"/>
  <pageMargins left="0.511805555555556" right="0.118055555555556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TD46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II11" activeCellId="0" sqref="II11"/>
    </sheetView>
  </sheetViews>
  <sheetFormatPr defaultColWidth="10.6796875" defaultRowHeight="14.5" zeroHeight="false" outlineLevelRow="0" outlineLevelCol="1"/>
  <cols>
    <col collapsed="false" customWidth="true" hidden="false" outlineLevel="0" max="1" min="1" style="331" width="35.82"/>
    <col collapsed="false" customWidth="true" hidden="false" outlineLevel="1" max="2" min="2" style="331" width="3.54"/>
    <col collapsed="false" customWidth="true" hidden="false" outlineLevel="1" max="3" min="3" style="331" width="2.18"/>
    <col collapsed="false" customWidth="true" hidden="false" outlineLevel="1" max="4" min="4" style="331" width="4"/>
    <col collapsed="false" customWidth="true" hidden="false" outlineLevel="1" max="5" min="5" style="331" width="3"/>
    <col collapsed="false" customWidth="true" hidden="false" outlineLevel="1" max="7" min="6" style="331" width="3.54"/>
    <col collapsed="false" customWidth="true" hidden="false" outlineLevel="1" max="8" min="8" style="331" width="2.18"/>
    <col collapsed="false" customWidth="true" hidden="false" outlineLevel="1" max="9" min="9" style="331" width="4"/>
    <col collapsed="false" customWidth="true" hidden="false" outlineLevel="1" max="10" min="10" style="331" width="3"/>
    <col collapsed="false" customWidth="true" hidden="false" outlineLevel="1" max="12" min="11" style="331" width="3.54"/>
    <col collapsed="false" customWidth="true" hidden="false" outlineLevel="1" max="13" min="13" style="331" width="3.45"/>
    <col collapsed="false" customWidth="true" hidden="false" outlineLevel="1" max="14" min="14" style="331" width="4"/>
    <col collapsed="false" customWidth="true" hidden="false" outlineLevel="1" max="15" min="15" style="331" width="3"/>
    <col collapsed="false" customWidth="true" hidden="false" outlineLevel="1" max="17" min="16" style="331" width="3.54"/>
    <col collapsed="false" customWidth="true" hidden="false" outlineLevel="1" max="18" min="18" style="331" width="2.82"/>
    <col collapsed="false" customWidth="true" hidden="false" outlineLevel="1" max="19" min="19" style="331" width="4"/>
    <col collapsed="false" customWidth="true" hidden="false" outlineLevel="1" max="20" min="20" style="331" width="3"/>
    <col collapsed="false" customWidth="true" hidden="false" outlineLevel="1" max="22" min="21" style="331" width="3.54"/>
    <col collapsed="false" customWidth="true" hidden="false" outlineLevel="1" max="23" min="23" style="331" width="2.82"/>
    <col collapsed="false" customWidth="true" hidden="false" outlineLevel="1" max="24" min="24" style="331" width="4"/>
    <col collapsed="false" customWidth="true" hidden="false" outlineLevel="1" max="25" min="25" style="331" width="3"/>
    <col collapsed="false" customWidth="true" hidden="false" outlineLevel="1" max="27" min="26" style="331" width="3.54"/>
    <col collapsed="false" customWidth="true" hidden="false" outlineLevel="1" max="28" min="28" style="331" width="2.18"/>
    <col collapsed="false" customWidth="true" hidden="false" outlineLevel="1" max="29" min="29" style="331" width="4"/>
    <col collapsed="false" customWidth="true" hidden="false" outlineLevel="1" max="30" min="30" style="331" width="3"/>
    <col collapsed="false" customWidth="true" hidden="false" outlineLevel="1" max="32" min="31" style="331" width="3.54"/>
    <col collapsed="false" customWidth="true" hidden="false" outlineLevel="1" max="33" min="33" style="331" width="2.18"/>
    <col collapsed="false" customWidth="true" hidden="false" outlineLevel="1" max="34" min="34" style="331" width="4"/>
    <col collapsed="false" customWidth="true" hidden="false" outlineLevel="1" max="35" min="35" style="331" width="3"/>
    <col collapsed="false" customWidth="true" hidden="false" outlineLevel="1" max="37" min="36" style="331" width="3.54"/>
    <col collapsed="false" customWidth="true" hidden="false" outlineLevel="1" max="38" min="38" style="331" width="2.18"/>
    <col collapsed="false" customWidth="true" hidden="false" outlineLevel="1" max="39" min="39" style="331" width="4"/>
    <col collapsed="false" customWidth="true" hidden="false" outlineLevel="1" max="40" min="40" style="331" width="3"/>
    <col collapsed="false" customWidth="true" hidden="false" outlineLevel="1" max="42" min="41" style="331" width="3.54"/>
    <col collapsed="false" customWidth="true" hidden="false" outlineLevel="1" max="43" min="43" style="331" width="2.18"/>
    <col collapsed="false" customWidth="true" hidden="false" outlineLevel="1" max="44" min="44" style="331" width="4"/>
    <col collapsed="false" customWidth="true" hidden="false" outlineLevel="1" max="45" min="45" style="331" width="3"/>
    <col collapsed="false" customWidth="true" hidden="false" outlineLevel="1" max="47" min="46" style="331" width="3.54"/>
    <col collapsed="false" customWidth="true" hidden="false" outlineLevel="1" max="48" min="48" style="331" width="2.18"/>
    <col collapsed="false" customWidth="true" hidden="false" outlineLevel="1" max="49" min="49" style="331" width="4"/>
    <col collapsed="false" customWidth="true" hidden="false" outlineLevel="1" max="50" min="50" style="331" width="3"/>
    <col collapsed="false" customWidth="true" hidden="false" outlineLevel="1" max="52" min="51" style="331" width="3.54"/>
    <col collapsed="false" customWidth="true" hidden="false" outlineLevel="1" max="53" min="53" style="331" width="2.18"/>
    <col collapsed="false" customWidth="true" hidden="false" outlineLevel="1" max="54" min="54" style="331" width="4"/>
    <col collapsed="false" customWidth="true" hidden="false" outlineLevel="1" max="55" min="55" style="331" width="3"/>
    <col collapsed="false" customWidth="true" hidden="false" outlineLevel="1" max="57" min="56" style="331" width="3.54"/>
    <col collapsed="false" customWidth="true" hidden="false" outlineLevel="1" max="58" min="58" style="331" width="2.18"/>
    <col collapsed="false" customWidth="true" hidden="false" outlineLevel="1" max="59" min="59" style="331" width="4"/>
    <col collapsed="false" customWidth="true" hidden="false" outlineLevel="1" max="60" min="60" style="331" width="3"/>
    <col collapsed="false" customWidth="true" hidden="false" outlineLevel="1" max="62" min="61" style="331" width="3.54"/>
    <col collapsed="false" customWidth="true" hidden="false" outlineLevel="1" max="63" min="63" style="331" width="2.18"/>
    <col collapsed="false" customWidth="true" hidden="false" outlineLevel="1" max="64" min="64" style="331" width="4"/>
    <col collapsed="false" customWidth="true" hidden="false" outlineLevel="1" max="65" min="65" style="331" width="3"/>
    <col collapsed="false" customWidth="true" hidden="false" outlineLevel="1" max="67" min="66" style="331" width="3.54"/>
    <col collapsed="false" customWidth="true" hidden="false" outlineLevel="1" max="68" min="68" style="331" width="2.18"/>
    <col collapsed="false" customWidth="true" hidden="false" outlineLevel="1" max="69" min="69" style="331" width="4"/>
    <col collapsed="false" customWidth="true" hidden="false" outlineLevel="1" max="70" min="70" style="331" width="3"/>
    <col collapsed="false" customWidth="true" hidden="false" outlineLevel="1" max="72" min="71" style="331" width="3.54"/>
    <col collapsed="false" customWidth="true" hidden="false" outlineLevel="1" max="73" min="73" style="331" width="2.18"/>
    <col collapsed="false" customWidth="true" hidden="false" outlineLevel="1" max="74" min="74" style="331" width="4"/>
    <col collapsed="false" customWidth="true" hidden="false" outlineLevel="1" max="75" min="75" style="331" width="3"/>
    <col collapsed="false" customWidth="true" hidden="false" outlineLevel="1" max="77" min="76" style="331" width="3.54"/>
    <col collapsed="false" customWidth="true" hidden="false" outlineLevel="1" max="78" min="78" style="331" width="2.18"/>
    <col collapsed="false" customWidth="true" hidden="false" outlineLevel="1" max="79" min="79" style="331" width="4"/>
    <col collapsed="false" customWidth="true" hidden="false" outlineLevel="1" max="80" min="80" style="331" width="3"/>
    <col collapsed="false" customWidth="true" hidden="false" outlineLevel="1" max="82" min="81" style="331" width="3.54"/>
    <col collapsed="false" customWidth="true" hidden="false" outlineLevel="1" max="83" min="83" style="331" width="2.18"/>
    <col collapsed="false" customWidth="true" hidden="false" outlineLevel="1" max="84" min="84" style="331" width="4"/>
    <col collapsed="false" customWidth="true" hidden="false" outlineLevel="1" max="85" min="85" style="331" width="3"/>
    <col collapsed="false" customWidth="true" hidden="false" outlineLevel="1" max="87" min="86" style="331" width="3.54"/>
    <col collapsed="false" customWidth="true" hidden="false" outlineLevel="1" max="88" min="88" style="331" width="2.18"/>
    <col collapsed="false" customWidth="true" hidden="false" outlineLevel="1" max="89" min="89" style="331" width="4"/>
    <col collapsed="false" customWidth="true" hidden="false" outlineLevel="1" max="90" min="90" style="331" width="3"/>
    <col collapsed="false" customWidth="true" hidden="false" outlineLevel="1" max="92" min="91" style="331" width="3.54"/>
    <col collapsed="false" customWidth="true" hidden="false" outlineLevel="1" max="93" min="93" style="331" width="2.18"/>
    <col collapsed="false" customWidth="true" hidden="false" outlineLevel="1" max="94" min="94" style="331" width="4"/>
    <col collapsed="false" customWidth="true" hidden="false" outlineLevel="1" max="95" min="95" style="331" width="3"/>
    <col collapsed="false" customWidth="true" hidden="false" outlineLevel="1" max="97" min="96" style="331" width="3.54"/>
    <col collapsed="false" customWidth="true" hidden="false" outlineLevel="1" max="98" min="98" style="331" width="2.18"/>
    <col collapsed="false" customWidth="true" hidden="false" outlineLevel="1" max="99" min="99" style="331" width="4"/>
    <col collapsed="false" customWidth="true" hidden="false" outlineLevel="1" max="100" min="100" style="331" width="3"/>
    <col collapsed="false" customWidth="true" hidden="false" outlineLevel="1" max="102" min="101" style="331" width="3.54"/>
    <col collapsed="false" customWidth="true" hidden="false" outlineLevel="1" max="103" min="103" style="331" width="2.18"/>
    <col collapsed="false" customWidth="true" hidden="false" outlineLevel="1" max="104" min="104" style="331" width="4"/>
    <col collapsed="false" customWidth="true" hidden="false" outlineLevel="1" max="105" min="105" style="331" width="3"/>
    <col collapsed="false" customWidth="true" hidden="false" outlineLevel="1" max="107" min="106" style="331" width="3.54"/>
    <col collapsed="false" customWidth="true" hidden="false" outlineLevel="1" max="108" min="108" style="331" width="2.18"/>
    <col collapsed="false" customWidth="true" hidden="false" outlineLevel="1" max="109" min="109" style="331" width="4"/>
    <col collapsed="false" customWidth="true" hidden="false" outlineLevel="1" max="110" min="110" style="331" width="3"/>
    <col collapsed="false" customWidth="true" hidden="false" outlineLevel="1" max="112" min="111" style="331" width="3.54"/>
    <col collapsed="false" customWidth="true" hidden="false" outlineLevel="1" max="113" min="113" style="331" width="2.82"/>
    <col collapsed="false" customWidth="true" hidden="false" outlineLevel="1" max="114" min="114" style="331" width="4"/>
    <col collapsed="false" customWidth="true" hidden="false" outlineLevel="1" max="115" min="115" style="331" width="3"/>
    <col collapsed="false" customWidth="true" hidden="false" outlineLevel="1" max="117" min="116" style="331" width="3.54"/>
    <col collapsed="false" customWidth="true" hidden="false" outlineLevel="1" max="118" min="118" style="331" width="2.18"/>
    <col collapsed="false" customWidth="true" hidden="false" outlineLevel="1" max="119" min="119" style="331" width="4"/>
    <col collapsed="false" customWidth="true" hidden="false" outlineLevel="1" max="120" min="120" style="331" width="3"/>
    <col collapsed="false" customWidth="true" hidden="false" outlineLevel="1" max="122" min="121" style="331" width="3.54"/>
    <col collapsed="false" customWidth="true" hidden="false" outlineLevel="1" max="123" min="123" style="331" width="2.18"/>
    <col collapsed="false" customWidth="true" hidden="false" outlineLevel="1" max="124" min="124" style="331" width="4"/>
    <col collapsed="false" customWidth="true" hidden="false" outlineLevel="1" max="125" min="125" style="331" width="3"/>
    <col collapsed="false" customWidth="true" hidden="false" outlineLevel="1" max="127" min="126" style="331" width="3.54"/>
    <col collapsed="false" customWidth="true" hidden="false" outlineLevel="1" max="128" min="128" style="331" width="2.18"/>
    <col collapsed="false" customWidth="true" hidden="false" outlineLevel="1" max="129" min="129" style="331" width="4"/>
    <col collapsed="false" customWidth="true" hidden="false" outlineLevel="1" max="130" min="130" style="331" width="3"/>
    <col collapsed="false" customWidth="true" hidden="false" outlineLevel="1" max="132" min="131" style="331" width="3.54"/>
    <col collapsed="false" customWidth="true" hidden="false" outlineLevel="1" max="133" min="133" style="331" width="2.18"/>
    <col collapsed="false" customWidth="true" hidden="false" outlineLevel="1" max="134" min="134" style="331" width="4"/>
    <col collapsed="false" customWidth="true" hidden="false" outlineLevel="1" max="135" min="135" style="331" width="3"/>
    <col collapsed="false" customWidth="true" hidden="false" outlineLevel="1" max="137" min="136" style="331" width="3.54"/>
    <col collapsed="false" customWidth="true" hidden="false" outlineLevel="1" max="138" min="138" style="331" width="2.18"/>
    <col collapsed="false" customWidth="true" hidden="false" outlineLevel="1" max="139" min="139" style="331" width="4"/>
    <col collapsed="false" customWidth="true" hidden="false" outlineLevel="1" max="140" min="140" style="331" width="3"/>
    <col collapsed="false" customWidth="true" hidden="false" outlineLevel="1" max="142" min="141" style="331" width="3.54"/>
    <col collapsed="false" customWidth="true" hidden="false" outlineLevel="1" max="144" min="143" style="331" width="4"/>
    <col collapsed="false" customWidth="true" hidden="false" outlineLevel="1" max="145" min="145" style="331" width="3"/>
    <col collapsed="false" customWidth="true" hidden="false" outlineLevel="1" max="147" min="146" style="331" width="3.54"/>
    <col collapsed="false" customWidth="true" hidden="false" outlineLevel="1" max="148" min="148" style="331" width="2.18"/>
    <col collapsed="false" customWidth="true" hidden="false" outlineLevel="1" max="149" min="149" style="331" width="4"/>
    <col collapsed="false" customWidth="true" hidden="false" outlineLevel="1" max="150" min="150" style="331" width="3"/>
    <col collapsed="false" customWidth="true" hidden="false" outlineLevel="1" max="152" min="151" style="331" width="3.54"/>
    <col collapsed="false" customWidth="true" hidden="false" outlineLevel="1" max="153" min="153" style="331" width="2.18"/>
    <col collapsed="false" customWidth="true" hidden="false" outlineLevel="1" max="154" min="154" style="331" width="4"/>
    <col collapsed="false" customWidth="true" hidden="false" outlineLevel="1" max="155" min="155" style="331" width="3"/>
    <col collapsed="false" customWidth="true" hidden="false" outlineLevel="1" max="157" min="156" style="331" width="3.54"/>
    <col collapsed="false" customWidth="true" hidden="false" outlineLevel="1" max="158" min="158" style="331" width="3.27"/>
    <col collapsed="false" customWidth="true" hidden="false" outlineLevel="1" max="159" min="159" style="331" width="4"/>
    <col collapsed="false" customWidth="true" hidden="false" outlineLevel="1" max="160" min="160" style="331" width="3"/>
    <col collapsed="false" customWidth="true" hidden="false" outlineLevel="1" max="162" min="161" style="331" width="3.54"/>
    <col collapsed="false" customWidth="true" hidden="false" outlineLevel="1" max="163" min="163" style="331" width="2.18"/>
    <col collapsed="false" customWidth="true" hidden="false" outlineLevel="1" max="164" min="164" style="331" width="4"/>
    <col collapsed="false" customWidth="true" hidden="false" outlineLevel="1" max="165" min="165" style="331" width="3"/>
    <col collapsed="false" customWidth="true" hidden="false" outlineLevel="1" max="167" min="166" style="331" width="3.54"/>
    <col collapsed="false" customWidth="true" hidden="false" outlineLevel="1" max="168" min="168" style="331" width="3.73"/>
    <col collapsed="false" customWidth="true" hidden="false" outlineLevel="1" max="169" min="169" style="331" width="4"/>
    <col collapsed="false" customWidth="true" hidden="false" outlineLevel="1" max="170" min="170" style="331" width="3"/>
    <col collapsed="false" customWidth="true" hidden="false" outlineLevel="1" max="172" min="171" style="331" width="3.54"/>
    <col collapsed="false" customWidth="true" hidden="false" outlineLevel="1" max="173" min="173" style="331" width="2.18"/>
    <col collapsed="false" customWidth="true" hidden="false" outlineLevel="1" max="174" min="174" style="331" width="4"/>
    <col collapsed="false" customWidth="true" hidden="false" outlineLevel="1" max="175" min="175" style="331" width="3"/>
    <col collapsed="false" customWidth="true" hidden="false" outlineLevel="1" max="177" min="176" style="331" width="3.54"/>
    <col collapsed="false" customWidth="true" hidden="false" outlineLevel="1" max="178" min="178" style="331" width="2.18"/>
    <col collapsed="false" customWidth="true" hidden="false" outlineLevel="1" max="179" min="179" style="331" width="4"/>
    <col collapsed="false" customWidth="true" hidden="false" outlineLevel="1" max="180" min="180" style="331" width="3"/>
    <col collapsed="false" customWidth="true" hidden="false" outlineLevel="1" max="181" min="181" style="331" width="3.73"/>
    <col collapsed="false" customWidth="true" hidden="false" outlineLevel="1" max="182" min="182" style="331" width="3.54"/>
    <col collapsed="false" customWidth="true" hidden="false" outlineLevel="1" max="183" min="183" style="331" width="2.18"/>
    <col collapsed="false" customWidth="true" hidden="false" outlineLevel="1" max="184" min="184" style="331" width="4"/>
    <col collapsed="false" customWidth="true" hidden="false" outlineLevel="1" max="185" min="185" style="331" width="3"/>
    <col collapsed="false" customWidth="true" hidden="false" outlineLevel="1" max="186" min="186" style="331" width="3.73"/>
    <col collapsed="false" customWidth="true" hidden="false" outlineLevel="1" max="187" min="187" style="331" width="3.54"/>
    <col collapsed="false" customWidth="true" hidden="false" outlineLevel="1" max="188" min="188" style="331" width="2.18"/>
    <col collapsed="false" customWidth="true" hidden="false" outlineLevel="1" max="189" min="189" style="331" width="4"/>
    <col collapsed="false" customWidth="true" hidden="false" outlineLevel="1" max="190" min="190" style="331" width="3"/>
    <col collapsed="false" customWidth="true" hidden="false" outlineLevel="1" max="191" min="191" style="331" width="3.73"/>
    <col collapsed="false" customWidth="true" hidden="false" outlineLevel="1" max="192" min="192" style="331" width="3.54"/>
    <col collapsed="false" customWidth="true" hidden="false" outlineLevel="1" max="193" min="193" style="331" width="3.45"/>
    <col collapsed="false" customWidth="true" hidden="false" outlineLevel="1" max="194" min="194" style="331" width="4"/>
    <col collapsed="false" customWidth="true" hidden="false" outlineLevel="1" max="195" min="195" style="331" width="3"/>
    <col collapsed="false" customWidth="true" hidden="false" outlineLevel="1" max="196" min="196" style="331" width="3.73"/>
    <col collapsed="false" customWidth="true" hidden="false" outlineLevel="1" max="197" min="197" style="331" width="3.54"/>
    <col collapsed="false" customWidth="true" hidden="false" outlineLevel="1" max="198" min="198" style="331" width="2.82"/>
    <col collapsed="false" customWidth="true" hidden="false" outlineLevel="1" max="199" min="199" style="331" width="4"/>
    <col collapsed="false" customWidth="true" hidden="false" outlineLevel="1" max="200" min="200" style="331" width="3"/>
    <col collapsed="false" customWidth="true" hidden="false" outlineLevel="1" max="201" min="201" style="331" width="3.73"/>
    <col collapsed="false" customWidth="true" hidden="false" outlineLevel="1" max="202" min="202" style="331" width="3.54"/>
    <col collapsed="false" customWidth="true" hidden="false" outlineLevel="1" max="203" min="203" style="331" width="2.18"/>
    <col collapsed="false" customWidth="true" hidden="false" outlineLevel="1" max="204" min="204" style="331" width="4"/>
    <col collapsed="false" customWidth="true" hidden="false" outlineLevel="1" max="205" min="205" style="331" width="3"/>
    <col collapsed="false" customWidth="true" hidden="false" outlineLevel="1" max="206" min="206" style="331" width="3.73"/>
    <col collapsed="false" customWidth="true" hidden="false" outlineLevel="1" max="207" min="207" style="331" width="3.54"/>
    <col collapsed="false" customWidth="true" hidden="false" outlineLevel="1" max="208" min="208" style="331" width="2.82"/>
    <col collapsed="false" customWidth="true" hidden="false" outlineLevel="1" max="209" min="209" style="331" width="4"/>
    <col collapsed="false" customWidth="true" hidden="false" outlineLevel="1" max="210" min="210" style="331" width="3"/>
    <col collapsed="false" customWidth="true" hidden="false" outlineLevel="1" max="211" min="211" style="331" width="3.73"/>
    <col collapsed="false" customWidth="true" hidden="false" outlineLevel="1" max="212" min="212" style="331" width="3.54"/>
    <col collapsed="false" customWidth="true" hidden="false" outlineLevel="1" max="213" min="213" style="331" width="2.18"/>
    <col collapsed="false" customWidth="true" hidden="false" outlineLevel="1" max="214" min="214" style="331" width="4"/>
    <col collapsed="false" customWidth="true" hidden="false" outlineLevel="1" max="215" min="215" style="331" width="3"/>
    <col collapsed="false" customWidth="true" hidden="false" outlineLevel="1" max="216" min="216" style="331" width="3.73"/>
    <col collapsed="false" customWidth="true" hidden="false" outlineLevel="1" max="217" min="217" style="331" width="3.54"/>
    <col collapsed="false" customWidth="true" hidden="false" outlineLevel="1" max="218" min="218" style="331" width="2.82"/>
    <col collapsed="false" customWidth="true" hidden="false" outlineLevel="1" max="219" min="219" style="331" width="4"/>
    <col collapsed="false" customWidth="true" hidden="false" outlineLevel="1" max="220" min="220" style="331" width="3"/>
    <col collapsed="false" customWidth="true" hidden="false" outlineLevel="1" max="221" min="221" style="331" width="3.73"/>
    <col collapsed="false" customWidth="true" hidden="false" outlineLevel="1" max="222" min="222" style="331" width="3.54"/>
    <col collapsed="false" customWidth="true" hidden="false" outlineLevel="1" max="223" min="223" style="331" width="2.18"/>
    <col collapsed="false" customWidth="true" hidden="false" outlineLevel="1" max="224" min="224" style="331" width="4"/>
    <col collapsed="false" customWidth="true" hidden="false" outlineLevel="1" max="225" min="225" style="331" width="3"/>
    <col collapsed="false" customWidth="true" hidden="false" outlineLevel="1" max="226" min="226" style="331" width="3.73"/>
    <col collapsed="false" customWidth="true" hidden="false" outlineLevel="1" max="227" min="227" style="331" width="3.54"/>
    <col collapsed="false" customWidth="true" hidden="false" outlineLevel="1" max="228" min="228" style="331" width="2.18"/>
    <col collapsed="false" customWidth="true" hidden="false" outlineLevel="1" max="229" min="229" style="331" width="4"/>
    <col collapsed="false" customWidth="true" hidden="false" outlineLevel="1" max="230" min="230" style="331" width="3"/>
    <col collapsed="false" customWidth="true" hidden="false" outlineLevel="1" max="231" min="231" style="331" width="3.73"/>
    <col collapsed="false" customWidth="true" hidden="false" outlineLevel="1" max="232" min="232" style="331" width="3.54"/>
    <col collapsed="false" customWidth="true" hidden="false" outlineLevel="1" max="233" min="233" style="331" width="2.18"/>
    <col collapsed="false" customWidth="true" hidden="false" outlineLevel="1" max="234" min="234" style="331" width="4"/>
    <col collapsed="false" customWidth="true" hidden="false" outlineLevel="1" max="235" min="235" style="331" width="3"/>
    <col collapsed="false" customWidth="true" hidden="false" outlineLevel="1" max="236" min="236" style="331" width="3.73"/>
    <col collapsed="false" customWidth="true" hidden="false" outlineLevel="1" max="517" min="237" style="331" width="3.54"/>
    <col collapsed="false" customWidth="true" hidden="false" outlineLevel="1" max="518" min="518" style="331" width="2.18"/>
    <col collapsed="false" customWidth="true" hidden="false" outlineLevel="1" max="519" min="519" style="331" width="4"/>
    <col collapsed="false" customWidth="true" hidden="false" outlineLevel="1" max="520" min="520" style="331" width="3"/>
    <col collapsed="false" customWidth="true" hidden="false" outlineLevel="1" max="521" min="521" style="331" width="3.73"/>
    <col collapsed="false" customWidth="true" hidden="false" outlineLevel="0" max="522" min="522" style="331" width="17.27"/>
  </cols>
  <sheetData>
    <row r="1" customFormat="false" ht="21" hidden="true" customHeight="true" outlineLevel="0" collapsed="false">
      <c r="A1" s="332" t="s">
        <v>489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  <c r="AN1" s="333"/>
      <c r="AO1" s="333"/>
      <c r="AP1" s="333"/>
      <c r="AQ1" s="333"/>
      <c r="AR1" s="333"/>
      <c r="AS1" s="333"/>
      <c r="AT1" s="333"/>
      <c r="AU1" s="333"/>
      <c r="AV1" s="333"/>
      <c r="AW1" s="333"/>
      <c r="AX1" s="333"/>
      <c r="AY1" s="333"/>
      <c r="AZ1" s="333"/>
      <c r="BA1" s="333"/>
      <c r="BB1" s="333"/>
      <c r="BC1" s="333"/>
      <c r="BD1" s="333"/>
      <c r="BE1" s="333"/>
      <c r="BF1" s="333"/>
      <c r="BG1" s="333"/>
      <c r="BH1" s="333"/>
      <c r="BI1" s="333"/>
      <c r="BJ1" s="333"/>
      <c r="BK1" s="333"/>
      <c r="BL1" s="333"/>
      <c r="BM1" s="333"/>
      <c r="BN1" s="333"/>
      <c r="BO1" s="333"/>
      <c r="BP1" s="333"/>
      <c r="BQ1" s="333"/>
      <c r="BR1" s="333"/>
      <c r="BS1" s="333"/>
      <c r="BT1" s="333"/>
      <c r="BU1" s="333"/>
      <c r="BV1" s="333"/>
      <c r="BW1" s="333"/>
      <c r="BX1" s="333"/>
      <c r="BY1" s="333"/>
      <c r="BZ1" s="333"/>
      <c r="CA1" s="333"/>
      <c r="CB1" s="333"/>
      <c r="CC1" s="333"/>
      <c r="CD1" s="333"/>
      <c r="CE1" s="333"/>
      <c r="CF1" s="333"/>
      <c r="CG1" s="333"/>
      <c r="CH1" s="333"/>
      <c r="CI1" s="333"/>
      <c r="CJ1" s="333"/>
      <c r="CK1" s="333"/>
      <c r="CL1" s="333"/>
      <c r="CM1" s="333"/>
      <c r="CN1" s="333"/>
      <c r="CO1" s="333"/>
      <c r="CP1" s="333"/>
      <c r="CQ1" s="333"/>
      <c r="CR1" s="333"/>
      <c r="CS1" s="333"/>
      <c r="CT1" s="333"/>
      <c r="CU1" s="333"/>
      <c r="CV1" s="333"/>
      <c r="CW1" s="333"/>
      <c r="CX1" s="333"/>
      <c r="CY1" s="333"/>
      <c r="CZ1" s="333"/>
      <c r="DA1" s="333"/>
      <c r="DB1" s="333"/>
      <c r="DC1" s="333"/>
      <c r="DD1" s="333"/>
      <c r="DE1" s="333"/>
      <c r="DF1" s="333"/>
      <c r="DG1" s="333"/>
      <c r="DH1" s="333"/>
      <c r="DI1" s="333"/>
      <c r="DJ1" s="333"/>
      <c r="DK1" s="333"/>
      <c r="DL1" s="333"/>
      <c r="DM1" s="333"/>
      <c r="DN1" s="333"/>
      <c r="DO1" s="333"/>
      <c r="DP1" s="333"/>
      <c r="DQ1" s="333"/>
      <c r="DR1" s="333"/>
      <c r="DS1" s="333"/>
      <c r="DT1" s="333"/>
      <c r="DU1" s="333"/>
      <c r="DV1" s="333"/>
      <c r="DW1" s="333"/>
      <c r="DX1" s="333"/>
      <c r="DY1" s="333"/>
      <c r="DZ1" s="333"/>
      <c r="EA1" s="333"/>
      <c r="EB1" s="333"/>
      <c r="EC1" s="333"/>
      <c r="ED1" s="333"/>
      <c r="EE1" s="333"/>
      <c r="EF1" s="333"/>
      <c r="EG1" s="333"/>
      <c r="EH1" s="333"/>
      <c r="EI1" s="333"/>
      <c r="EJ1" s="333"/>
      <c r="EK1" s="333"/>
      <c r="EL1" s="333"/>
      <c r="EM1" s="333"/>
      <c r="EN1" s="333"/>
      <c r="EO1" s="333"/>
      <c r="EP1" s="333"/>
      <c r="EQ1" s="333"/>
      <c r="ER1" s="333"/>
      <c r="ES1" s="333"/>
      <c r="ET1" s="333"/>
      <c r="EU1" s="333"/>
      <c r="EV1" s="333"/>
      <c r="EW1" s="333"/>
      <c r="EX1" s="333"/>
      <c r="EY1" s="333"/>
      <c r="EZ1" s="333"/>
      <c r="FA1" s="333"/>
      <c r="FB1" s="333"/>
      <c r="FC1" s="333"/>
      <c r="FD1" s="333"/>
      <c r="FE1" s="333"/>
      <c r="FF1" s="333"/>
      <c r="FG1" s="333"/>
      <c r="FH1" s="333"/>
      <c r="FI1" s="333"/>
      <c r="FJ1" s="333"/>
      <c r="FK1" s="333"/>
      <c r="FL1" s="333"/>
      <c r="FM1" s="333"/>
      <c r="FN1" s="333"/>
      <c r="FO1" s="333"/>
      <c r="FP1" s="333"/>
      <c r="FQ1" s="333"/>
      <c r="FR1" s="333"/>
      <c r="FS1" s="333"/>
      <c r="FT1" s="333"/>
      <c r="FU1" s="333"/>
      <c r="FV1" s="333"/>
      <c r="FW1" s="333"/>
      <c r="FX1" s="333"/>
      <c r="FY1" s="333"/>
      <c r="FZ1" s="333"/>
      <c r="GA1" s="333"/>
      <c r="GB1" s="333"/>
      <c r="GC1" s="333"/>
      <c r="GD1" s="333"/>
      <c r="GE1" s="333"/>
      <c r="GF1" s="333"/>
      <c r="GG1" s="333"/>
      <c r="GH1" s="333"/>
      <c r="GI1" s="333"/>
      <c r="GJ1" s="333"/>
      <c r="GK1" s="333"/>
      <c r="GL1" s="333"/>
      <c r="GM1" s="333"/>
      <c r="GN1" s="333"/>
      <c r="GO1" s="333"/>
      <c r="GP1" s="333"/>
      <c r="GQ1" s="333"/>
      <c r="GR1" s="333"/>
      <c r="GS1" s="333"/>
      <c r="GT1" s="333"/>
      <c r="GU1" s="333"/>
      <c r="GV1" s="333"/>
      <c r="GW1" s="333"/>
      <c r="GX1" s="333"/>
      <c r="GY1" s="333"/>
      <c r="GZ1" s="333"/>
      <c r="HA1" s="333"/>
      <c r="HB1" s="333"/>
      <c r="HC1" s="333"/>
      <c r="HD1" s="333"/>
      <c r="HE1" s="333"/>
      <c r="HF1" s="333"/>
      <c r="HG1" s="333"/>
      <c r="HH1" s="333"/>
      <c r="HI1" s="333"/>
      <c r="HJ1" s="333"/>
      <c r="HK1" s="333"/>
      <c r="HL1" s="333"/>
      <c r="HM1" s="333"/>
      <c r="HN1" s="333"/>
      <c r="HO1" s="333"/>
      <c r="HP1" s="333"/>
      <c r="HQ1" s="333"/>
      <c r="HR1" s="333"/>
      <c r="HS1" s="333"/>
      <c r="HT1" s="333"/>
      <c r="HU1" s="333"/>
      <c r="HV1" s="333"/>
      <c r="HW1" s="333"/>
      <c r="HX1" s="333"/>
      <c r="HY1" s="333"/>
      <c r="HZ1" s="333"/>
      <c r="IA1" s="333"/>
      <c r="IB1" s="333"/>
      <c r="IC1" s="333"/>
      <c r="ID1" s="333"/>
      <c r="IE1" s="333"/>
      <c r="IF1" s="333"/>
      <c r="IG1" s="333"/>
      <c r="IH1" s="333"/>
      <c r="II1" s="333"/>
      <c r="IJ1" s="333"/>
      <c r="IK1" s="333"/>
      <c r="IL1" s="333"/>
      <c r="IM1" s="333"/>
      <c r="IN1" s="333"/>
      <c r="IO1" s="333"/>
      <c r="IP1" s="333"/>
      <c r="IQ1" s="333"/>
      <c r="IR1" s="333"/>
      <c r="IS1" s="333"/>
      <c r="IT1" s="333"/>
      <c r="IU1" s="333"/>
      <c r="IV1" s="333"/>
      <c r="IW1" s="333"/>
      <c r="IX1" s="333"/>
      <c r="IY1" s="333"/>
      <c r="IZ1" s="333"/>
      <c r="JA1" s="333"/>
      <c r="JB1" s="333"/>
      <c r="JC1" s="333"/>
      <c r="JD1" s="333"/>
      <c r="JE1" s="333"/>
      <c r="JF1" s="333"/>
      <c r="JG1" s="333"/>
      <c r="JH1" s="333"/>
      <c r="JI1" s="333"/>
      <c r="JJ1" s="333"/>
      <c r="JK1" s="333"/>
      <c r="JL1" s="333"/>
      <c r="JM1" s="333"/>
      <c r="JN1" s="333"/>
      <c r="JO1" s="333"/>
      <c r="JP1" s="333"/>
      <c r="JQ1" s="333"/>
      <c r="JR1" s="333"/>
      <c r="JS1" s="333"/>
      <c r="JT1" s="333"/>
      <c r="JU1" s="333"/>
      <c r="JV1" s="333"/>
      <c r="JW1" s="333"/>
      <c r="JX1" s="333"/>
      <c r="JY1" s="333"/>
      <c r="JZ1" s="333"/>
      <c r="KA1" s="333"/>
      <c r="KB1" s="333"/>
      <c r="KC1" s="333"/>
      <c r="KD1" s="333"/>
      <c r="KE1" s="333"/>
      <c r="KF1" s="333"/>
      <c r="KG1" s="333"/>
      <c r="KH1" s="333"/>
      <c r="KI1" s="333"/>
      <c r="KJ1" s="333"/>
      <c r="KK1" s="333"/>
      <c r="KL1" s="333"/>
      <c r="KM1" s="333"/>
      <c r="KN1" s="333"/>
      <c r="KO1" s="333"/>
      <c r="KP1" s="333"/>
      <c r="KQ1" s="333"/>
      <c r="KR1" s="333"/>
      <c r="KS1" s="333"/>
      <c r="KT1" s="333"/>
      <c r="KU1" s="333"/>
      <c r="KV1" s="333"/>
      <c r="KW1" s="333"/>
      <c r="KX1" s="333"/>
      <c r="KY1" s="333"/>
      <c r="KZ1" s="333"/>
      <c r="LA1" s="333"/>
      <c r="LB1" s="333"/>
      <c r="LC1" s="333"/>
      <c r="LD1" s="333"/>
      <c r="LE1" s="333"/>
      <c r="LF1" s="333"/>
      <c r="LG1" s="333"/>
      <c r="LH1" s="333"/>
      <c r="LI1" s="333"/>
      <c r="LJ1" s="333"/>
      <c r="LK1" s="333"/>
      <c r="LL1" s="333"/>
      <c r="LM1" s="333"/>
      <c r="LN1" s="333"/>
      <c r="LO1" s="333"/>
      <c r="LP1" s="333"/>
      <c r="LQ1" s="333"/>
      <c r="LR1" s="333"/>
      <c r="LS1" s="333"/>
      <c r="LT1" s="333"/>
      <c r="LU1" s="333"/>
      <c r="LV1" s="333"/>
      <c r="LW1" s="333"/>
      <c r="LX1" s="333"/>
      <c r="LY1" s="333"/>
      <c r="LZ1" s="333"/>
      <c r="MA1" s="333"/>
      <c r="MB1" s="333"/>
      <c r="MC1" s="333"/>
      <c r="MD1" s="333"/>
      <c r="ME1" s="333"/>
      <c r="MF1" s="333"/>
      <c r="MG1" s="333"/>
      <c r="MH1" s="333"/>
      <c r="MI1" s="333"/>
      <c r="MJ1" s="333"/>
      <c r="MK1" s="333"/>
      <c r="ML1" s="333"/>
      <c r="MM1" s="333"/>
      <c r="MN1" s="333"/>
      <c r="MO1" s="333"/>
      <c r="MP1" s="333"/>
      <c r="MQ1" s="333"/>
      <c r="MR1" s="333"/>
      <c r="MS1" s="333"/>
      <c r="MT1" s="333"/>
      <c r="MU1" s="333"/>
      <c r="MV1" s="333"/>
      <c r="MW1" s="333"/>
      <c r="MX1" s="333"/>
      <c r="MY1" s="333"/>
      <c r="MZ1" s="333"/>
      <c r="NA1" s="333"/>
      <c r="NB1" s="333"/>
      <c r="NC1" s="333"/>
      <c r="ND1" s="333"/>
      <c r="NE1" s="333"/>
      <c r="NF1" s="333"/>
      <c r="NG1" s="333"/>
      <c r="NH1" s="333"/>
      <c r="NI1" s="333"/>
      <c r="NJ1" s="333"/>
      <c r="NK1" s="333"/>
      <c r="NL1" s="333"/>
      <c r="NM1" s="333"/>
      <c r="NN1" s="333"/>
      <c r="NO1" s="333"/>
      <c r="NP1" s="333"/>
      <c r="NQ1" s="333"/>
      <c r="NR1" s="333"/>
      <c r="NS1" s="333"/>
      <c r="NT1" s="333"/>
      <c r="NU1" s="333"/>
      <c r="NV1" s="333"/>
      <c r="NW1" s="333"/>
      <c r="NX1" s="333"/>
      <c r="NY1" s="333"/>
      <c r="NZ1" s="333"/>
      <c r="OA1" s="333"/>
      <c r="OB1" s="333"/>
      <c r="OC1" s="333"/>
      <c r="OD1" s="333"/>
      <c r="OE1" s="333"/>
      <c r="OF1" s="333"/>
      <c r="OG1" s="333"/>
      <c r="OH1" s="333"/>
      <c r="OI1" s="333"/>
      <c r="OJ1" s="333"/>
      <c r="OK1" s="333"/>
      <c r="OL1" s="333"/>
      <c r="OM1" s="333"/>
      <c r="ON1" s="333"/>
      <c r="OO1" s="333"/>
      <c r="OP1" s="333"/>
      <c r="OQ1" s="333"/>
      <c r="OR1" s="333"/>
      <c r="OS1" s="333"/>
      <c r="OT1" s="333"/>
      <c r="OU1" s="333"/>
      <c r="OV1" s="333"/>
      <c r="OW1" s="333"/>
      <c r="OX1" s="333"/>
      <c r="OY1" s="333"/>
      <c r="OZ1" s="333"/>
      <c r="PA1" s="333"/>
      <c r="PB1" s="333"/>
      <c r="PC1" s="333"/>
      <c r="PD1" s="333"/>
      <c r="PE1" s="333"/>
      <c r="PF1" s="333"/>
      <c r="PG1" s="333"/>
      <c r="PH1" s="333"/>
      <c r="PI1" s="333"/>
      <c r="PJ1" s="333"/>
      <c r="PK1" s="333"/>
      <c r="PL1" s="333"/>
      <c r="PM1" s="333"/>
      <c r="PN1" s="333"/>
      <c r="PO1" s="333"/>
      <c r="PP1" s="333"/>
      <c r="PQ1" s="333"/>
      <c r="PR1" s="333"/>
      <c r="PS1" s="333"/>
      <c r="PT1" s="333"/>
      <c r="PU1" s="333"/>
      <c r="PV1" s="333"/>
      <c r="PW1" s="333"/>
      <c r="PX1" s="333"/>
      <c r="PY1" s="333"/>
      <c r="PZ1" s="333"/>
      <c r="QA1" s="333"/>
      <c r="QB1" s="333"/>
      <c r="QC1" s="333"/>
      <c r="QD1" s="333"/>
      <c r="QE1" s="333"/>
      <c r="QF1" s="333"/>
      <c r="QG1" s="333"/>
      <c r="QH1" s="333"/>
      <c r="QI1" s="333"/>
      <c r="QJ1" s="333"/>
      <c r="QK1" s="333"/>
      <c r="QL1" s="333"/>
      <c r="QM1" s="333"/>
      <c r="QN1" s="333"/>
      <c r="QO1" s="333"/>
      <c r="QP1" s="333"/>
      <c r="QQ1" s="333"/>
      <c r="QR1" s="333"/>
      <c r="QS1" s="333"/>
      <c r="QT1" s="333"/>
      <c r="QU1" s="333"/>
      <c r="QV1" s="333"/>
      <c r="QW1" s="333"/>
      <c r="QX1" s="333"/>
      <c r="QY1" s="333"/>
      <c r="QZ1" s="333"/>
      <c r="RA1" s="333"/>
      <c r="RB1" s="333"/>
      <c r="RC1" s="333"/>
      <c r="RD1" s="333"/>
      <c r="RE1" s="333"/>
      <c r="RF1" s="333"/>
      <c r="RG1" s="333"/>
      <c r="RH1" s="333"/>
      <c r="RI1" s="333"/>
      <c r="RJ1" s="333"/>
      <c r="RK1" s="333"/>
      <c r="RL1" s="333"/>
      <c r="RM1" s="333"/>
      <c r="RN1" s="333"/>
      <c r="RO1" s="333"/>
      <c r="RP1" s="333"/>
      <c r="RQ1" s="333"/>
      <c r="RR1" s="333"/>
      <c r="RS1" s="333"/>
      <c r="RT1" s="333"/>
      <c r="RU1" s="333"/>
      <c r="RV1" s="333"/>
      <c r="RW1" s="333"/>
      <c r="RX1" s="333"/>
      <c r="RY1" s="333"/>
      <c r="RZ1" s="333"/>
      <c r="SA1" s="333"/>
      <c r="SB1" s="333"/>
      <c r="SC1" s="333"/>
      <c r="SD1" s="333"/>
      <c r="SE1" s="333"/>
      <c r="SF1" s="333"/>
      <c r="SG1" s="333"/>
      <c r="SH1" s="333"/>
      <c r="SI1" s="333"/>
      <c r="SJ1" s="333"/>
      <c r="SK1" s="333"/>
      <c r="SL1" s="333"/>
      <c r="SM1" s="333"/>
      <c r="SN1" s="333"/>
      <c r="SO1" s="333"/>
      <c r="SP1" s="333"/>
      <c r="SQ1" s="333"/>
      <c r="SR1" s="333"/>
      <c r="SS1" s="333"/>
      <c r="ST1" s="333"/>
      <c r="SU1" s="333"/>
      <c r="SV1" s="333"/>
      <c r="SW1" s="333"/>
      <c r="SX1" s="333"/>
      <c r="SY1" s="333"/>
      <c r="SZ1" s="333"/>
      <c r="TA1" s="333"/>
    </row>
    <row r="2" customFormat="false" ht="16.5" hidden="true" customHeight="true" outlineLevel="0" collapsed="false">
      <c r="A2" s="334"/>
    </row>
    <row r="3" s="340" customFormat="true" ht="47.15" hidden="false" customHeight="true" outlineLevel="0" collapsed="false">
      <c r="A3" s="335"/>
      <c r="B3" s="336" t="s">
        <v>490</v>
      </c>
      <c r="C3" s="336"/>
      <c r="D3" s="336"/>
      <c r="E3" s="336"/>
      <c r="F3" s="336"/>
      <c r="G3" s="336"/>
      <c r="H3" s="336"/>
      <c r="I3" s="336"/>
      <c r="J3" s="336"/>
      <c r="K3" s="336"/>
      <c r="L3" s="336" t="s">
        <v>491</v>
      </c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7" t="s">
        <v>492</v>
      </c>
      <c r="AG3" s="337"/>
      <c r="AH3" s="337"/>
      <c r="AI3" s="337"/>
      <c r="AJ3" s="337"/>
      <c r="AK3" s="337"/>
      <c r="AL3" s="337"/>
      <c r="AM3" s="337"/>
      <c r="AN3" s="337"/>
      <c r="AO3" s="337"/>
      <c r="AP3" s="337"/>
      <c r="AQ3" s="337"/>
      <c r="AR3" s="337"/>
      <c r="AS3" s="337"/>
      <c r="AT3" s="337"/>
      <c r="AU3" s="337"/>
      <c r="AV3" s="337"/>
      <c r="AW3" s="337"/>
      <c r="AX3" s="337"/>
      <c r="AY3" s="337"/>
      <c r="AZ3" s="337"/>
      <c r="BA3" s="337"/>
      <c r="BB3" s="337"/>
      <c r="BC3" s="337"/>
      <c r="BD3" s="337"/>
      <c r="BE3" s="336" t="s">
        <v>493</v>
      </c>
      <c r="BF3" s="336"/>
      <c r="BG3" s="336"/>
      <c r="BH3" s="336"/>
      <c r="BI3" s="336"/>
      <c r="BJ3" s="336"/>
      <c r="BK3" s="336"/>
      <c r="BL3" s="336"/>
      <c r="BM3" s="336"/>
      <c r="BN3" s="336"/>
      <c r="BO3" s="336"/>
      <c r="BP3" s="336"/>
      <c r="BQ3" s="336"/>
      <c r="BR3" s="336"/>
      <c r="BS3" s="336"/>
      <c r="BT3" s="336"/>
      <c r="BU3" s="336"/>
      <c r="BV3" s="336"/>
      <c r="BW3" s="336"/>
      <c r="BX3" s="336"/>
      <c r="BY3" s="336" t="s">
        <v>494</v>
      </c>
      <c r="BZ3" s="336"/>
      <c r="CA3" s="336"/>
      <c r="CB3" s="336"/>
      <c r="CC3" s="336"/>
      <c r="CD3" s="336"/>
      <c r="CE3" s="336"/>
      <c r="CF3" s="336"/>
      <c r="CG3" s="336"/>
      <c r="CH3" s="336"/>
      <c r="CI3" s="336"/>
      <c r="CJ3" s="336"/>
      <c r="CK3" s="336"/>
      <c r="CL3" s="336"/>
      <c r="CM3" s="336"/>
      <c r="CN3" s="336"/>
      <c r="CO3" s="336"/>
      <c r="CP3" s="336"/>
      <c r="CQ3" s="336"/>
      <c r="CR3" s="336"/>
      <c r="CS3" s="336" t="s">
        <v>495</v>
      </c>
      <c r="CT3" s="336"/>
      <c r="CU3" s="336"/>
      <c r="CV3" s="336"/>
      <c r="CW3" s="336"/>
      <c r="CX3" s="336"/>
      <c r="CY3" s="336"/>
      <c r="CZ3" s="336"/>
      <c r="DA3" s="336"/>
      <c r="DB3" s="336"/>
      <c r="DC3" s="336"/>
      <c r="DD3" s="336"/>
      <c r="DE3" s="336"/>
      <c r="DF3" s="336"/>
      <c r="DG3" s="336"/>
      <c r="DH3" s="336"/>
      <c r="DI3" s="336"/>
      <c r="DJ3" s="336"/>
      <c r="DK3" s="336"/>
      <c r="DL3" s="336"/>
      <c r="DM3" s="336"/>
      <c r="DN3" s="336"/>
      <c r="DO3" s="336"/>
      <c r="DP3" s="336"/>
      <c r="DQ3" s="336"/>
      <c r="DR3" s="336" t="s">
        <v>496</v>
      </c>
      <c r="DS3" s="336"/>
      <c r="DT3" s="336"/>
      <c r="DU3" s="336"/>
      <c r="DV3" s="336"/>
      <c r="DW3" s="336"/>
      <c r="DX3" s="336"/>
      <c r="DY3" s="336"/>
      <c r="DZ3" s="336"/>
      <c r="EA3" s="336"/>
      <c r="EB3" s="336"/>
      <c r="EC3" s="336"/>
      <c r="ED3" s="336"/>
      <c r="EE3" s="336"/>
      <c r="EF3" s="336"/>
      <c r="EG3" s="336"/>
      <c r="EH3" s="336"/>
      <c r="EI3" s="336"/>
      <c r="EJ3" s="336"/>
      <c r="EK3" s="336"/>
      <c r="EL3" s="337" t="s">
        <v>497</v>
      </c>
      <c r="EM3" s="337"/>
      <c r="EN3" s="337"/>
      <c r="EO3" s="337"/>
      <c r="EP3" s="337"/>
      <c r="EQ3" s="337"/>
      <c r="ER3" s="337"/>
      <c r="ES3" s="337"/>
      <c r="ET3" s="337"/>
      <c r="EU3" s="337"/>
      <c r="EV3" s="337"/>
      <c r="EW3" s="337"/>
      <c r="EX3" s="337"/>
      <c r="EY3" s="337"/>
      <c r="EZ3" s="337"/>
      <c r="FA3" s="337"/>
      <c r="FB3" s="337"/>
      <c r="FC3" s="337"/>
      <c r="FD3" s="337"/>
      <c r="FE3" s="337"/>
      <c r="FF3" s="337"/>
      <c r="FG3" s="337"/>
      <c r="FH3" s="337"/>
      <c r="FI3" s="337"/>
      <c r="FJ3" s="337"/>
      <c r="FK3" s="336" t="s">
        <v>498</v>
      </c>
      <c r="FL3" s="336"/>
      <c r="FM3" s="336"/>
      <c r="FN3" s="336"/>
      <c r="FO3" s="336"/>
      <c r="FP3" s="336"/>
      <c r="FQ3" s="336"/>
      <c r="FR3" s="336"/>
      <c r="FS3" s="336"/>
      <c r="FT3" s="336"/>
      <c r="FU3" s="336"/>
      <c r="FV3" s="336"/>
      <c r="FW3" s="336"/>
      <c r="FX3" s="336"/>
      <c r="FY3" s="336"/>
      <c r="FZ3" s="336"/>
      <c r="GA3" s="336"/>
      <c r="GB3" s="336"/>
      <c r="GC3" s="336"/>
      <c r="GD3" s="336"/>
      <c r="GE3" s="336" t="s">
        <v>499</v>
      </c>
      <c r="GF3" s="336"/>
      <c r="GG3" s="336"/>
      <c r="GH3" s="336"/>
      <c r="GI3" s="336"/>
      <c r="GJ3" s="336"/>
      <c r="GK3" s="336"/>
      <c r="GL3" s="336"/>
      <c r="GM3" s="336"/>
      <c r="GN3" s="336"/>
      <c r="GO3" s="336"/>
      <c r="GP3" s="336"/>
      <c r="GQ3" s="336"/>
      <c r="GR3" s="336"/>
      <c r="GS3" s="336"/>
      <c r="GT3" s="336"/>
      <c r="GU3" s="336"/>
      <c r="GV3" s="336"/>
      <c r="GW3" s="336"/>
      <c r="GX3" s="336"/>
      <c r="GY3" s="338" t="s">
        <v>500</v>
      </c>
      <c r="GZ3" s="338"/>
      <c r="HA3" s="338"/>
      <c r="HB3" s="338"/>
      <c r="HC3" s="338"/>
      <c r="HD3" s="338"/>
      <c r="HE3" s="338"/>
      <c r="HF3" s="338"/>
      <c r="HG3" s="338"/>
      <c r="HH3" s="338"/>
      <c r="HI3" s="338"/>
      <c r="HJ3" s="338"/>
      <c r="HK3" s="338"/>
      <c r="HL3" s="338"/>
      <c r="HM3" s="338"/>
      <c r="HN3" s="338"/>
      <c r="HO3" s="338"/>
      <c r="HP3" s="338"/>
      <c r="HQ3" s="338"/>
      <c r="HR3" s="338"/>
      <c r="HS3" s="338"/>
      <c r="HT3" s="338"/>
      <c r="HU3" s="338"/>
      <c r="HV3" s="338"/>
      <c r="HW3" s="338"/>
      <c r="HX3" s="339" t="s">
        <v>501</v>
      </c>
      <c r="HY3" s="339"/>
      <c r="HZ3" s="339"/>
      <c r="IA3" s="339"/>
      <c r="IB3" s="339"/>
      <c r="IC3" s="339" t="s">
        <v>501</v>
      </c>
      <c r="ID3" s="339"/>
      <c r="IE3" s="339"/>
      <c r="IF3" s="339"/>
      <c r="IG3" s="339"/>
      <c r="IH3" s="339" t="s">
        <v>501</v>
      </c>
      <c r="II3" s="339"/>
      <c r="IJ3" s="339"/>
      <c r="IK3" s="339"/>
      <c r="IL3" s="339"/>
      <c r="IM3" s="339" t="s">
        <v>501</v>
      </c>
      <c r="IN3" s="339"/>
      <c r="IO3" s="339"/>
      <c r="IP3" s="339"/>
      <c r="IQ3" s="339"/>
      <c r="IR3" s="339" t="s">
        <v>501</v>
      </c>
      <c r="IS3" s="339"/>
      <c r="IT3" s="339"/>
      <c r="IU3" s="339"/>
      <c r="IV3" s="339"/>
      <c r="IW3" s="339" t="s">
        <v>501</v>
      </c>
      <c r="IX3" s="339"/>
      <c r="IY3" s="339"/>
      <c r="IZ3" s="339"/>
      <c r="JA3" s="339"/>
      <c r="JB3" s="339" t="s">
        <v>501</v>
      </c>
      <c r="JC3" s="339"/>
      <c r="JD3" s="339"/>
      <c r="JE3" s="339"/>
      <c r="JF3" s="339"/>
      <c r="JG3" s="339" t="s">
        <v>501</v>
      </c>
      <c r="JH3" s="339"/>
      <c r="JI3" s="339"/>
      <c r="JJ3" s="339"/>
      <c r="JK3" s="339"/>
      <c r="JL3" s="339" t="s">
        <v>501</v>
      </c>
      <c r="JM3" s="339"/>
      <c r="JN3" s="339"/>
      <c r="JO3" s="339"/>
      <c r="JP3" s="339"/>
      <c r="JQ3" s="339" t="s">
        <v>501</v>
      </c>
      <c r="JR3" s="339"/>
      <c r="JS3" s="339"/>
      <c r="JT3" s="339"/>
      <c r="JU3" s="339"/>
      <c r="JV3" s="339" t="s">
        <v>501</v>
      </c>
      <c r="JW3" s="339"/>
      <c r="JX3" s="339"/>
      <c r="JY3" s="339"/>
      <c r="JZ3" s="339"/>
      <c r="KA3" s="339" t="s">
        <v>501</v>
      </c>
      <c r="KB3" s="339"/>
      <c r="KC3" s="339"/>
      <c r="KD3" s="339"/>
      <c r="KE3" s="339"/>
      <c r="KF3" s="339" t="s">
        <v>501</v>
      </c>
      <c r="KG3" s="339"/>
      <c r="KH3" s="339"/>
      <c r="KI3" s="339"/>
      <c r="KJ3" s="339"/>
      <c r="KK3" s="339" t="s">
        <v>501</v>
      </c>
      <c r="KL3" s="339"/>
      <c r="KM3" s="339"/>
      <c r="KN3" s="339"/>
      <c r="KO3" s="339"/>
      <c r="KP3" s="339" t="s">
        <v>501</v>
      </c>
      <c r="KQ3" s="339"/>
      <c r="KR3" s="339"/>
      <c r="KS3" s="339"/>
      <c r="KT3" s="339"/>
      <c r="KU3" s="339" t="s">
        <v>501</v>
      </c>
      <c r="KV3" s="339"/>
      <c r="KW3" s="339"/>
      <c r="KX3" s="339"/>
      <c r="KY3" s="339"/>
      <c r="KZ3" s="339" t="s">
        <v>501</v>
      </c>
      <c r="LA3" s="339"/>
      <c r="LB3" s="339"/>
      <c r="LC3" s="339"/>
      <c r="LD3" s="339"/>
      <c r="LE3" s="339" t="s">
        <v>501</v>
      </c>
      <c r="LF3" s="339"/>
      <c r="LG3" s="339"/>
      <c r="LH3" s="339"/>
      <c r="LI3" s="339"/>
      <c r="LJ3" s="339" t="s">
        <v>501</v>
      </c>
      <c r="LK3" s="339"/>
      <c r="LL3" s="339"/>
      <c r="LM3" s="339"/>
      <c r="LN3" s="339"/>
      <c r="LO3" s="339" t="s">
        <v>501</v>
      </c>
      <c r="LP3" s="339"/>
      <c r="LQ3" s="339"/>
      <c r="LR3" s="339"/>
      <c r="LS3" s="339"/>
      <c r="LT3" s="339" t="s">
        <v>501</v>
      </c>
      <c r="LU3" s="339"/>
      <c r="LV3" s="339"/>
      <c r="LW3" s="339"/>
      <c r="LX3" s="339"/>
      <c r="LY3" s="339" t="s">
        <v>501</v>
      </c>
      <c r="LZ3" s="339"/>
      <c r="MA3" s="339"/>
      <c r="MB3" s="339"/>
      <c r="MC3" s="339"/>
      <c r="MD3" s="339" t="s">
        <v>501</v>
      </c>
      <c r="ME3" s="339"/>
      <c r="MF3" s="339"/>
      <c r="MG3" s="339"/>
      <c r="MH3" s="339"/>
      <c r="MI3" s="339" t="s">
        <v>501</v>
      </c>
      <c r="MJ3" s="339"/>
      <c r="MK3" s="339"/>
      <c r="ML3" s="339"/>
      <c r="MM3" s="339"/>
      <c r="MN3" s="339" t="s">
        <v>501</v>
      </c>
      <c r="MO3" s="339"/>
      <c r="MP3" s="339"/>
      <c r="MQ3" s="339"/>
      <c r="MR3" s="339"/>
      <c r="MS3" s="339" t="s">
        <v>501</v>
      </c>
      <c r="MT3" s="339"/>
      <c r="MU3" s="339"/>
      <c r="MV3" s="339"/>
      <c r="MW3" s="339"/>
      <c r="MX3" s="339" t="s">
        <v>501</v>
      </c>
      <c r="MY3" s="339"/>
      <c r="MZ3" s="339"/>
      <c r="NA3" s="339"/>
      <c r="NB3" s="339"/>
      <c r="NC3" s="339" t="s">
        <v>501</v>
      </c>
      <c r="ND3" s="339"/>
      <c r="NE3" s="339"/>
      <c r="NF3" s="339"/>
      <c r="NG3" s="339"/>
      <c r="NH3" s="339" t="s">
        <v>501</v>
      </c>
      <c r="NI3" s="339"/>
      <c r="NJ3" s="339"/>
      <c r="NK3" s="339"/>
      <c r="NL3" s="339"/>
      <c r="NM3" s="339" t="s">
        <v>501</v>
      </c>
      <c r="NN3" s="339"/>
      <c r="NO3" s="339"/>
      <c r="NP3" s="339"/>
      <c r="NQ3" s="339"/>
      <c r="NR3" s="339" t="s">
        <v>501</v>
      </c>
      <c r="NS3" s="339"/>
      <c r="NT3" s="339"/>
      <c r="NU3" s="339"/>
      <c r="NV3" s="339"/>
      <c r="NW3" s="339" t="s">
        <v>501</v>
      </c>
      <c r="NX3" s="339"/>
      <c r="NY3" s="339"/>
      <c r="NZ3" s="339"/>
      <c r="OA3" s="339"/>
      <c r="OB3" s="339" t="s">
        <v>501</v>
      </c>
      <c r="OC3" s="339"/>
      <c r="OD3" s="339"/>
      <c r="OE3" s="339"/>
      <c r="OF3" s="339"/>
      <c r="OG3" s="339" t="s">
        <v>501</v>
      </c>
      <c r="OH3" s="339"/>
      <c r="OI3" s="339"/>
      <c r="OJ3" s="339"/>
      <c r="OK3" s="339"/>
      <c r="OL3" s="339" t="s">
        <v>501</v>
      </c>
      <c r="OM3" s="339"/>
      <c r="ON3" s="339"/>
      <c r="OO3" s="339"/>
      <c r="OP3" s="339"/>
      <c r="OQ3" s="339" t="s">
        <v>501</v>
      </c>
      <c r="OR3" s="339"/>
      <c r="OS3" s="339"/>
      <c r="OT3" s="339"/>
      <c r="OU3" s="339"/>
      <c r="OV3" s="339" t="s">
        <v>501</v>
      </c>
      <c r="OW3" s="339"/>
      <c r="OX3" s="339"/>
      <c r="OY3" s="339"/>
      <c r="OZ3" s="339"/>
      <c r="PA3" s="339" t="s">
        <v>501</v>
      </c>
      <c r="PB3" s="339"/>
      <c r="PC3" s="339"/>
      <c r="PD3" s="339"/>
      <c r="PE3" s="339"/>
      <c r="PF3" s="339" t="s">
        <v>501</v>
      </c>
      <c r="PG3" s="339"/>
      <c r="PH3" s="339"/>
      <c r="PI3" s="339"/>
      <c r="PJ3" s="339"/>
      <c r="PK3" s="339" t="s">
        <v>501</v>
      </c>
      <c r="PL3" s="339"/>
      <c r="PM3" s="339"/>
      <c r="PN3" s="339"/>
      <c r="PO3" s="339"/>
      <c r="PP3" s="339" t="s">
        <v>501</v>
      </c>
      <c r="PQ3" s="339"/>
      <c r="PR3" s="339"/>
      <c r="PS3" s="339"/>
      <c r="PT3" s="339"/>
      <c r="PU3" s="339" t="s">
        <v>501</v>
      </c>
      <c r="PV3" s="339"/>
      <c r="PW3" s="339"/>
      <c r="PX3" s="339"/>
      <c r="PY3" s="339"/>
      <c r="PZ3" s="339" t="s">
        <v>501</v>
      </c>
      <c r="QA3" s="339"/>
      <c r="QB3" s="339"/>
      <c r="QC3" s="339"/>
      <c r="QD3" s="339"/>
      <c r="QE3" s="339" t="s">
        <v>501</v>
      </c>
      <c r="QF3" s="339"/>
      <c r="QG3" s="339"/>
      <c r="QH3" s="339"/>
      <c r="QI3" s="339"/>
      <c r="QJ3" s="339" t="s">
        <v>501</v>
      </c>
      <c r="QK3" s="339"/>
      <c r="QL3" s="339"/>
      <c r="QM3" s="339"/>
      <c r="QN3" s="339"/>
      <c r="QO3" s="339" t="s">
        <v>501</v>
      </c>
      <c r="QP3" s="339"/>
      <c r="QQ3" s="339"/>
      <c r="QR3" s="339"/>
      <c r="QS3" s="339"/>
      <c r="QT3" s="339" t="s">
        <v>501</v>
      </c>
      <c r="QU3" s="339"/>
      <c r="QV3" s="339"/>
      <c r="QW3" s="339"/>
      <c r="QX3" s="339"/>
      <c r="QY3" s="339" t="s">
        <v>501</v>
      </c>
      <c r="QZ3" s="339"/>
      <c r="RA3" s="339"/>
      <c r="RB3" s="339"/>
      <c r="RC3" s="339"/>
      <c r="RD3" s="339" t="s">
        <v>501</v>
      </c>
      <c r="RE3" s="339"/>
      <c r="RF3" s="339"/>
      <c r="RG3" s="339"/>
      <c r="RH3" s="339"/>
      <c r="RI3" s="339" t="s">
        <v>501</v>
      </c>
      <c r="RJ3" s="339"/>
      <c r="RK3" s="339"/>
      <c r="RL3" s="339"/>
      <c r="RM3" s="339"/>
      <c r="RN3" s="339" t="s">
        <v>501</v>
      </c>
      <c r="RO3" s="339"/>
      <c r="RP3" s="339"/>
      <c r="RQ3" s="339"/>
      <c r="RR3" s="339"/>
      <c r="RS3" s="339" t="s">
        <v>501</v>
      </c>
      <c r="RT3" s="339"/>
      <c r="RU3" s="339"/>
      <c r="RV3" s="339"/>
      <c r="RW3" s="339"/>
      <c r="RX3" s="339" t="s">
        <v>501</v>
      </c>
      <c r="RY3" s="339"/>
      <c r="RZ3" s="339"/>
      <c r="SA3" s="339"/>
      <c r="SB3" s="339"/>
      <c r="SC3" s="339" t="s">
        <v>501</v>
      </c>
      <c r="SD3" s="339"/>
      <c r="SE3" s="339"/>
      <c r="SF3" s="339"/>
      <c r="SG3" s="339"/>
      <c r="SH3" s="339" t="s">
        <v>501</v>
      </c>
      <c r="SI3" s="339"/>
      <c r="SJ3" s="339"/>
      <c r="SK3" s="339"/>
      <c r="SL3" s="339"/>
      <c r="SM3" s="339" t="s">
        <v>501</v>
      </c>
      <c r="SN3" s="339"/>
      <c r="SO3" s="339"/>
      <c r="SP3" s="339"/>
      <c r="SQ3" s="339"/>
      <c r="SR3" s="339" t="s">
        <v>501</v>
      </c>
      <c r="SS3" s="339"/>
      <c r="ST3" s="339"/>
      <c r="SU3" s="339"/>
      <c r="SV3" s="339"/>
      <c r="SW3" s="339" t="s">
        <v>501</v>
      </c>
      <c r="SX3" s="339"/>
      <c r="SY3" s="339"/>
      <c r="SZ3" s="339"/>
      <c r="TA3" s="339"/>
    </row>
    <row r="4" s="340" customFormat="true" ht="15" hidden="false" customHeight="false" outlineLevel="0" collapsed="false">
      <c r="A4" s="341"/>
      <c r="B4" s="342" t="n">
        <v>45740</v>
      </c>
      <c r="C4" s="342"/>
      <c r="D4" s="342"/>
      <c r="E4" s="342"/>
      <c r="F4" s="342"/>
      <c r="G4" s="342" t="n">
        <f aca="false">+B4+7</f>
        <v>45747</v>
      </c>
      <c r="H4" s="342"/>
      <c r="I4" s="342"/>
      <c r="J4" s="342"/>
      <c r="K4" s="342"/>
      <c r="L4" s="342" t="n">
        <f aca="false">+G4+7</f>
        <v>45754</v>
      </c>
      <c r="M4" s="342"/>
      <c r="N4" s="342"/>
      <c r="O4" s="342"/>
      <c r="P4" s="342"/>
      <c r="Q4" s="342" t="n">
        <f aca="false">+L4+7</f>
        <v>45761</v>
      </c>
      <c r="R4" s="342"/>
      <c r="S4" s="342"/>
      <c r="T4" s="342"/>
      <c r="U4" s="342"/>
      <c r="V4" s="342" t="n">
        <f aca="false">+Q4+7</f>
        <v>45768</v>
      </c>
      <c r="W4" s="342"/>
      <c r="X4" s="342"/>
      <c r="Y4" s="342"/>
      <c r="Z4" s="342"/>
      <c r="AA4" s="342" t="n">
        <f aca="false">+V4+7</f>
        <v>45775</v>
      </c>
      <c r="AB4" s="342"/>
      <c r="AC4" s="342"/>
      <c r="AD4" s="342"/>
      <c r="AE4" s="342"/>
      <c r="AF4" s="342" t="n">
        <f aca="false">+AA4+7</f>
        <v>45782</v>
      </c>
      <c r="AG4" s="342"/>
      <c r="AH4" s="342"/>
      <c r="AI4" s="342"/>
      <c r="AJ4" s="342"/>
      <c r="AK4" s="342" t="n">
        <f aca="false">+AF4+7</f>
        <v>45789</v>
      </c>
      <c r="AL4" s="342"/>
      <c r="AM4" s="342"/>
      <c r="AN4" s="342"/>
      <c r="AO4" s="342"/>
      <c r="AP4" s="342" t="n">
        <f aca="false">+AK4+7</f>
        <v>45796</v>
      </c>
      <c r="AQ4" s="342"/>
      <c r="AR4" s="342"/>
      <c r="AS4" s="342"/>
      <c r="AT4" s="342"/>
      <c r="AU4" s="342" t="n">
        <f aca="false">+AP4+7</f>
        <v>45803</v>
      </c>
      <c r="AV4" s="342"/>
      <c r="AW4" s="342"/>
      <c r="AX4" s="342"/>
      <c r="AY4" s="342"/>
      <c r="AZ4" s="342" t="n">
        <v>45807</v>
      </c>
      <c r="BA4" s="342"/>
      <c r="BB4" s="342"/>
      <c r="BC4" s="342"/>
      <c r="BD4" s="342"/>
      <c r="BE4" s="342" t="n">
        <f aca="false">+AZ4+7</f>
        <v>45814</v>
      </c>
      <c r="BF4" s="342"/>
      <c r="BG4" s="342"/>
      <c r="BH4" s="342"/>
      <c r="BI4" s="342"/>
      <c r="BJ4" s="342" t="n">
        <f aca="false">+BE4+7</f>
        <v>45821</v>
      </c>
      <c r="BK4" s="342"/>
      <c r="BL4" s="342"/>
      <c r="BM4" s="342"/>
      <c r="BN4" s="342"/>
      <c r="BO4" s="342" t="n">
        <f aca="false">+BJ4+7</f>
        <v>45828</v>
      </c>
      <c r="BP4" s="342"/>
      <c r="BQ4" s="342"/>
      <c r="BR4" s="342"/>
      <c r="BS4" s="342"/>
      <c r="BT4" s="342" t="n">
        <f aca="false">+BO4+7</f>
        <v>45835</v>
      </c>
      <c r="BU4" s="342"/>
      <c r="BV4" s="342"/>
      <c r="BW4" s="342"/>
      <c r="BX4" s="342"/>
      <c r="BY4" s="343" t="n">
        <f aca="false">+BT4+7</f>
        <v>45842</v>
      </c>
      <c r="BZ4" s="343"/>
      <c r="CA4" s="343"/>
      <c r="CB4" s="343"/>
      <c r="CC4" s="343"/>
      <c r="CD4" s="343" t="n">
        <f aca="false">+BY4+7</f>
        <v>45849</v>
      </c>
      <c r="CE4" s="343"/>
      <c r="CF4" s="343"/>
      <c r="CG4" s="343"/>
      <c r="CH4" s="343"/>
      <c r="CI4" s="343" t="n">
        <f aca="false">+CD4+7</f>
        <v>45856</v>
      </c>
      <c r="CJ4" s="343"/>
      <c r="CK4" s="343"/>
      <c r="CL4" s="343"/>
      <c r="CM4" s="343"/>
      <c r="CN4" s="343" t="n">
        <f aca="false">+CI4+7</f>
        <v>45863</v>
      </c>
      <c r="CO4" s="343"/>
      <c r="CP4" s="343"/>
      <c r="CQ4" s="343"/>
      <c r="CR4" s="343"/>
      <c r="CS4" s="342" t="n">
        <f aca="false">+CN4+7</f>
        <v>45870</v>
      </c>
      <c r="CT4" s="342"/>
      <c r="CU4" s="342"/>
      <c r="CV4" s="342"/>
      <c r="CW4" s="342"/>
      <c r="CX4" s="342" t="n">
        <f aca="false">+CS4+7</f>
        <v>45877</v>
      </c>
      <c r="CY4" s="342"/>
      <c r="CZ4" s="342"/>
      <c r="DA4" s="342"/>
      <c r="DB4" s="342"/>
      <c r="DC4" s="342" t="n">
        <f aca="false">+CX4+7</f>
        <v>45884</v>
      </c>
      <c r="DD4" s="342"/>
      <c r="DE4" s="342"/>
      <c r="DF4" s="342"/>
      <c r="DG4" s="342"/>
      <c r="DH4" s="342" t="n">
        <f aca="false">+DC4+7</f>
        <v>45891</v>
      </c>
      <c r="DI4" s="342"/>
      <c r="DJ4" s="342"/>
      <c r="DK4" s="342"/>
      <c r="DL4" s="342"/>
      <c r="DM4" s="342" t="n">
        <f aca="false">+DH4+7</f>
        <v>45898</v>
      </c>
      <c r="DN4" s="342"/>
      <c r="DO4" s="342"/>
      <c r="DP4" s="342"/>
      <c r="DQ4" s="342"/>
      <c r="DR4" s="342" t="n">
        <f aca="false">+DM4+7</f>
        <v>45905</v>
      </c>
      <c r="DS4" s="342"/>
      <c r="DT4" s="342"/>
      <c r="DU4" s="342"/>
      <c r="DV4" s="342"/>
      <c r="DW4" s="342" t="n">
        <f aca="false">+DR4+7</f>
        <v>45912</v>
      </c>
      <c r="DX4" s="342"/>
      <c r="DY4" s="342"/>
      <c r="DZ4" s="342"/>
      <c r="EA4" s="342"/>
      <c r="EB4" s="342" t="n">
        <f aca="false">+DW4+7</f>
        <v>45919</v>
      </c>
      <c r="EC4" s="342"/>
      <c r="ED4" s="342"/>
      <c r="EE4" s="342"/>
      <c r="EF4" s="342"/>
      <c r="EG4" s="342" t="n">
        <f aca="false">+EB4+7</f>
        <v>45926</v>
      </c>
      <c r="EH4" s="342"/>
      <c r="EI4" s="342"/>
      <c r="EJ4" s="342"/>
      <c r="EK4" s="342"/>
      <c r="EL4" s="342" t="n">
        <f aca="false">+EG4+7</f>
        <v>45933</v>
      </c>
      <c r="EM4" s="342"/>
      <c r="EN4" s="342"/>
      <c r="EO4" s="342"/>
      <c r="EP4" s="342"/>
      <c r="EQ4" s="342" t="n">
        <f aca="false">+EL4+7</f>
        <v>45940</v>
      </c>
      <c r="ER4" s="342"/>
      <c r="ES4" s="342"/>
      <c r="ET4" s="342"/>
      <c r="EU4" s="342"/>
      <c r="EV4" s="342" t="n">
        <f aca="false">+EQ4+7</f>
        <v>45947</v>
      </c>
      <c r="EW4" s="342"/>
      <c r="EX4" s="342"/>
      <c r="EY4" s="342"/>
      <c r="EZ4" s="342"/>
      <c r="FA4" s="342" t="n">
        <f aca="false">+EV4+7</f>
        <v>45954</v>
      </c>
      <c r="FB4" s="342"/>
      <c r="FC4" s="342"/>
      <c r="FD4" s="342"/>
      <c r="FE4" s="342"/>
      <c r="FF4" s="342" t="n">
        <f aca="false">+FA4+7</f>
        <v>45961</v>
      </c>
      <c r="FG4" s="342"/>
      <c r="FH4" s="342"/>
      <c r="FI4" s="342"/>
      <c r="FJ4" s="342"/>
      <c r="FK4" s="343" t="n">
        <f aca="false">+FF4+7</f>
        <v>45968</v>
      </c>
      <c r="FL4" s="343"/>
      <c r="FM4" s="343"/>
      <c r="FN4" s="343"/>
      <c r="FO4" s="343"/>
      <c r="FP4" s="343" t="n">
        <f aca="false">+FK4+7</f>
        <v>45975</v>
      </c>
      <c r="FQ4" s="343"/>
      <c r="FR4" s="343"/>
      <c r="FS4" s="343"/>
      <c r="FT4" s="343"/>
      <c r="FU4" s="343" t="n">
        <f aca="false">+FP4+7</f>
        <v>45982</v>
      </c>
      <c r="FV4" s="343"/>
      <c r="FW4" s="343"/>
      <c r="FX4" s="343"/>
      <c r="FY4" s="343"/>
      <c r="FZ4" s="343" t="n">
        <f aca="false">+FU4+7</f>
        <v>45989</v>
      </c>
      <c r="GA4" s="343"/>
      <c r="GB4" s="343"/>
      <c r="GC4" s="343"/>
      <c r="GD4" s="343"/>
      <c r="GE4" s="342" t="n">
        <f aca="false">+FZ4+7</f>
        <v>45996</v>
      </c>
      <c r="GF4" s="342"/>
      <c r="GG4" s="342"/>
      <c r="GH4" s="342"/>
      <c r="GI4" s="342"/>
      <c r="GJ4" s="342" t="n">
        <f aca="false">+GE4+7</f>
        <v>46003</v>
      </c>
      <c r="GK4" s="342"/>
      <c r="GL4" s="342"/>
      <c r="GM4" s="342"/>
      <c r="GN4" s="342"/>
      <c r="GO4" s="342" t="n">
        <f aca="false">+GJ4+7</f>
        <v>46010</v>
      </c>
      <c r="GP4" s="342"/>
      <c r="GQ4" s="342"/>
      <c r="GR4" s="342"/>
      <c r="GS4" s="342"/>
      <c r="GT4" s="342" t="n">
        <f aca="false">+GO4+7</f>
        <v>46017</v>
      </c>
      <c r="GU4" s="342"/>
      <c r="GV4" s="342"/>
      <c r="GW4" s="342"/>
      <c r="GX4" s="342"/>
      <c r="GY4" s="342" t="n">
        <f aca="false">+GT4+7</f>
        <v>46024</v>
      </c>
      <c r="GZ4" s="342"/>
      <c r="HA4" s="342"/>
      <c r="HB4" s="342"/>
      <c r="HC4" s="342"/>
      <c r="HD4" s="342" t="n">
        <f aca="false">+GY4+7</f>
        <v>46031</v>
      </c>
      <c r="HE4" s="342"/>
      <c r="HF4" s="342"/>
      <c r="HG4" s="342"/>
      <c r="HH4" s="342"/>
      <c r="HI4" s="342" t="n">
        <f aca="false">+HD4+7</f>
        <v>46038</v>
      </c>
      <c r="HJ4" s="342"/>
      <c r="HK4" s="342"/>
      <c r="HL4" s="342"/>
      <c r="HM4" s="342"/>
      <c r="HN4" s="342" t="n">
        <f aca="false">+HI4+7</f>
        <v>46045</v>
      </c>
      <c r="HO4" s="342"/>
      <c r="HP4" s="342"/>
      <c r="HQ4" s="342"/>
      <c r="HR4" s="342"/>
      <c r="HS4" s="342" t="n">
        <f aca="false">+HN4+7</f>
        <v>46052</v>
      </c>
      <c r="HT4" s="342"/>
      <c r="HU4" s="342"/>
      <c r="HV4" s="342"/>
      <c r="HW4" s="342"/>
      <c r="HX4" s="343" t="n">
        <f aca="false">+HS4+7</f>
        <v>46059</v>
      </c>
      <c r="HY4" s="343"/>
      <c r="HZ4" s="343"/>
      <c r="IA4" s="343"/>
      <c r="IB4" s="343"/>
      <c r="IC4" s="343" t="n">
        <f aca="false">+HX4+7</f>
        <v>46066</v>
      </c>
      <c r="ID4" s="343"/>
      <c r="IE4" s="343"/>
      <c r="IF4" s="343"/>
      <c r="IG4" s="343"/>
      <c r="IH4" s="343" t="n">
        <f aca="false">+IC4+7</f>
        <v>46073</v>
      </c>
      <c r="II4" s="343"/>
      <c r="IJ4" s="343"/>
      <c r="IK4" s="343"/>
      <c r="IL4" s="343"/>
      <c r="IM4" s="343" t="n">
        <f aca="false">+IH4+7</f>
        <v>46080</v>
      </c>
      <c r="IN4" s="343"/>
      <c r="IO4" s="343"/>
      <c r="IP4" s="343"/>
      <c r="IQ4" s="343"/>
      <c r="IR4" s="343" t="n">
        <f aca="false">+IM4+7</f>
        <v>46087</v>
      </c>
      <c r="IS4" s="343"/>
      <c r="IT4" s="343"/>
      <c r="IU4" s="343"/>
      <c r="IV4" s="343"/>
      <c r="IW4" s="343" t="n">
        <f aca="false">+IR4+7</f>
        <v>46094</v>
      </c>
      <c r="IX4" s="343"/>
      <c r="IY4" s="343"/>
      <c r="IZ4" s="343"/>
      <c r="JA4" s="343"/>
      <c r="JB4" s="343" t="n">
        <f aca="false">+IW4+7</f>
        <v>46101</v>
      </c>
      <c r="JC4" s="343"/>
      <c r="JD4" s="343"/>
      <c r="JE4" s="343"/>
      <c r="JF4" s="343"/>
      <c r="JG4" s="343" t="n">
        <f aca="false">+JB4+7</f>
        <v>46108</v>
      </c>
      <c r="JH4" s="343"/>
      <c r="JI4" s="343"/>
      <c r="JJ4" s="343"/>
      <c r="JK4" s="343"/>
      <c r="JL4" s="343" t="n">
        <f aca="false">+JG4+7</f>
        <v>46115</v>
      </c>
      <c r="JM4" s="343"/>
      <c r="JN4" s="343"/>
      <c r="JO4" s="343"/>
      <c r="JP4" s="343"/>
      <c r="JQ4" s="343" t="n">
        <f aca="false">+JL4+7</f>
        <v>46122</v>
      </c>
      <c r="JR4" s="343"/>
      <c r="JS4" s="343"/>
      <c r="JT4" s="343"/>
      <c r="JU4" s="343"/>
      <c r="JV4" s="343" t="n">
        <f aca="false">+JQ4+7</f>
        <v>46129</v>
      </c>
      <c r="JW4" s="343"/>
      <c r="JX4" s="343"/>
      <c r="JY4" s="343"/>
      <c r="JZ4" s="343"/>
      <c r="KA4" s="343" t="n">
        <f aca="false">+JV4+7</f>
        <v>46136</v>
      </c>
      <c r="KB4" s="343"/>
      <c r="KC4" s="343"/>
      <c r="KD4" s="343"/>
      <c r="KE4" s="343"/>
      <c r="KF4" s="343" t="n">
        <f aca="false">+KA4+7</f>
        <v>46143</v>
      </c>
      <c r="KG4" s="343"/>
      <c r="KH4" s="343"/>
      <c r="KI4" s="343"/>
      <c r="KJ4" s="343"/>
      <c r="KK4" s="343" t="n">
        <f aca="false">+KF4+7</f>
        <v>46150</v>
      </c>
      <c r="KL4" s="343"/>
      <c r="KM4" s="343"/>
      <c r="KN4" s="343"/>
      <c r="KO4" s="343"/>
      <c r="KP4" s="343" t="n">
        <f aca="false">+KK4+7</f>
        <v>46157</v>
      </c>
      <c r="KQ4" s="343"/>
      <c r="KR4" s="343"/>
      <c r="KS4" s="343"/>
      <c r="KT4" s="343"/>
      <c r="KU4" s="343" t="n">
        <f aca="false">+KP4+7</f>
        <v>46164</v>
      </c>
      <c r="KV4" s="343"/>
      <c r="KW4" s="343"/>
      <c r="KX4" s="343"/>
      <c r="KY4" s="343"/>
      <c r="KZ4" s="343" t="n">
        <f aca="false">+KU4+7</f>
        <v>46171</v>
      </c>
      <c r="LA4" s="343"/>
      <c r="LB4" s="343"/>
      <c r="LC4" s="343"/>
      <c r="LD4" s="343"/>
      <c r="LE4" s="343" t="n">
        <f aca="false">+KZ4+7</f>
        <v>46178</v>
      </c>
      <c r="LF4" s="343"/>
      <c r="LG4" s="343"/>
      <c r="LH4" s="343"/>
      <c r="LI4" s="343"/>
      <c r="LJ4" s="343" t="n">
        <f aca="false">+LE4+7</f>
        <v>46185</v>
      </c>
      <c r="LK4" s="343"/>
      <c r="LL4" s="343"/>
      <c r="LM4" s="343"/>
      <c r="LN4" s="343"/>
      <c r="LO4" s="343" t="n">
        <f aca="false">+LJ4+7</f>
        <v>46192</v>
      </c>
      <c r="LP4" s="343"/>
      <c r="LQ4" s="343"/>
      <c r="LR4" s="343"/>
      <c r="LS4" s="343"/>
      <c r="LT4" s="343" t="n">
        <f aca="false">+LO4+7</f>
        <v>46199</v>
      </c>
      <c r="LU4" s="343"/>
      <c r="LV4" s="343"/>
      <c r="LW4" s="343"/>
      <c r="LX4" s="343"/>
      <c r="LY4" s="343" t="n">
        <f aca="false">+LT4+7</f>
        <v>46206</v>
      </c>
      <c r="LZ4" s="343"/>
      <c r="MA4" s="343"/>
      <c r="MB4" s="343"/>
      <c r="MC4" s="343"/>
      <c r="MD4" s="343" t="n">
        <f aca="false">+LY4+7</f>
        <v>46213</v>
      </c>
      <c r="ME4" s="343"/>
      <c r="MF4" s="343"/>
      <c r="MG4" s="343"/>
      <c r="MH4" s="343"/>
      <c r="MI4" s="343" t="n">
        <f aca="false">+MD4+7</f>
        <v>46220</v>
      </c>
      <c r="MJ4" s="343"/>
      <c r="MK4" s="343"/>
      <c r="ML4" s="343"/>
      <c r="MM4" s="343"/>
      <c r="MN4" s="343" t="n">
        <f aca="false">+MI4+7</f>
        <v>46227</v>
      </c>
      <c r="MO4" s="343"/>
      <c r="MP4" s="343"/>
      <c r="MQ4" s="343"/>
      <c r="MR4" s="343"/>
      <c r="MS4" s="343" t="n">
        <f aca="false">+MN4+7</f>
        <v>46234</v>
      </c>
      <c r="MT4" s="343"/>
      <c r="MU4" s="343"/>
      <c r="MV4" s="343"/>
      <c r="MW4" s="343"/>
      <c r="MX4" s="343" t="n">
        <f aca="false">+MS4+7</f>
        <v>46241</v>
      </c>
      <c r="MY4" s="343"/>
      <c r="MZ4" s="343"/>
      <c r="NA4" s="343"/>
      <c r="NB4" s="343"/>
      <c r="NC4" s="343" t="n">
        <f aca="false">+MX4+7</f>
        <v>46248</v>
      </c>
      <c r="ND4" s="343"/>
      <c r="NE4" s="343"/>
      <c r="NF4" s="343"/>
      <c r="NG4" s="343"/>
      <c r="NH4" s="343" t="n">
        <f aca="false">+NC4+7</f>
        <v>46255</v>
      </c>
      <c r="NI4" s="343"/>
      <c r="NJ4" s="343"/>
      <c r="NK4" s="343"/>
      <c r="NL4" s="343"/>
      <c r="NM4" s="343" t="n">
        <f aca="false">+NH4+7</f>
        <v>46262</v>
      </c>
      <c r="NN4" s="343"/>
      <c r="NO4" s="343"/>
      <c r="NP4" s="343"/>
      <c r="NQ4" s="343"/>
      <c r="NR4" s="343" t="n">
        <f aca="false">+NM4+7</f>
        <v>46269</v>
      </c>
      <c r="NS4" s="343"/>
      <c r="NT4" s="343"/>
      <c r="NU4" s="343"/>
      <c r="NV4" s="343"/>
      <c r="NW4" s="343" t="n">
        <f aca="false">+NR4+7</f>
        <v>46276</v>
      </c>
      <c r="NX4" s="343"/>
      <c r="NY4" s="343"/>
      <c r="NZ4" s="343"/>
      <c r="OA4" s="343"/>
      <c r="OB4" s="343" t="n">
        <f aca="false">+NW4+7</f>
        <v>46283</v>
      </c>
      <c r="OC4" s="343"/>
      <c r="OD4" s="343"/>
      <c r="OE4" s="343"/>
      <c r="OF4" s="343"/>
      <c r="OG4" s="343" t="n">
        <f aca="false">+OB4+7</f>
        <v>46290</v>
      </c>
      <c r="OH4" s="343"/>
      <c r="OI4" s="343"/>
      <c r="OJ4" s="343"/>
      <c r="OK4" s="343"/>
      <c r="OL4" s="343" t="n">
        <f aca="false">+OG4+7</f>
        <v>46297</v>
      </c>
      <c r="OM4" s="343"/>
      <c r="ON4" s="343"/>
      <c r="OO4" s="343"/>
      <c r="OP4" s="343"/>
      <c r="OQ4" s="343" t="n">
        <f aca="false">+OL4+7</f>
        <v>46304</v>
      </c>
      <c r="OR4" s="343"/>
      <c r="OS4" s="343"/>
      <c r="OT4" s="343"/>
      <c r="OU4" s="343"/>
      <c r="OV4" s="343" t="n">
        <f aca="false">+OQ4+7</f>
        <v>46311</v>
      </c>
      <c r="OW4" s="343"/>
      <c r="OX4" s="343"/>
      <c r="OY4" s="343"/>
      <c r="OZ4" s="343"/>
      <c r="PA4" s="343" t="n">
        <f aca="false">+OV4+7</f>
        <v>46318</v>
      </c>
      <c r="PB4" s="343"/>
      <c r="PC4" s="343"/>
      <c r="PD4" s="343"/>
      <c r="PE4" s="343"/>
      <c r="PF4" s="343" t="n">
        <f aca="false">+PA4+7</f>
        <v>46325</v>
      </c>
      <c r="PG4" s="343"/>
      <c r="PH4" s="343"/>
      <c r="PI4" s="343"/>
      <c r="PJ4" s="343"/>
      <c r="PK4" s="343" t="n">
        <f aca="false">+PF4+7</f>
        <v>46332</v>
      </c>
      <c r="PL4" s="343"/>
      <c r="PM4" s="343"/>
      <c r="PN4" s="343"/>
      <c r="PO4" s="343"/>
      <c r="PP4" s="343" t="n">
        <f aca="false">+PK4+7</f>
        <v>46339</v>
      </c>
      <c r="PQ4" s="343"/>
      <c r="PR4" s="343"/>
      <c r="PS4" s="343"/>
      <c r="PT4" s="343"/>
      <c r="PU4" s="343" t="n">
        <f aca="false">+PP4+7</f>
        <v>46346</v>
      </c>
      <c r="PV4" s="343"/>
      <c r="PW4" s="343"/>
      <c r="PX4" s="343"/>
      <c r="PY4" s="343"/>
      <c r="PZ4" s="343" t="n">
        <f aca="false">+PU4+7</f>
        <v>46353</v>
      </c>
      <c r="QA4" s="343"/>
      <c r="QB4" s="343"/>
      <c r="QC4" s="343"/>
      <c r="QD4" s="343"/>
      <c r="QE4" s="343" t="n">
        <f aca="false">+PZ4+7</f>
        <v>46360</v>
      </c>
      <c r="QF4" s="343"/>
      <c r="QG4" s="343"/>
      <c r="QH4" s="343"/>
      <c r="QI4" s="343"/>
      <c r="QJ4" s="343" t="n">
        <f aca="false">+QE4+7</f>
        <v>46367</v>
      </c>
      <c r="QK4" s="343"/>
      <c r="QL4" s="343"/>
      <c r="QM4" s="343"/>
      <c r="QN4" s="343"/>
      <c r="QO4" s="343" t="n">
        <f aca="false">+QJ4+7</f>
        <v>46374</v>
      </c>
      <c r="QP4" s="343"/>
      <c r="QQ4" s="343"/>
      <c r="QR4" s="343"/>
      <c r="QS4" s="343"/>
      <c r="QT4" s="343" t="n">
        <f aca="false">+QO4+7</f>
        <v>46381</v>
      </c>
      <c r="QU4" s="343"/>
      <c r="QV4" s="343"/>
      <c r="QW4" s="343"/>
      <c r="QX4" s="343"/>
      <c r="QY4" s="343" t="n">
        <f aca="false">+QT4+7</f>
        <v>46388</v>
      </c>
      <c r="QZ4" s="343"/>
      <c r="RA4" s="343"/>
      <c r="RB4" s="343"/>
      <c r="RC4" s="343"/>
      <c r="RD4" s="343" t="n">
        <f aca="false">+QY4+7</f>
        <v>46395</v>
      </c>
      <c r="RE4" s="343"/>
      <c r="RF4" s="343"/>
      <c r="RG4" s="343"/>
      <c r="RH4" s="343"/>
      <c r="RI4" s="343" t="n">
        <f aca="false">+RD4+7</f>
        <v>46402</v>
      </c>
      <c r="RJ4" s="343"/>
      <c r="RK4" s="343"/>
      <c r="RL4" s="343"/>
      <c r="RM4" s="343"/>
      <c r="RN4" s="343" t="n">
        <f aca="false">+RI4+7</f>
        <v>46409</v>
      </c>
      <c r="RO4" s="343"/>
      <c r="RP4" s="343"/>
      <c r="RQ4" s="343"/>
      <c r="RR4" s="343"/>
      <c r="RS4" s="343" t="n">
        <f aca="false">+RN4+7</f>
        <v>46416</v>
      </c>
      <c r="RT4" s="343"/>
      <c r="RU4" s="343"/>
      <c r="RV4" s="343"/>
      <c r="RW4" s="343"/>
      <c r="RX4" s="343" t="n">
        <f aca="false">+RS4+7</f>
        <v>46423</v>
      </c>
      <c r="RY4" s="343"/>
      <c r="RZ4" s="343"/>
      <c r="SA4" s="343"/>
      <c r="SB4" s="343"/>
      <c r="SC4" s="343" t="n">
        <f aca="false">+RX4+7</f>
        <v>46430</v>
      </c>
      <c r="SD4" s="343"/>
      <c r="SE4" s="343"/>
      <c r="SF4" s="343"/>
      <c r="SG4" s="343"/>
      <c r="SH4" s="343" t="n">
        <f aca="false">+SC4+7</f>
        <v>46437</v>
      </c>
      <c r="SI4" s="343"/>
      <c r="SJ4" s="343"/>
      <c r="SK4" s="343"/>
      <c r="SL4" s="343"/>
      <c r="SM4" s="343" t="n">
        <f aca="false">+SH4+7</f>
        <v>46444</v>
      </c>
      <c r="SN4" s="343"/>
      <c r="SO4" s="343"/>
      <c r="SP4" s="343"/>
      <c r="SQ4" s="343"/>
      <c r="SR4" s="343" t="n">
        <f aca="false">+SM4+7</f>
        <v>46451</v>
      </c>
      <c r="SS4" s="343"/>
      <c r="ST4" s="343"/>
      <c r="SU4" s="343"/>
      <c r="SV4" s="343"/>
      <c r="SW4" s="343" t="n">
        <f aca="false">+HX4+7</f>
        <v>46066</v>
      </c>
      <c r="SX4" s="343"/>
      <c r="SY4" s="343"/>
      <c r="SZ4" s="343"/>
      <c r="TA4" s="343"/>
    </row>
    <row r="5" customFormat="false" ht="15" hidden="false" customHeight="false" outlineLevel="0" collapsed="false">
      <c r="A5" s="344" t="s">
        <v>502</v>
      </c>
      <c r="B5" s="345" t="s">
        <v>503</v>
      </c>
      <c r="C5" s="346" t="s">
        <v>504</v>
      </c>
      <c r="D5" s="346" t="s">
        <v>505</v>
      </c>
      <c r="E5" s="346" t="s">
        <v>506</v>
      </c>
      <c r="F5" s="347" t="s">
        <v>507</v>
      </c>
      <c r="G5" s="345" t="s">
        <v>503</v>
      </c>
      <c r="H5" s="346" t="s">
        <v>504</v>
      </c>
      <c r="I5" s="346" t="s">
        <v>505</v>
      </c>
      <c r="J5" s="346" t="s">
        <v>506</v>
      </c>
      <c r="K5" s="347" t="s">
        <v>507</v>
      </c>
      <c r="L5" s="345" t="s">
        <v>503</v>
      </c>
      <c r="M5" s="346" t="s">
        <v>504</v>
      </c>
      <c r="N5" s="346" t="s">
        <v>505</v>
      </c>
      <c r="O5" s="346" t="s">
        <v>506</v>
      </c>
      <c r="P5" s="347" t="s">
        <v>507</v>
      </c>
      <c r="Q5" s="345" t="s">
        <v>503</v>
      </c>
      <c r="R5" s="346" t="s">
        <v>504</v>
      </c>
      <c r="S5" s="346" t="s">
        <v>505</v>
      </c>
      <c r="T5" s="346" t="s">
        <v>506</v>
      </c>
      <c r="U5" s="347" t="s">
        <v>507</v>
      </c>
      <c r="V5" s="345" t="s">
        <v>503</v>
      </c>
      <c r="W5" s="346" t="s">
        <v>504</v>
      </c>
      <c r="X5" s="346" t="s">
        <v>505</v>
      </c>
      <c r="Y5" s="346" t="s">
        <v>506</v>
      </c>
      <c r="Z5" s="347" t="s">
        <v>507</v>
      </c>
      <c r="AA5" s="345" t="s">
        <v>503</v>
      </c>
      <c r="AB5" s="346" t="s">
        <v>504</v>
      </c>
      <c r="AC5" s="346" t="s">
        <v>505</v>
      </c>
      <c r="AD5" s="346" t="s">
        <v>506</v>
      </c>
      <c r="AE5" s="347" t="s">
        <v>507</v>
      </c>
      <c r="AF5" s="345" t="s">
        <v>503</v>
      </c>
      <c r="AG5" s="346" t="s">
        <v>504</v>
      </c>
      <c r="AH5" s="346" t="s">
        <v>505</v>
      </c>
      <c r="AI5" s="346" t="s">
        <v>506</v>
      </c>
      <c r="AJ5" s="347" t="s">
        <v>507</v>
      </c>
      <c r="AK5" s="345" t="s">
        <v>503</v>
      </c>
      <c r="AL5" s="346" t="s">
        <v>504</v>
      </c>
      <c r="AM5" s="346" t="s">
        <v>505</v>
      </c>
      <c r="AN5" s="346" t="s">
        <v>506</v>
      </c>
      <c r="AO5" s="347" t="s">
        <v>507</v>
      </c>
      <c r="AP5" s="345" t="s">
        <v>503</v>
      </c>
      <c r="AQ5" s="346" t="s">
        <v>504</v>
      </c>
      <c r="AR5" s="346" t="s">
        <v>505</v>
      </c>
      <c r="AS5" s="346" t="s">
        <v>506</v>
      </c>
      <c r="AT5" s="347" t="s">
        <v>507</v>
      </c>
      <c r="AU5" s="345" t="s">
        <v>503</v>
      </c>
      <c r="AV5" s="346" t="s">
        <v>504</v>
      </c>
      <c r="AW5" s="346" t="s">
        <v>505</v>
      </c>
      <c r="AX5" s="346" t="s">
        <v>506</v>
      </c>
      <c r="AY5" s="347" t="s">
        <v>507</v>
      </c>
      <c r="AZ5" s="345" t="s">
        <v>503</v>
      </c>
      <c r="BA5" s="346" t="s">
        <v>504</v>
      </c>
      <c r="BB5" s="346" t="s">
        <v>505</v>
      </c>
      <c r="BC5" s="346" t="s">
        <v>506</v>
      </c>
      <c r="BD5" s="347" t="s">
        <v>507</v>
      </c>
      <c r="BE5" s="345" t="s">
        <v>503</v>
      </c>
      <c r="BF5" s="346" t="s">
        <v>504</v>
      </c>
      <c r="BG5" s="346" t="s">
        <v>505</v>
      </c>
      <c r="BH5" s="346" t="s">
        <v>506</v>
      </c>
      <c r="BI5" s="347" t="s">
        <v>507</v>
      </c>
      <c r="BJ5" s="345" t="s">
        <v>503</v>
      </c>
      <c r="BK5" s="346" t="s">
        <v>504</v>
      </c>
      <c r="BL5" s="346" t="s">
        <v>505</v>
      </c>
      <c r="BM5" s="346" t="s">
        <v>506</v>
      </c>
      <c r="BN5" s="347" t="s">
        <v>507</v>
      </c>
      <c r="BO5" s="345" t="s">
        <v>503</v>
      </c>
      <c r="BP5" s="346" t="s">
        <v>504</v>
      </c>
      <c r="BQ5" s="346" t="s">
        <v>505</v>
      </c>
      <c r="BR5" s="346" t="s">
        <v>506</v>
      </c>
      <c r="BS5" s="347" t="s">
        <v>507</v>
      </c>
      <c r="BT5" s="345" t="s">
        <v>503</v>
      </c>
      <c r="BU5" s="346" t="s">
        <v>504</v>
      </c>
      <c r="BV5" s="346" t="s">
        <v>505</v>
      </c>
      <c r="BW5" s="346" t="s">
        <v>506</v>
      </c>
      <c r="BX5" s="347" t="s">
        <v>507</v>
      </c>
      <c r="BY5" s="345" t="s">
        <v>503</v>
      </c>
      <c r="BZ5" s="346" t="s">
        <v>504</v>
      </c>
      <c r="CA5" s="346" t="s">
        <v>505</v>
      </c>
      <c r="CB5" s="346" t="s">
        <v>506</v>
      </c>
      <c r="CC5" s="347" t="s">
        <v>507</v>
      </c>
      <c r="CD5" s="345" t="s">
        <v>503</v>
      </c>
      <c r="CE5" s="346" t="s">
        <v>504</v>
      </c>
      <c r="CF5" s="346" t="s">
        <v>505</v>
      </c>
      <c r="CG5" s="346" t="s">
        <v>506</v>
      </c>
      <c r="CH5" s="347" t="s">
        <v>507</v>
      </c>
      <c r="CI5" s="345" t="s">
        <v>503</v>
      </c>
      <c r="CJ5" s="346" t="s">
        <v>504</v>
      </c>
      <c r="CK5" s="346" t="s">
        <v>505</v>
      </c>
      <c r="CL5" s="346" t="s">
        <v>506</v>
      </c>
      <c r="CM5" s="347" t="s">
        <v>507</v>
      </c>
      <c r="CN5" s="345" t="s">
        <v>503</v>
      </c>
      <c r="CO5" s="346" t="s">
        <v>504</v>
      </c>
      <c r="CP5" s="346" t="s">
        <v>505</v>
      </c>
      <c r="CQ5" s="346" t="s">
        <v>506</v>
      </c>
      <c r="CR5" s="347" t="s">
        <v>507</v>
      </c>
      <c r="CS5" s="345" t="s">
        <v>503</v>
      </c>
      <c r="CT5" s="346" t="s">
        <v>504</v>
      </c>
      <c r="CU5" s="346" t="s">
        <v>505</v>
      </c>
      <c r="CV5" s="346" t="s">
        <v>506</v>
      </c>
      <c r="CW5" s="347" t="s">
        <v>507</v>
      </c>
      <c r="CX5" s="345" t="s">
        <v>503</v>
      </c>
      <c r="CY5" s="346" t="s">
        <v>504</v>
      </c>
      <c r="CZ5" s="346" t="s">
        <v>505</v>
      </c>
      <c r="DA5" s="346" t="s">
        <v>506</v>
      </c>
      <c r="DB5" s="347" t="s">
        <v>507</v>
      </c>
      <c r="DC5" s="345" t="s">
        <v>503</v>
      </c>
      <c r="DD5" s="346" t="s">
        <v>504</v>
      </c>
      <c r="DE5" s="346" t="s">
        <v>505</v>
      </c>
      <c r="DF5" s="346" t="s">
        <v>506</v>
      </c>
      <c r="DG5" s="347" t="s">
        <v>507</v>
      </c>
      <c r="DH5" s="345" t="s">
        <v>503</v>
      </c>
      <c r="DI5" s="346" t="s">
        <v>504</v>
      </c>
      <c r="DJ5" s="346" t="s">
        <v>505</v>
      </c>
      <c r="DK5" s="346" t="s">
        <v>506</v>
      </c>
      <c r="DL5" s="347" t="s">
        <v>507</v>
      </c>
      <c r="DM5" s="345" t="s">
        <v>503</v>
      </c>
      <c r="DN5" s="346" t="s">
        <v>504</v>
      </c>
      <c r="DO5" s="346" t="s">
        <v>505</v>
      </c>
      <c r="DP5" s="346" t="s">
        <v>506</v>
      </c>
      <c r="DQ5" s="347" t="s">
        <v>507</v>
      </c>
      <c r="DR5" s="345" t="s">
        <v>503</v>
      </c>
      <c r="DS5" s="346" t="s">
        <v>504</v>
      </c>
      <c r="DT5" s="346" t="s">
        <v>505</v>
      </c>
      <c r="DU5" s="346" t="s">
        <v>506</v>
      </c>
      <c r="DV5" s="347" t="s">
        <v>507</v>
      </c>
      <c r="DW5" s="345" t="s">
        <v>503</v>
      </c>
      <c r="DX5" s="346" t="s">
        <v>504</v>
      </c>
      <c r="DY5" s="346" t="s">
        <v>505</v>
      </c>
      <c r="DZ5" s="346" t="s">
        <v>506</v>
      </c>
      <c r="EA5" s="347" t="s">
        <v>507</v>
      </c>
      <c r="EB5" s="345" t="s">
        <v>503</v>
      </c>
      <c r="EC5" s="346" t="s">
        <v>504</v>
      </c>
      <c r="ED5" s="346" t="s">
        <v>505</v>
      </c>
      <c r="EE5" s="346" t="s">
        <v>506</v>
      </c>
      <c r="EF5" s="347" t="s">
        <v>507</v>
      </c>
      <c r="EG5" s="345" t="s">
        <v>503</v>
      </c>
      <c r="EH5" s="346" t="s">
        <v>504</v>
      </c>
      <c r="EI5" s="346" t="s">
        <v>505</v>
      </c>
      <c r="EJ5" s="346" t="s">
        <v>506</v>
      </c>
      <c r="EK5" s="347" t="s">
        <v>507</v>
      </c>
      <c r="EL5" s="345" t="s">
        <v>503</v>
      </c>
      <c r="EM5" s="346" t="s">
        <v>504</v>
      </c>
      <c r="EN5" s="346" t="s">
        <v>505</v>
      </c>
      <c r="EO5" s="346" t="s">
        <v>506</v>
      </c>
      <c r="EP5" s="347" t="s">
        <v>507</v>
      </c>
      <c r="EQ5" s="345" t="s">
        <v>503</v>
      </c>
      <c r="ER5" s="346" t="s">
        <v>504</v>
      </c>
      <c r="ES5" s="346" t="s">
        <v>505</v>
      </c>
      <c r="ET5" s="346" t="s">
        <v>506</v>
      </c>
      <c r="EU5" s="347" t="s">
        <v>507</v>
      </c>
      <c r="EV5" s="345" t="s">
        <v>503</v>
      </c>
      <c r="EW5" s="346" t="s">
        <v>504</v>
      </c>
      <c r="EX5" s="346" t="s">
        <v>505</v>
      </c>
      <c r="EY5" s="346" t="s">
        <v>506</v>
      </c>
      <c r="EZ5" s="347" t="s">
        <v>507</v>
      </c>
      <c r="FA5" s="345" t="s">
        <v>503</v>
      </c>
      <c r="FB5" s="346" t="s">
        <v>504</v>
      </c>
      <c r="FC5" s="346" t="s">
        <v>505</v>
      </c>
      <c r="FD5" s="346" t="s">
        <v>506</v>
      </c>
      <c r="FE5" s="347" t="s">
        <v>507</v>
      </c>
      <c r="FF5" s="345" t="s">
        <v>503</v>
      </c>
      <c r="FG5" s="346" t="s">
        <v>504</v>
      </c>
      <c r="FH5" s="346" t="s">
        <v>505</v>
      </c>
      <c r="FI5" s="346" t="s">
        <v>506</v>
      </c>
      <c r="FJ5" s="347" t="s">
        <v>507</v>
      </c>
      <c r="FK5" s="345" t="s">
        <v>503</v>
      </c>
      <c r="FL5" s="346" t="s">
        <v>504</v>
      </c>
      <c r="FM5" s="346" t="s">
        <v>505</v>
      </c>
      <c r="FN5" s="346" t="s">
        <v>506</v>
      </c>
      <c r="FO5" s="347" t="s">
        <v>507</v>
      </c>
      <c r="FP5" s="345" t="s">
        <v>503</v>
      </c>
      <c r="FQ5" s="346" t="s">
        <v>504</v>
      </c>
      <c r="FR5" s="346" t="s">
        <v>505</v>
      </c>
      <c r="FS5" s="346" t="s">
        <v>506</v>
      </c>
      <c r="FT5" s="347" t="s">
        <v>507</v>
      </c>
      <c r="FU5" s="345" t="s">
        <v>503</v>
      </c>
      <c r="FV5" s="346" t="s">
        <v>504</v>
      </c>
      <c r="FW5" s="346" t="s">
        <v>505</v>
      </c>
      <c r="FX5" s="346" t="s">
        <v>506</v>
      </c>
      <c r="FY5" s="347" t="s">
        <v>507</v>
      </c>
      <c r="FZ5" s="345" t="s">
        <v>503</v>
      </c>
      <c r="GA5" s="346" t="s">
        <v>504</v>
      </c>
      <c r="GB5" s="346" t="s">
        <v>505</v>
      </c>
      <c r="GC5" s="346" t="s">
        <v>506</v>
      </c>
      <c r="GD5" s="347" t="s">
        <v>507</v>
      </c>
      <c r="GE5" s="345" t="s">
        <v>503</v>
      </c>
      <c r="GF5" s="346" t="s">
        <v>504</v>
      </c>
      <c r="GG5" s="346" t="s">
        <v>505</v>
      </c>
      <c r="GH5" s="346" t="s">
        <v>506</v>
      </c>
      <c r="GI5" s="347" t="s">
        <v>507</v>
      </c>
      <c r="GJ5" s="345" t="s">
        <v>503</v>
      </c>
      <c r="GK5" s="346" t="s">
        <v>504</v>
      </c>
      <c r="GL5" s="346" t="s">
        <v>505</v>
      </c>
      <c r="GM5" s="346" t="s">
        <v>506</v>
      </c>
      <c r="GN5" s="347" t="s">
        <v>507</v>
      </c>
      <c r="GO5" s="345" t="s">
        <v>503</v>
      </c>
      <c r="GP5" s="346" t="s">
        <v>504</v>
      </c>
      <c r="GQ5" s="346" t="s">
        <v>505</v>
      </c>
      <c r="GR5" s="346" t="s">
        <v>506</v>
      </c>
      <c r="GS5" s="347" t="s">
        <v>507</v>
      </c>
      <c r="GT5" s="345" t="s">
        <v>503</v>
      </c>
      <c r="GU5" s="346" t="s">
        <v>504</v>
      </c>
      <c r="GV5" s="346" t="s">
        <v>505</v>
      </c>
      <c r="GW5" s="346" t="s">
        <v>506</v>
      </c>
      <c r="GX5" s="347" t="s">
        <v>507</v>
      </c>
      <c r="GY5" s="345" t="s">
        <v>503</v>
      </c>
      <c r="GZ5" s="346" t="s">
        <v>504</v>
      </c>
      <c r="HA5" s="346" t="s">
        <v>505</v>
      </c>
      <c r="HB5" s="346" t="s">
        <v>506</v>
      </c>
      <c r="HC5" s="347" t="s">
        <v>507</v>
      </c>
      <c r="HD5" s="345" t="s">
        <v>503</v>
      </c>
      <c r="HE5" s="346" t="s">
        <v>504</v>
      </c>
      <c r="HF5" s="346" t="s">
        <v>505</v>
      </c>
      <c r="HG5" s="346" t="s">
        <v>506</v>
      </c>
      <c r="HH5" s="347" t="s">
        <v>507</v>
      </c>
      <c r="HI5" s="345" t="s">
        <v>503</v>
      </c>
      <c r="HJ5" s="346" t="s">
        <v>504</v>
      </c>
      <c r="HK5" s="346" t="s">
        <v>505</v>
      </c>
      <c r="HL5" s="346" t="s">
        <v>506</v>
      </c>
      <c r="HM5" s="347" t="s">
        <v>507</v>
      </c>
      <c r="HN5" s="345" t="s">
        <v>503</v>
      </c>
      <c r="HO5" s="346" t="s">
        <v>504</v>
      </c>
      <c r="HP5" s="346" t="s">
        <v>505</v>
      </c>
      <c r="HQ5" s="346" t="s">
        <v>506</v>
      </c>
      <c r="HR5" s="347" t="s">
        <v>507</v>
      </c>
      <c r="HS5" s="345" t="s">
        <v>503</v>
      </c>
      <c r="HT5" s="346" t="s">
        <v>504</v>
      </c>
      <c r="HU5" s="346" t="s">
        <v>505</v>
      </c>
      <c r="HV5" s="346" t="s">
        <v>506</v>
      </c>
      <c r="HW5" s="347" t="s">
        <v>507</v>
      </c>
      <c r="HX5" s="345" t="s">
        <v>503</v>
      </c>
      <c r="HY5" s="346" t="s">
        <v>504</v>
      </c>
      <c r="HZ5" s="346" t="s">
        <v>505</v>
      </c>
      <c r="IA5" s="346" t="s">
        <v>506</v>
      </c>
      <c r="IB5" s="347" t="s">
        <v>507</v>
      </c>
      <c r="IC5" s="345" t="s">
        <v>503</v>
      </c>
      <c r="ID5" s="346" t="s">
        <v>504</v>
      </c>
      <c r="IE5" s="346" t="s">
        <v>505</v>
      </c>
      <c r="IF5" s="346" t="s">
        <v>506</v>
      </c>
      <c r="IG5" s="347" t="s">
        <v>507</v>
      </c>
      <c r="IH5" s="345" t="s">
        <v>503</v>
      </c>
      <c r="II5" s="346" t="s">
        <v>504</v>
      </c>
      <c r="IJ5" s="346" t="s">
        <v>505</v>
      </c>
      <c r="IK5" s="346" t="s">
        <v>506</v>
      </c>
      <c r="IL5" s="347" t="s">
        <v>507</v>
      </c>
      <c r="IM5" s="345" t="s">
        <v>503</v>
      </c>
      <c r="IN5" s="346" t="s">
        <v>504</v>
      </c>
      <c r="IO5" s="346" t="s">
        <v>505</v>
      </c>
      <c r="IP5" s="346" t="s">
        <v>506</v>
      </c>
      <c r="IQ5" s="347" t="s">
        <v>507</v>
      </c>
      <c r="IR5" s="345" t="s">
        <v>503</v>
      </c>
      <c r="IS5" s="346" t="s">
        <v>504</v>
      </c>
      <c r="IT5" s="346" t="s">
        <v>505</v>
      </c>
      <c r="IU5" s="346" t="s">
        <v>506</v>
      </c>
      <c r="IV5" s="347" t="s">
        <v>507</v>
      </c>
      <c r="IW5" s="345" t="s">
        <v>503</v>
      </c>
      <c r="IX5" s="346" t="s">
        <v>504</v>
      </c>
      <c r="IY5" s="346" t="s">
        <v>505</v>
      </c>
      <c r="IZ5" s="346" t="s">
        <v>506</v>
      </c>
      <c r="JA5" s="347" t="s">
        <v>507</v>
      </c>
      <c r="JB5" s="345" t="s">
        <v>503</v>
      </c>
      <c r="JC5" s="346" t="s">
        <v>504</v>
      </c>
      <c r="JD5" s="346" t="s">
        <v>505</v>
      </c>
      <c r="JE5" s="346" t="s">
        <v>506</v>
      </c>
      <c r="JF5" s="347" t="s">
        <v>507</v>
      </c>
      <c r="JG5" s="345" t="s">
        <v>503</v>
      </c>
      <c r="JH5" s="346" t="s">
        <v>504</v>
      </c>
      <c r="JI5" s="346" t="s">
        <v>505</v>
      </c>
      <c r="JJ5" s="346" t="s">
        <v>506</v>
      </c>
      <c r="JK5" s="347" t="s">
        <v>507</v>
      </c>
      <c r="JL5" s="345" t="s">
        <v>503</v>
      </c>
      <c r="JM5" s="346" t="s">
        <v>504</v>
      </c>
      <c r="JN5" s="346" t="s">
        <v>505</v>
      </c>
      <c r="JO5" s="346" t="s">
        <v>506</v>
      </c>
      <c r="JP5" s="347" t="s">
        <v>507</v>
      </c>
      <c r="JQ5" s="345" t="s">
        <v>503</v>
      </c>
      <c r="JR5" s="346" t="s">
        <v>504</v>
      </c>
      <c r="JS5" s="346" t="s">
        <v>505</v>
      </c>
      <c r="JT5" s="346" t="s">
        <v>506</v>
      </c>
      <c r="JU5" s="347" t="s">
        <v>507</v>
      </c>
      <c r="JV5" s="345" t="s">
        <v>503</v>
      </c>
      <c r="JW5" s="346" t="s">
        <v>504</v>
      </c>
      <c r="JX5" s="346" t="s">
        <v>505</v>
      </c>
      <c r="JY5" s="346" t="s">
        <v>506</v>
      </c>
      <c r="JZ5" s="347" t="s">
        <v>507</v>
      </c>
      <c r="KA5" s="345" t="s">
        <v>503</v>
      </c>
      <c r="KB5" s="346" t="s">
        <v>504</v>
      </c>
      <c r="KC5" s="346" t="s">
        <v>505</v>
      </c>
      <c r="KD5" s="346" t="s">
        <v>506</v>
      </c>
      <c r="KE5" s="347" t="s">
        <v>507</v>
      </c>
      <c r="KF5" s="345" t="s">
        <v>503</v>
      </c>
      <c r="KG5" s="346" t="s">
        <v>504</v>
      </c>
      <c r="KH5" s="346" t="s">
        <v>505</v>
      </c>
      <c r="KI5" s="346" t="s">
        <v>506</v>
      </c>
      <c r="KJ5" s="347" t="s">
        <v>507</v>
      </c>
      <c r="KK5" s="345" t="s">
        <v>503</v>
      </c>
      <c r="KL5" s="346" t="s">
        <v>504</v>
      </c>
      <c r="KM5" s="346" t="s">
        <v>505</v>
      </c>
      <c r="KN5" s="346" t="s">
        <v>506</v>
      </c>
      <c r="KO5" s="347" t="s">
        <v>507</v>
      </c>
      <c r="KP5" s="345" t="s">
        <v>503</v>
      </c>
      <c r="KQ5" s="346" t="s">
        <v>504</v>
      </c>
      <c r="KR5" s="346" t="s">
        <v>505</v>
      </c>
      <c r="KS5" s="346" t="s">
        <v>506</v>
      </c>
      <c r="KT5" s="347" t="s">
        <v>507</v>
      </c>
      <c r="KU5" s="345" t="s">
        <v>503</v>
      </c>
      <c r="KV5" s="346" t="s">
        <v>504</v>
      </c>
      <c r="KW5" s="346" t="s">
        <v>505</v>
      </c>
      <c r="KX5" s="346" t="s">
        <v>506</v>
      </c>
      <c r="KY5" s="347" t="s">
        <v>507</v>
      </c>
      <c r="KZ5" s="345" t="s">
        <v>503</v>
      </c>
      <c r="LA5" s="346" t="s">
        <v>504</v>
      </c>
      <c r="LB5" s="346" t="s">
        <v>505</v>
      </c>
      <c r="LC5" s="346" t="s">
        <v>506</v>
      </c>
      <c r="LD5" s="347" t="s">
        <v>507</v>
      </c>
      <c r="LE5" s="345" t="s">
        <v>503</v>
      </c>
      <c r="LF5" s="346" t="s">
        <v>504</v>
      </c>
      <c r="LG5" s="346" t="s">
        <v>505</v>
      </c>
      <c r="LH5" s="346" t="s">
        <v>506</v>
      </c>
      <c r="LI5" s="347" t="s">
        <v>507</v>
      </c>
      <c r="LJ5" s="345" t="s">
        <v>503</v>
      </c>
      <c r="LK5" s="346" t="s">
        <v>504</v>
      </c>
      <c r="LL5" s="346" t="s">
        <v>505</v>
      </c>
      <c r="LM5" s="346" t="s">
        <v>506</v>
      </c>
      <c r="LN5" s="347" t="s">
        <v>507</v>
      </c>
      <c r="LO5" s="345" t="s">
        <v>503</v>
      </c>
      <c r="LP5" s="346" t="s">
        <v>504</v>
      </c>
      <c r="LQ5" s="346" t="s">
        <v>505</v>
      </c>
      <c r="LR5" s="346" t="s">
        <v>506</v>
      </c>
      <c r="LS5" s="347" t="s">
        <v>507</v>
      </c>
      <c r="LT5" s="345" t="s">
        <v>503</v>
      </c>
      <c r="LU5" s="346" t="s">
        <v>504</v>
      </c>
      <c r="LV5" s="346" t="s">
        <v>505</v>
      </c>
      <c r="LW5" s="346" t="s">
        <v>506</v>
      </c>
      <c r="LX5" s="347" t="s">
        <v>507</v>
      </c>
      <c r="LY5" s="345" t="s">
        <v>503</v>
      </c>
      <c r="LZ5" s="346" t="s">
        <v>504</v>
      </c>
      <c r="MA5" s="346" t="s">
        <v>505</v>
      </c>
      <c r="MB5" s="346" t="s">
        <v>506</v>
      </c>
      <c r="MC5" s="347" t="s">
        <v>507</v>
      </c>
      <c r="MD5" s="345" t="s">
        <v>503</v>
      </c>
      <c r="ME5" s="346" t="s">
        <v>504</v>
      </c>
      <c r="MF5" s="346" t="s">
        <v>505</v>
      </c>
      <c r="MG5" s="346" t="s">
        <v>506</v>
      </c>
      <c r="MH5" s="347" t="s">
        <v>507</v>
      </c>
      <c r="MI5" s="345" t="s">
        <v>503</v>
      </c>
      <c r="MJ5" s="346" t="s">
        <v>504</v>
      </c>
      <c r="MK5" s="346" t="s">
        <v>505</v>
      </c>
      <c r="ML5" s="346" t="s">
        <v>506</v>
      </c>
      <c r="MM5" s="347" t="s">
        <v>507</v>
      </c>
      <c r="MN5" s="345" t="s">
        <v>503</v>
      </c>
      <c r="MO5" s="346" t="s">
        <v>504</v>
      </c>
      <c r="MP5" s="346" t="s">
        <v>505</v>
      </c>
      <c r="MQ5" s="346" t="s">
        <v>506</v>
      </c>
      <c r="MR5" s="347" t="s">
        <v>507</v>
      </c>
      <c r="MS5" s="345" t="s">
        <v>503</v>
      </c>
      <c r="MT5" s="346" t="s">
        <v>504</v>
      </c>
      <c r="MU5" s="346" t="s">
        <v>505</v>
      </c>
      <c r="MV5" s="346" t="s">
        <v>506</v>
      </c>
      <c r="MW5" s="347" t="s">
        <v>507</v>
      </c>
      <c r="MX5" s="345" t="s">
        <v>503</v>
      </c>
      <c r="MY5" s="346" t="s">
        <v>504</v>
      </c>
      <c r="MZ5" s="346" t="s">
        <v>505</v>
      </c>
      <c r="NA5" s="346" t="s">
        <v>506</v>
      </c>
      <c r="NB5" s="347" t="s">
        <v>507</v>
      </c>
      <c r="NC5" s="345" t="s">
        <v>503</v>
      </c>
      <c r="ND5" s="346" t="s">
        <v>504</v>
      </c>
      <c r="NE5" s="346" t="s">
        <v>505</v>
      </c>
      <c r="NF5" s="346" t="s">
        <v>506</v>
      </c>
      <c r="NG5" s="347" t="s">
        <v>507</v>
      </c>
      <c r="NH5" s="345" t="s">
        <v>503</v>
      </c>
      <c r="NI5" s="346" t="s">
        <v>504</v>
      </c>
      <c r="NJ5" s="346" t="s">
        <v>505</v>
      </c>
      <c r="NK5" s="346" t="s">
        <v>506</v>
      </c>
      <c r="NL5" s="347" t="s">
        <v>507</v>
      </c>
      <c r="NM5" s="345" t="s">
        <v>503</v>
      </c>
      <c r="NN5" s="346" t="s">
        <v>504</v>
      </c>
      <c r="NO5" s="346" t="s">
        <v>505</v>
      </c>
      <c r="NP5" s="346" t="s">
        <v>506</v>
      </c>
      <c r="NQ5" s="347" t="s">
        <v>507</v>
      </c>
      <c r="NR5" s="345" t="s">
        <v>503</v>
      </c>
      <c r="NS5" s="346" t="s">
        <v>504</v>
      </c>
      <c r="NT5" s="346" t="s">
        <v>505</v>
      </c>
      <c r="NU5" s="346" t="s">
        <v>506</v>
      </c>
      <c r="NV5" s="347" t="s">
        <v>507</v>
      </c>
      <c r="NW5" s="345" t="s">
        <v>503</v>
      </c>
      <c r="NX5" s="346" t="s">
        <v>504</v>
      </c>
      <c r="NY5" s="346" t="s">
        <v>505</v>
      </c>
      <c r="NZ5" s="346" t="s">
        <v>506</v>
      </c>
      <c r="OA5" s="347" t="s">
        <v>507</v>
      </c>
      <c r="OB5" s="345" t="s">
        <v>503</v>
      </c>
      <c r="OC5" s="346" t="s">
        <v>504</v>
      </c>
      <c r="OD5" s="346" t="s">
        <v>505</v>
      </c>
      <c r="OE5" s="346" t="s">
        <v>506</v>
      </c>
      <c r="OF5" s="347" t="s">
        <v>507</v>
      </c>
      <c r="OG5" s="345" t="s">
        <v>503</v>
      </c>
      <c r="OH5" s="346" t="s">
        <v>504</v>
      </c>
      <c r="OI5" s="346" t="s">
        <v>505</v>
      </c>
      <c r="OJ5" s="346" t="s">
        <v>506</v>
      </c>
      <c r="OK5" s="347" t="s">
        <v>507</v>
      </c>
      <c r="OL5" s="345" t="s">
        <v>503</v>
      </c>
      <c r="OM5" s="346" t="s">
        <v>504</v>
      </c>
      <c r="ON5" s="346" t="s">
        <v>505</v>
      </c>
      <c r="OO5" s="346" t="s">
        <v>506</v>
      </c>
      <c r="OP5" s="347" t="s">
        <v>507</v>
      </c>
      <c r="OQ5" s="345" t="s">
        <v>503</v>
      </c>
      <c r="OR5" s="346" t="s">
        <v>504</v>
      </c>
      <c r="OS5" s="346" t="s">
        <v>505</v>
      </c>
      <c r="OT5" s="346" t="s">
        <v>506</v>
      </c>
      <c r="OU5" s="347" t="s">
        <v>507</v>
      </c>
      <c r="OV5" s="345" t="s">
        <v>503</v>
      </c>
      <c r="OW5" s="346" t="s">
        <v>504</v>
      </c>
      <c r="OX5" s="346" t="s">
        <v>505</v>
      </c>
      <c r="OY5" s="346" t="s">
        <v>506</v>
      </c>
      <c r="OZ5" s="347" t="s">
        <v>507</v>
      </c>
      <c r="PA5" s="345" t="s">
        <v>503</v>
      </c>
      <c r="PB5" s="346" t="s">
        <v>504</v>
      </c>
      <c r="PC5" s="346" t="s">
        <v>505</v>
      </c>
      <c r="PD5" s="346" t="s">
        <v>506</v>
      </c>
      <c r="PE5" s="347" t="s">
        <v>507</v>
      </c>
      <c r="PF5" s="345" t="s">
        <v>503</v>
      </c>
      <c r="PG5" s="346" t="s">
        <v>504</v>
      </c>
      <c r="PH5" s="346" t="s">
        <v>505</v>
      </c>
      <c r="PI5" s="346" t="s">
        <v>506</v>
      </c>
      <c r="PJ5" s="347" t="s">
        <v>507</v>
      </c>
      <c r="PK5" s="345" t="s">
        <v>503</v>
      </c>
      <c r="PL5" s="346" t="s">
        <v>504</v>
      </c>
      <c r="PM5" s="346" t="s">
        <v>505</v>
      </c>
      <c r="PN5" s="346" t="s">
        <v>506</v>
      </c>
      <c r="PO5" s="347" t="s">
        <v>507</v>
      </c>
      <c r="PP5" s="345" t="s">
        <v>503</v>
      </c>
      <c r="PQ5" s="346" t="s">
        <v>504</v>
      </c>
      <c r="PR5" s="346" t="s">
        <v>505</v>
      </c>
      <c r="PS5" s="346" t="s">
        <v>506</v>
      </c>
      <c r="PT5" s="347" t="s">
        <v>507</v>
      </c>
      <c r="PU5" s="345" t="s">
        <v>503</v>
      </c>
      <c r="PV5" s="346" t="s">
        <v>504</v>
      </c>
      <c r="PW5" s="346" t="s">
        <v>505</v>
      </c>
      <c r="PX5" s="346" t="s">
        <v>506</v>
      </c>
      <c r="PY5" s="347" t="s">
        <v>507</v>
      </c>
      <c r="PZ5" s="345" t="s">
        <v>503</v>
      </c>
      <c r="QA5" s="346" t="s">
        <v>504</v>
      </c>
      <c r="QB5" s="346" t="s">
        <v>505</v>
      </c>
      <c r="QC5" s="346" t="s">
        <v>506</v>
      </c>
      <c r="QD5" s="347" t="s">
        <v>507</v>
      </c>
      <c r="QE5" s="345" t="s">
        <v>503</v>
      </c>
      <c r="QF5" s="346" t="s">
        <v>504</v>
      </c>
      <c r="QG5" s="346" t="s">
        <v>505</v>
      </c>
      <c r="QH5" s="346" t="s">
        <v>506</v>
      </c>
      <c r="QI5" s="347" t="s">
        <v>507</v>
      </c>
      <c r="QJ5" s="345" t="s">
        <v>503</v>
      </c>
      <c r="QK5" s="346" t="s">
        <v>504</v>
      </c>
      <c r="QL5" s="346" t="s">
        <v>505</v>
      </c>
      <c r="QM5" s="346" t="s">
        <v>506</v>
      </c>
      <c r="QN5" s="347" t="s">
        <v>507</v>
      </c>
      <c r="QO5" s="345" t="s">
        <v>503</v>
      </c>
      <c r="QP5" s="346" t="s">
        <v>504</v>
      </c>
      <c r="QQ5" s="346" t="s">
        <v>505</v>
      </c>
      <c r="QR5" s="346" t="s">
        <v>506</v>
      </c>
      <c r="QS5" s="347" t="s">
        <v>507</v>
      </c>
      <c r="QT5" s="345" t="s">
        <v>503</v>
      </c>
      <c r="QU5" s="346" t="s">
        <v>504</v>
      </c>
      <c r="QV5" s="346" t="s">
        <v>505</v>
      </c>
      <c r="QW5" s="346" t="s">
        <v>506</v>
      </c>
      <c r="QX5" s="347" t="s">
        <v>507</v>
      </c>
      <c r="QY5" s="345" t="s">
        <v>503</v>
      </c>
      <c r="QZ5" s="346" t="s">
        <v>504</v>
      </c>
      <c r="RA5" s="346" t="s">
        <v>505</v>
      </c>
      <c r="RB5" s="346" t="s">
        <v>506</v>
      </c>
      <c r="RC5" s="347" t="s">
        <v>507</v>
      </c>
      <c r="RD5" s="345" t="s">
        <v>503</v>
      </c>
      <c r="RE5" s="346" t="s">
        <v>504</v>
      </c>
      <c r="RF5" s="346" t="s">
        <v>505</v>
      </c>
      <c r="RG5" s="346" t="s">
        <v>506</v>
      </c>
      <c r="RH5" s="347" t="s">
        <v>507</v>
      </c>
      <c r="RI5" s="345" t="s">
        <v>503</v>
      </c>
      <c r="RJ5" s="346" t="s">
        <v>504</v>
      </c>
      <c r="RK5" s="346" t="s">
        <v>505</v>
      </c>
      <c r="RL5" s="346" t="s">
        <v>506</v>
      </c>
      <c r="RM5" s="347" t="s">
        <v>507</v>
      </c>
      <c r="RN5" s="345" t="s">
        <v>503</v>
      </c>
      <c r="RO5" s="346" t="s">
        <v>504</v>
      </c>
      <c r="RP5" s="346" t="s">
        <v>505</v>
      </c>
      <c r="RQ5" s="346" t="s">
        <v>506</v>
      </c>
      <c r="RR5" s="347" t="s">
        <v>507</v>
      </c>
      <c r="RS5" s="345" t="s">
        <v>503</v>
      </c>
      <c r="RT5" s="346" t="s">
        <v>504</v>
      </c>
      <c r="RU5" s="346" t="s">
        <v>505</v>
      </c>
      <c r="RV5" s="346" t="s">
        <v>506</v>
      </c>
      <c r="RW5" s="347" t="s">
        <v>507</v>
      </c>
      <c r="RX5" s="345" t="s">
        <v>503</v>
      </c>
      <c r="RY5" s="346" t="s">
        <v>504</v>
      </c>
      <c r="RZ5" s="346" t="s">
        <v>505</v>
      </c>
      <c r="SA5" s="346" t="s">
        <v>506</v>
      </c>
      <c r="SB5" s="347" t="s">
        <v>507</v>
      </c>
      <c r="SC5" s="345" t="s">
        <v>503</v>
      </c>
      <c r="SD5" s="346" t="s">
        <v>504</v>
      </c>
      <c r="SE5" s="346" t="s">
        <v>505</v>
      </c>
      <c r="SF5" s="346" t="s">
        <v>506</v>
      </c>
      <c r="SG5" s="347" t="s">
        <v>507</v>
      </c>
      <c r="SH5" s="345" t="s">
        <v>503</v>
      </c>
      <c r="SI5" s="346" t="s">
        <v>504</v>
      </c>
      <c r="SJ5" s="346" t="s">
        <v>505</v>
      </c>
      <c r="SK5" s="346" t="s">
        <v>506</v>
      </c>
      <c r="SL5" s="347" t="s">
        <v>507</v>
      </c>
      <c r="SM5" s="345" t="s">
        <v>503</v>
      </c>
      <c r="SN5" s="346" t="s">
        <v>504</v>
      </c>
      <c r="SO5" s="346" t="s">
        <v>505</v>
      </c>
      <c r="SP5" s="346" t="s">
        <v>506</v>
      </c>
      <c r="SQ5" s="347" t="s">
        <v>507</v>
      </c>
      <c r="SR5" s="345" t="s">
        <v>503</v>
      </c>
      <c r="SS5" s="346" t="s">
        <v>504</v>
      </c>
      <c r="ST5" s="346" t="s">
        <v>505</v>
      </c>
      <c r="SU5" s="346" t="s">
        <v>506</v>
      </c>
      <c r="SV5" s="347" t="s">
        <v>507</v>
      </c>
      <c r="SW5" s="345" t="s">
        <v>503</v>
      </c>
      <c r="SX5" s="346" t="s">
        <v>504</v>
      </c>
      <c r="SY5" s="346" t="s">
        <v>505</v>
      </c>
      <c r="SZ5" s="346" t="s">
        <v>506</v>
      </c>
      <c r="TA5" s="347" t="s">
        <v>507</v>
      </c>
      <c r="TB5" s="348" t="s">
        <v>508</v>
      </c>
    </row>
    <row r="6" customFormat="false" ht="15" hidden="false" customHeight="false" outlineLevel="0" collapsed="false">
      <c r="A6" s="349" t="s">
        <v>509</v>
      </c>
      <c r="B6" s="350" t="n">
        <v>5</v>
      </c>
      <c r="C6" s="351" t="n">
        <v>3</v>
      </c>
      <c r="D6" s="351" t="n">
        <v>5</v>
      </c>
      <c r="E6" s="351" t="n">
        <v>5</v>
      </c>
      <c r="F6" s="352" t="n">
        <v>5</v>
      </c>
      <c r="G6" s="350" t="n">
        <v>5</v>
      </c>
      <c r="H6" s="351" t="n">
        <v>5</v>
      </c>
      <c r="I6" s="351" t="n">
        <v>5</v>
      </c>
      <c r="J6" s="351" t="n">
        <v>5</v>
      </c>
      <c r="K6" s="352" t="n">
        <v>5</v>
      </c>
      <c r="L6" s="350" t="n">
        <v>5</v>
      </c>
      <c r="M6" s="351" t="n">
        <v>5</v>
      </c>
      <c r="N6" s="351" t="n">
        <v>5</v>
      </c>
      <c r="O6" s="351" t="n">
        <v>5</v>
      </c>
      <c r="P6" s="352" t="n">
        <v>5</v>
      </c>
      <c r="Q6" s="350" t="n">
        <v>5</v>
      </c>
      <c r="R6" s="351" t="n">
        <v>5</v>
      </c>
      <c r="S6" s="351" t="n">
        <v>5</v>
      </c>
      <c r="T6" s="351" t="n">
        <v>5</v>
      </c>
      <c r="U6" s="352" t="n">
        <v>5</v>
      </c>
      <c r="V6" s="350" t="n">
        <v>5</v>
      </c>
      <c r="W6" s="351" t="n">
        <v>5</v>
      </c>
      <c r="X6" s="351" t="n">
        <v>5</v>
      </c>
      <c r="Y6" s="351" t="n">
        <v>5</v>
      </c>
      <c r="Z6" s="352" t="n">
        <v>5</v>
      </c>
      <c r="AA6" s="350" t="n">
        <v>5</v>
      </c>
      <c r="AB6" s="351" t="n">
        <v>5</v>
      </c>
      <c r="AC6" s="351" t="n">
        <v>5</v>
      </c>
      <c r="AD6" s="351" t="n">
        <v>5</v>
      </c>
      <c r="AE6" s="352" t="n">
        <v>5</v>
      </c>
      <c r="AF6" s="350" t="n">
        <v>5</v>
      </c>
      <c r="AG6" s="351" t="n">
        <v>5</v>
      </c>
      <c r="AH6" s="351" t="n">
        <v>5</v>
      </c>
      <c r="AI6" s="351" t="n">
        <v>5</v>
      </c>
      <c r="AJ6" s="352" t="n">
        <v>5</v>
      </c>
      <c r="AK6" s="350" t="n">
        <v>5</v>
      </c>
      <c r="AL6" s="351" t="n">
        <v>5</v>
      </c>
      <c r="AM6" s="351" t="n">
        <v>5</v>
      </c>
      <c r="AN6" s="351" t="n">
        <v>5</v>
      </c>
      <c r="AO6" s="352" t="n">
        <v>5</v>
      </c>
      <c r="AP6" s="350" t="n">
        <v>3</v>
      </c>
      <c r="AQ6" s="351" t="n">
        <v>5</v>
      </c>
      <c r="AR6" s="351" t="n">
        <v>5</v>
      </c>
      <c r="AS6" s="351" t="n">
        <v>5</v>
      </c>
      <c r="AT6" s="352" t="n">
        <v>5</v>
      </c>
      <c r="AU6" s="350" t="n">
        <v>5</v>
      </c>
      <c r="AV6" s="351"/>
      <c r="AW6" s="351" t="n">
        <v>5</v>
      </c>
      <c r="AX6" s="351" t="n">
        <v>3</v>
      </c>
      <c r="AY6" s="352" t="n">
        <v>3</v>
      </c>
      <c r="AZ6" s="350" t="n">
        <v>5</v>
      </c>
      <c r="BA6" s="351"/>
      <c r="BB6" s="351" t="n">
        <v>5</v>
      </c>
      <c r="BC6" s="351" t="n">
        <v>5</v>
      </c>
      <c r="BD6" s="352" t="n">
        <v>5</v>
      </c>
      <c r="BE6" s="350" t="n">
        <v>5</v>
      </c>
      <c r="BF6" s="351" t="n">
        <v>5</v>
      </c>
      <c r="BG6" s="351" t="n">
        <v>5</v>
      </c>
      <c r="BH6" s="351" t="n">
        <v>5</v>
      </c>
      <c r="BI6" s="352" t="n">
        <v>5</v>
      </c>
      <c r="BJ6" s="350" t="n">
        <v>5</v>
      </c>
      <c r="BK6" s="351" t="n">
        <v>5</v>
      </c>
      <c r="BL6" s="351" t="n">
        <v>5</v>
      </c>
      <c r="BM6" s="351" t="n">
        <v>5</v>
      </c>
      <c r="BN6" s="351" t="n">
        <v>5</v>
      </c>
      <c r="BO6" s="350" t="n">
        <v>5</v>
      </c>
      <c r="BP6" s="351"/>
      <c r="BQ6" s="351" t="n">
        <v>5</v>
      </c>
      <c r="BR6" s="351" t="n">
        <v>5</v>
      </c>
      <c r="BS6" s="352" t="n">
        <v>5</v>
      </c>
      <c r="BT6" s="350" t="n">
        <v>5</v>
      </c>
      <c r="BU6" s="351" t="n">
        <v>5</v>
      </c>
      <c r="BV6" s="351" t="n">
        <v>5</v>
      </c>
      <c r="BW6" s="351" t="n">
        <v>5</v>
      </c>
      <c r="BX6" s="352" t="n">
        <v>3</v>
      </c>
      <c r="BY6" s="350" t="n">
        <v>5</v>
      </c>
      <c r="BZ6" s="350" t="n">
        <v>5</v>
      </c>
      <c r="CA6" s="351" t="n">
        <v>5</v>
      </c>
      <c r="CB6" s="351" t="n">
        <v>5</v>
      </c>
      <c r="CC6" s="352" t="n">
        <v>5</v>
      </c>
      <c r="CD6" s="350" t="n">
        <v>5</v>
      </c>
      <c r="CE6" s="351" t="n">
        <v>5</v>
      </c>
      <c r="CF6" s="351" t="n">
        <v>5</v>
      </c>
      <c r="CG6" s="351" t="n">
        <v>5</v>
      </c>
      <c r="CH6" s="352" t="n">
        <v>5</v>
      </c>
      <c r="CI6" s="350"/>
      <c r="CJ6" s="351"/>
      <c r="CK6" s="351"/>
      <c r="CL6" s="351"/>
      <c r="CM6" s="352"/>
      <c r="CN6" s="350" t="n">
        <v>5</v>
      </c>
      <c r="CO6" s="351"/>
      <c r="CP6" s="351" t="n">
        <v>5</v>
      </c>
      <c r="CQ6" s="351" t="n">
        <v>5</v>
      </c>
      <c r="CR6" s="352" t="n">
        <v>5</v>
      </c>
      <c r="CS6" s="350" t="n">
        <v>5</v>
      </c>
      <c r="CT6" s="351" t="n">
        <v>5</v>
      </c>
      <c r="CU6" s="351" t="n">
        <v>5</v>
      </c>
      <c r="CV6" s="351" t="n">
        <v>5</v>
      </c>
      <c r="CW6" s="352" t="n">
        <v>5</v>
      </c>
      <c r="CX6" s="350" t="n">
        <v>3</v>
      </c>
      <c r="CY6" s="351" t="n">
        <v>5</v>
      </c>
      <c r="CZ6" s="351" t="n">
        <v>5</v>
      </c>
      <c r="DA6" s="351" t="n">
        <v>3</v>
      </c>
      <c r="DB6" s="352" t="n">
        <v>3</v>
      </c>
      <c r="DC6" s="350" t="n">
        <v>5</v>
      </c>
      <c r="DD6" s="351" t="n">
        <v>5</v>
      </c>
      <c r="DE6" s="351" t="n">
        <v>5</v>
      </c>
      <c r="DF6" s="351" t="n">
        <v>5</v>
      </c>
      <c r="DG6" s="352" t="n">
        <v>5</v>
      </c>
      <c r="DH6" s="350" t="n">
        <v>3</v>
      </c>
      <c r="DI6" s="351" t="n">
        <v>5</v>
      </c>
      <c r="DJ6" s="351" t="n">
        <v>5</v>
      </c>
      <c r="DK6" s="351" t="n">
        <v>5</v>
      </c>
      <c r="DL6" s="352" t="n">
        <v>5</v>
      </c>
      <c r="DM6" s="350" t="n">
        <v>5</v>
      </c>
      <c r="DN6" s="351" t="n">
        <v>5</v>
      </c>
      <c r="DO6" s="351" t="n">
        <v>5</v>
      </c>
      <c r="DP6" s="351" t="n">
        <v>5</v>
      </c>
      <c r="DQ6" s="352" t="n">
        <v>5</v>
      </c>
      <c r="DR6" s="350" t="n">
        <v>5</v>
      </c>
      <c r="DS6" s="351"/>
      <c r="DT6" s="351" t="n">
        <v>5</v>
      </c>
      <c r="DU6" s="351" t="n">
        <v>3</v>
      </c>
      <c r="DV6" s="352" t="n">
        <v>3</v>
      </c>
      <c r="DW6" s="350"/>
      <c r="DX6" s="351"/>
      <c r="DY6" s="351"/>
      <c r="DZ6" s="351"/>
      <c r="EA6" s="352"/>
      <c r="EB6" s="350" t="n">
        <v>5</v>
      </c>
      <c r="EC6" s="351" t="n">
        <v>5</v>
      </c>
      <c r="ED6" s="351" t="n">
        <v>5</v>
      </c>
      <c r="EE6" s="351" t="n">
        <v>5</v>
      </c>
      <c r="EF6" s="352" t="n">
        <v>5</v>
      </c>
      <c r="EG6" s="350"/>
      <c r="EH6" s="351"/>
      <c r="EI6" s="351"/>
      <c r="EJ6" s="351"/>
      <c r="EK6" s="352"/>
      <c r="EL6" s="350"/>
      <c r="EM6" s="351" t="n">
        <v>5</v>
      </c>
      <c r="EN6" s="351" t="n">
        <v>5</v>
      </c>
      <c r="EO6" s="351" t="n">
        <v>5</v>
      </c>
      <c r="EP6" s="352" t="n">
        <v>5</v>
      </c>
      <c r="EQ6" s="351" t="n">
        <v>5</v>
      </c>
      <c r="ER6" s="353" t="n">
        <v>5</v>
      </c>
      <c r="ES6" s="351" t="n">
        <v>5</v>
      </c>
      <c r="ET6" s="351" t="n">
        <v>3</v>
      </c>
      <c r="EU6" s="352" t="n">
        <v>5</v>
      </c>
      <c r="EV6" s="350" t="n">
        <v>5</v>
      </c>
      <c r="EW6" s="351" t="n">
        <v>5</v>
      </c>
      <c r="EX6" s="351" t="n">
        <v>5</v>
      </c>
      <c r="EY6" s="351" t="n">
        <v>3</v>
      </c>
      <c r="EZ6" s="352" t="n">
        <v>1</v>
      </c>
      <c r="FA6" s="350" t="n">
        <v>5</v>
      </c>
      <c r="FB6" s="351" t="n">
        <v>5</v>
      </c>
      <c r="FC6" s="351" t="n">
        <v>5</v>
      </c>
      <c r="FD6" s="351" t="n">
        <v>5</v>
      </c>
      <c r="FE6" s="352" t="n">
        <v>5</v>
      </c>
      <c r="FF6" s="350" t="n">
        <v>5</v>
      </c>
      <c r="FG6" s="351" t="n">
        <v>5</v>
      </c>
      <c r="FH6" s="351" t="n">
        <v>5</v>
      </c>
      <c r="FI6" s="351" t="n">
        <v>5</v>
      </c>
      <c r="FJ6" s="352" t="n">
        <v>3</v>
      </c>
      <c r="FK6" s="350" t="n">
        <v>3</v>
      </c>
      <c r="FL6" s="351" t="n">
        <v>5</v>
      </c>
      <c r="FM6" s="351" t="n">
        <v>5</v>
      </c>
      <c r="FN6" s="351" t="n">
        <v>5</v>
      </c>
      <c r="FO6" s="352" t="n">
        <v>3</v>
      </c>
      <c r="FP6" s="350" t="n">
        <v>5</v>
      </c>
      <c r="FQ6" s="350" t="n">
        <v>5</v>
      </c>
      <c r="FR6" s="350" t="n">
        <v>5</v>
      </c>
      <c r="FS6" s="351" t="n">
        <v>3</v>
      </c>
      <c r="FT6" s="352" t="n">
        <v>5</v>
      </c>
      <c r="FU6" s="350" t="n">
        <v>5</v>
      </c>
      <c r="FV6" s="351" t="n">
        <v>5</v>
      </c>
      <c r="FW6" s="351" t="n">
        <v>3</v>
      </c>
      <c r="FX6" s="351" t="n">
        <v>3</v>
      </c>
      <c r="FY6" s="352" t="n">
        <v>5</v>
      </c>
      <c r="FZ6" s="350"/>
      <c r="GA6" s="351"/>
      <c r="GB6" s="351"/>
      <c r="GC6" s="351"/>
      <c r="GD6" s="352"/>
      <c r="GE6" s="350" t="n">
        <v>5</v>
      </c>
      <c r="GF6" s="351" t="n">
        <v>5</v>
      </c>
      <c r="GG6" s="351"/>
      <c r="GH6" s="351" t="n">
        <v>3</v>
      </c>
      <c r="GI6" s="352" t="n">
        <v>3</v>
      </c>
      <c r="GJ6" s="350" t="n">
        <v>3</v>
      </c>
      <c r="GK6" s="351" t="n">
        <v>3</v>
      </c>
      <c r="GL6" s="351" t="n">
        <v>3</v>
      </c>
      <c r="GM6" s="351" t="n">
        <v>3</v>
      </c>
      <c r="GN6" s="352" t="n">
        <v>3</v>
      </c>
      <c r="GO6" s="350"/>
      <c r="GP6" s="351"/>
      <c r="GQ6" s="351"/>
      <c r="GR6" s="351"/>
      <c r="GS6" s="352"/>
      <c r="GT6" s="350"/>
      <c r="GU6" s="351"/>
      <c r="GV6" s="351"/>
      <c r="GW6" s="351"/>
      <c r="GX6" s="352"/>
      <c r="GY6" s="350"/>
      <c r="GZ6" s="351"/>
      <c r="HA6" s="351"/>
      <c r="HB6" s="351"/>
      <c r="HC6" s="352"/>
      <c r="HD6" s="350" t="n">
        <v>3</v>
      </c>
      <c r="HE6" s="351" t="n">
        <v>5</v>
      </c>
      <c r="HF6" s="351" t="n">
        <v>5</v>
      </c>
      <c r="HG6" s="351" t="n">
        <v>3</v>
      </c>
      <c r="HH6" s="352" t="n">
        <v>3</v>
      </c>
      <c r="HI6" s="350" t="n">
        <v>5</v>
      </c>
      <c r="HJ6" s="351" t="n">
        <v>5</v>
      </c>
      <c r="HK6" s="351" t="n">
        <v>5</v>
      </c>
      <c r="HL6" s="351" t="n">
        <v>3</v>
      </c>
      <c r="HM6" s="352" t="n">
        <v>5</v>
      </c>
      <c r="HN6" s="350" t="n">
        <v>5</v>
      </c>
      <c r="HO6" s="351" t="n">
        <v>5</v>
      </c>
      <c r="HP6" s="351" t="n">
        <v>5</v>
      </c>
      <c r="HQ6" s="351" t="n">
        <v>5</v>
      </c>
      <c r="HR6" s="352" t="n">
        <v>3</v>
      </c>
      <c r="HS6" s="350" t="n">
        <v>5</v>
      </c>
      <c r="HT6" s="351" t="n">
        <v>5</v>
      </c>
      <c r="HU6" s="351" t="n">
        <v>5</v>
      </c>
      <c r="HV6" s="351" t="n">
        <v>5</v>
      </c>
      <c r="HW6" s="352" t="n">
        <v>3</v>
      </c>
      <c r="HX6" s="350" t="n">
        <v>5</v>
      </c>
      <c r="HY6" s="351" t="n">
        <v>5</v>
      </c>
      <c r="HZ6" s="351" t="n">
        <v>5</v>
      </c>
      <c r="IA6" s="351" t="n">
        <v>3</v>
      </c>
      <c r="IB6" s="352" t="n">
        <v>5</v>
      </c>
      <c r="IC6" s="350" t="n">
        <v>5</v>
      </c>
      <c r="ID6" s="351" t="n">
        <v>5</v>
      </c>
      <c r="IE6" s="351" t="n">
        <v>5</v>
      </c>
      <c r="IF6" s="351" t="n">
        <v>3</v>
      </c>
      <c r="IG6" s="352" t="n">
        <v>5</v>
      </c>
      <c r="IH6" s="350" t="n">
        <v>5</v>
      </c>
      <c r="II6" s="351" t="n">
        <v>5</v>
      </c>
      <c r="IJ6" s="351" t="n">
        <v>5</v>
      </c>
      <c r="IK6" s="351" t="n">
        <v>3</v>
      </c>
      <c r="IL6" s="352" t="n">
        <v>5</v>
      </c>
      <c r="IM6" s="350" t="n">
        <v>5</v>
      </c>
      <c r="IN6" s="351" t="n">
        <v>5</v>
      </c>
      <c r="IO6" s="351" t="n">
        <v>5</v>
      </c>
      <c r="IP6" s="351" t="n">
        <v>3</v>
      </c>
      <c r="IQ6" s="352" t="n">
        <v>5</v>
      </c>
      <c r="IR6" s="350" t="n">
        <v>5</v>
      </c>
      <c r="IS6" s="351" t="n">
        <v>5</v>
      </c>
      <c r="IT6" s="351" t="n">
        <v>5</v>
      </c>
      <c r="IU6" s="351" t="n">
        <v>3</v>
      </c>
      <c r="IV6" s="352" t="n">
        <v>5</v>
      </c>
      <c r="IW6" s="350" t="n">
        <v>5</v>
      </c>
      <c r="IX6" s="351" t="n">
        <v>5</v>
      </c>
      <c r="IY6" s="351" t="n">
        <v>5</v>
      </c>
      <c r="IZ6" s="351" t="n">
        <v>3</v>
      </c>
      <c r="JA6" s="352" t="n">
        <v>5</v>
      </c>
      <c r="JB6" s="350" t="n">
        <v>5</v>
      </c>
      <c r="JC6" s="351" t="n">
        <v>5</v>
      </c>
      <c r="JD6" s="351" t="n">
        <v>5</v>
      </c>
      <c r="JE6" s="351" t="n">
        <v>3</v>
      </c>
      <c r="JF6" s="352" t="n">
        <v>5</v>
      </c>
      <c r="JG6" s="350" t="n">
        <v>5</v>
      </c>
      <c r="JH6" s="351" t="n">
        <v>5</v>
      </c>
      <c r="JI6" s="351" t="n">
        <v>5</v>
      </c>
      <c r="JJ6" s="351" t="n">
        <v>3</v>
      </c>
      <c r="JK6" s="352" t="n">
        <v>5</v>
      </c>
      <c r="JL6" s="350" t="n">
        <v>5</v>
      </c>
      <c r="JM6" s="351" t="n">
        <v>5</v>
      </c>
      <c r="JN6" s="351" t="n">
        <v>5</v>
      </c>
      <c r="JO6" s="351" t="n">
        <v>3</v>
      </c>
      <c r="JP6" s="352" t="n">
        <v>5</v>
      </c>
      <c r="JQ6" s="350" t="n">
        <v>5</v>
      </c>
      <c r="JR6" s="351" t="n">
        <v>5</v>
      </c>
      <c r="JS6" s="351" t="n">
        <v>5</v>
      </c>
      <c r="JT6" s="351" t="n">
        <v>3</v>
      </c>
      <c r="JU6" s="352" t="n">
        <v>5</v>
      </c>
      <c r="JV6" s="350" t="n">
        <v>5</v>
      </c>
      <c r="JW6" s="351" t="n">
        <v>5</v>
      </c>
      <c r="JX6" s="351" t="n">
        <v>5</v>
      </c>
      <c r="JY6" s="351" t="n">
        <v>3</v>
      </c>
      <c r="JZ6" s="352" t="n">
        <v>5</v>
      </c>
      <c r="KA6" s="350" t="n">
        <v>5</v>
      </c>
      <c r="KB6" s="351" t="n">
        <v>5</v>
      </c>
      <c r="KC6" s="351" t="n">
        <v>5</v>
      </c>
      <c r="KD6" s="351" t="n">
        <v>3</v>
      </c>
      <c r="KE6" s="352" t="n">
        <v>5</v>
      </c>
      <c r="KF6" s="350" t="n">
        <v>5</v>
      </c>
      <c r="KG6" s="351" t="n">
        <v>5</v>
      </c>
      <c r="KH6" s="351" t="n">
        <v>5</v>
      </c>
      <c r="KI6" s="351" t="n">
        <v>3</v>
      </c>
      <c r="KJ6" s="352" t="n">
        <v>5</v>
      </c>
      <c r="KK6" s="350" t="n">
        <v>5</v>
      </c>
      <c r="KL6" s="351" t="n">
        <v>5</v>
      </c>
      <c r="KM6" s="351" t="n">
        <v>5</v>
      </c>
      <c r="KN6" s="351" t="n">
        <v>3</v>
      </c>
      <c r="KO6" s="352" t="n">
        <v>5</v>
      </c>
      <c r="KP6" s="350" t="n">
        <v>5</v>
      </c>
      <c r="KQ6" s="351" t="n">
        <v>5</v>
      </c>
      <c r="KR6" s="351" t="n">
        <v>5</v>
      </c>
      <c r="KS6" s="351" t="n">
        <v>3</v>
      </c>
      <c r="KT6" s="352" t="n">
        <v>5</v>
      </c>
      <c r="KU6" s="350" t="n">
        <v>5</v>
      </c>
      <c r="KV6" s="351" t="n">
        <v>5</v>
      </c>
      <c r="KW6" s="351" t="n">
        <v>5</v>
      </c>
      <c r="KX6" s="351" t="n">
        <v>3</v>
      </c>
      <c r="KY6" s="352" t="n">
        <v>5</v>
      </c>
      <c r="KZ6" s="350" t="n">
        <v>5</v>
      </c>
      <c r="LA6" s="351" t="n">
        <v>5</v>
      </c>
      <c r="LB6" s="351" t="n">
        <v>5</v>
      </c>
      <c r="LC6" s="351" t="n">
        <v>3</v>
      </c>
      <c r="LD6" s="352" t="n">
        <v>5</v>
      </c>
      <c r="LE6" s="350" t="n">
        <v>5</v>
      </c>
      <c r="LF6" s="351" t="n">
        <v>5</v>
      </c>
      <c r="LG6" s="351" t="n">
        <v>5</v>
      </c>
      <c r="LH6" s="351" t="n">
        <v>3</v>
      </c>
      <c r="LI6" s="352" t="n">
        <v>5</v>
      </c>
      <c r="LJ6" s="350" t="n">
        <v>5</v>
      </c>
      <c r="LK6" s="351" t="n">
        <v>5</v>
      </c>
      <c r="LL6" s="351" t="n">
        <v>5</v>
      </c>
      <c r="LM6" s="351" t="n">
        <v>3</v>
      </c>
      <c r="LN6" s="352" t="n">
        <v>5</v>
      </c>
      <c r="LO6" s="350" t="n">
        <v>5</v>
      </c>
      <c r="LP6" s="351" t="n">
        <v>5</v>
      </c>
      <c r="LQ6" s="351" t="n">
        <v>5</v>
      </c>
      <c r="LR6" s="351" t="n">
        <v>3</v>
      </c>
      <c r="LS6" s="352" t="n">
        <v>5</v>
      </c>
      <c r="LT6" s="350" t="n">
        <v>5</v>
      </c>
      <c r="LU6" s="351" t="n">
        <v>5</v>
      </c>
      <c r="LV6" s="351" t="n">
        <v>5</v>
      </c>
      <c r="LW6" s="351" t="n">
        <v>3</v>
      </c>
      <c r="LX6" s="352" t="n">
        <v>5</v>
      </c>
      <c r="LY6" s="350" t="n">
        <v>5</v>
      </c>
      <c r="LZ6" s="351" t="n">
        <v>5</v>
      </c>
      <c r="MA6" s="351" t="n">
        <v>5</v>
      </c>
      <c r="MB6" s="351" t="n">
        <v>3</v>
      </c>
      <c r="MC6" s="352" t="n">
        <v>5</v>
      </c>
      <c r="MD6" s="350" t="n">
        <v>5</v>
      </c>
      <c r="ME6" s="351" t="n">
        <v>5</v>
      </c>
      <c r="MF6" s="351" t="n">
        <v>5</v>
      </c>
      <c r="MG6" s="351" t="n">
        <v>3</v>
      </c>
      <c r="MH6" s="352" t="n">
        <v>5</v>
      </c>
      <c r="MI6" s="350" t="n">
        <v>5</v>
      </c>
      <c r="MJ6" s="351" t="n">
        <v>5</v>
      </c>
      <c r="MK6" s="351" t="n">
        <v>5</v>
      </c>
      <c r="ML6" s="351" t="n">
        <v>3</v>
      </c>
      <c r="MM6" s="352" t="n">
        <v>5</v>
      </c>
      <c r="MN6" s="350" t="n">
        <v>5</v>
      </c>
      <c r="MO6" s="351" t="n">
        <v>5</v>
      </c>
      <c r="MP6" s="351" t="n">
        <v>5</v>
      </c>
      <c r="MQ6" s="351" t="n">
        <v>3</v>
      </c>
      <c r="MR6" s="352" t="n">
        <v>5</v>
      </c>
      <c r="MS6" s="350" t="n">
        <v>5</v>
      </c>
      <c r="MT6" s="351" t="n">
        <v>5</v>
      </c>
      <c r="MU6" s="351" t="n">
        <v>5</v>
      </c>
      <c r="MV6" s="351" t="n">
        <v>3</v>
      </c>
      <c r="MW6" s="352" t="n">
        <v>5</v>
      </c>
      <c r="MX6" s="350" t="n">
        <v>5</v>
      </c>
      <c r="MY6" s="351" t="n">
        <v>5</v>
      </c>
      <c r="MZ6" s="351" t="n">
        <v>5</v>
      </c>
      <c r="NA6" s="351" t="n">
        <v>3</v>
      </c>
      <c r="NB6" s="352" t="n">
        <v>5</v>
      </c>
      <c r="NC6" s="350" t="n">
        <v>5</v>
      </c>
      <c r="ND6" s="351" t="n">
        <v>5</v>
      </c>
      <c r="NE6" s="351" t="n">
        <v>5</v>
      </c>
      <c r="NF6" s="351" t="n">
        <v>3</v>
      </c>
      <c r="NG6" s="352" t="n">
        <v>5</v>
      </c>
      <c r="NH6" s="350" t="n">
        <v>5</v>
      </c>
      <c r="NI6" s="351" t="n">
        <v>5</v>
      </c>
      <c r="NJ6" s="351" t="n">
        <v>5</v>
      </c>
      <c r="NK6" s="351" t="n">
        <v>3</v>
      </c>
      <c r="NL6" s="352" t="n">
        <v>5</v>
      </c>
      <c r="NM6" s="350" t="n">
        <v>5</v>
      </c>
      <c r="NN6" s="351" t="n">
        <v>5</v>
      </c>
      <c r="NO6" s="351" t="n">
        <v>5</v>
      </c>
      <c r="NP6" s="351" t="n">
        <v>3</v>
      </c>
      <c r="NQ6" s="352" t="n">
        <v>5</v>
      </c>
      <c r="NR6" s="350" t="n">
        <v>5</v>
      </c>
      <c r="NS6" s="351" t="n">
        <v>5</v>
      </c>
      <c r="NT6" s="351" t="n">
        <v>5</v>
      </c>
      <c r="NU6" s="351" t="n">
        <v>3</v>
      </c>
      <c r="NV6" s="352" t="n">
        <v>5</v>
      </c>
      <c r="NW6" s="350" t="n">
        <v>5</v>
      </c>
      <c r="NX6" s="351" t="n">
        <v>5</v>
      </c>
      <c r="NY6" s="351" t="n">
        <v>5</v>
      </c>
      <c r="NZ6" s="351" t="n">
        <v>3</v>
      </c>
      <c r="OA6" s="352" t="n">
        <v>5</v>
      </c>
      <c r="OB6" s="350" t="n">
        <v>5</v>
      </c>
      <c r="OC6" s="351" t="n">
        <v>5</v>
      </c>
      <c r="OD6" s="351" t="n">
        <v>5</v>
      </c>
      <c r="OE6" s="351" t="n">
        <v>3</v>
      </c>
      <c r="OF6" s="352" t="n">
        <v>5</v>
      </c>
      <c r="OG6" s="350" t="n">
        <v>5</v>
      </c>
      <c r="OH6" s="351" t="n">
        <v>5</v>
      </c>
      <c r="OI6" s="351" t="n">
        <v>5</v>
      </c>
      <c r="OJ6" s="351" t="n">
        <v>3</v>
      </c>
      <c r="OK6" s="352" t="n">
        <v>5</v>
      </c>
      <c r="OL6" s="350" t="n">
        <v>5</v>
      </c>
      <c r="OM6" s="351" t="n">
        <v>5</v>
      </c>
      <c r="ON6" s="351" t="n">
        <v>5</v>
      </c>
      <c r="OO6" s="351" t="n">
        <v>3</v>
      </c>
      <c r="OP6" s="352" t="n">
        <v>5</v>
      </c>
      <c r="OQ6" s="350" t="n">
        <v>5</v>
      </c>
      <c r="OR6" s="351" t="n">
        <v>5</v>
      </c>
      <c r="OS6" s="351" t="n">
        <v>5</v>
      </c>
      <c r="OT6" s="351" t="n">
        <v>3</v>
      </c>
      <c r="OU6" s="352" t="n">
        <v>5</v>
      </c>
      <c r="OV6" s="350" t="n">
        <v>5</v>
      </c>
      <c r="OW6" s="351" t="n">
        <v>5</v>
      </c>
      <c r="OX6" s="351" t="n">
        <v>5</v>
      </c>
      <c r="OY6" s="351" t="n">
        <v>3</v>
      </c>
      <c r="OZ6" s="352" t="n">
        <v>5</v>
      </c>
      <c r="PA6" s="350" t="n">
        <v>5</v>
      </c>
      <c r="PB6" s="351" t="n">
        <v>5</v>
      </c>
      <c r="PC6" s="351" t="n">
        <v>5</v>
      </c>
      <c r="PD6" s="351" t="n">
        <v>3</v>
      </c>
      <c r="PE6" s="352" t="n">
        <v>5</v>
      </c>
      <c r="PF6" s="350" t="n">
        <v>5</v>
      </c>
      <c r="PG6" s="351" t="n">
        <v>5</v>
      </c>
      <c r="PH6" s="351" t="n">
        <v>5</v>
      </c>
      <c r="PI6" s="351" t="n">
        <v>3</v>
      </c>
      <c r="PJ6" s="352" t="n">
        <v>5</v>
      </c>
      <c r="PK6" s="350" t="n">
        <v>5</v>
      </c>
      <c r="PL6" s="351" t="n">
        <v>5</v>
      </c>
      <c r="PM6" s="351" t="n">
        <v>5</v>
      </c>
      <c r="PN6" s="351" t="n">
        <v>3</v>
      </c>
      <c r="PO6" s="352" t="n">
        <v>5</v>
      </c>
      <c r="PP6" s="350" t="n">
        <v>5</v>
      </c>
      <c r="PQ6" s="351" t="n">
        <v>5</v>
      </c>
      <c r="PR6" s="351" t="n">
        <v>5</v>
      </c>
      <c r="PS6" s="351" t="n">
        <v>3</v>
      </c>
      <c r="PT6" s="352" t="n">
        <v>5</v>
      </c>
      <c r="PU6" s="350" t="n">
        <v>5</v>
      </c>
      <c r="PV6" s="351" t="n">
        <v>5</v>
      </c>
      <c r="PW6" s="351" t="n">
        <v>5</v>
      </c>
      <c r="PX6" s="351" t="n">
        <v>3</v>
      </c>
      <c r="PY6" s="352" t="n">
        <v>5</v>
      </c>
      <c r="PZ6" s="350" t="n">
        <v>5</v>
      </c>
      <c r="QA6" s="351" t="n">
        <v>5</v>
      </c>
      <c r="QB6" s="351" t="n">
        <v>5</v>
      </c>
      <c r="QC6" s="351" t="n">
        <v>3</v>
      </c>
      <c r="QD6" s="352" t="n">
        <v>5</v>
      </c>
      <c r="QE6" s="350" t="n">
        <v>5</v>
      </c>
      <c r="QF6" s="351" t="n">
        <v>5</v>
      </c>
      <c r="QG6" s="351" t="n">
        <v>5</v>
      </c>
      <c r="QH6" s="351" t="n">
        <v>3</v>
      </c>
      <c r="QI6" s="352" t="n">
        <v>5</v>
      </c>
      <c r="QJ6" s="350" t="n">
        <v>5</v>
      </c>
      <c r="QK6" s="351" t="n">
        <v>5</v>
      </c>
      <c r="QL6" s="351" t="n">
        <v>5</v>
      </c>
      <c r="QM6" s="351" t="n">
        <v>3</v>
      </c>
      <c r="QN6" s="352" t="n">
        <v>5</v>
      </c>
      <c r="QO6" s="350" t="n">
        <v>5</v>
      </c>
      <c r="QP6" s="351" t="n">
        <v>5</v>
      </c>
      <c r="QQ6" s="351" t="n">
        <v>5</v>
      </c>
      <c r="QR6" s="351" t="n">
        <v>3</v>
      </c>
      <c r="QS6" s="352" t="n">
        <v>5</v>
      </c>
      <c r="QT6" s="350" t="n">
        <v>5</v>
      </c>
      <c r="QU6" s="351" t="n">
        <v>5</v>
      </c>
      <c r="QV6" s="351" t="n">
        <v>5</v>
      </c>
      <c r="QW6" s="351" t="n">
        <v>3</v>
      </c>
      <c r="QX6" s="352" t="n">
        <v>5</v>
      </c>
      <c r="QY6" s="350" t="n">
        <v>5</v>
      </c>
      <c r="QZ6" s="351" t="n">
        <v>5</v>
      </c>
      <c r="RA6" s="351" t="n">
        <v>5</v>
      </c>
      <c r="RB6" s="351" t="n">
        <v>3</v>
      </c>
      <c r="RC6" s="352" t="n">
        <v>5</v>
      </c>
      <c r="RD6" s="350" t="n">
        <v>5</v>
      </c>
      <c r="RE6" s="351" t="n">
        <v>5</v>
      </c>
      <c r="RF6" s="351" t="n">
        <v>5</v>
      </c>
      <c r="RG6" s="351" t="n">
        <v>3</v>
      </c>
      <c r="RH6" s="352" t="n">
        <v>5</v>
      </c>
      <c r="RI6" s="350" t="n">
        <v>5</v>
      </c>
      <c r="RJ6" s="351" t="n">
        <v>5</v>
      </c>
      <c r="RK6" s="351" t="n">
        <v>5</v>
      </c>
      <c r="RL6" s="351" t="n">
        <v>3</v>
      </c>
      <c r="RM6" s="352" t="n">
        <v>5</v>
      </c>
      <c r="RN6" s="350" t="n">
        <v>5</v>
      </c>
      <c r="RO6" s="351" t="n">
        <v>5</v>
      </c>
      <c r="RP6" s="351" t="n">
        <v>5</v>
      </c>
      <c r="RQ6" s="351" t="n">
        <v>3</v>
      </c>
      <c r="RR6" s="352" t="n">
        <v>5</v>
      </c>
      <c r="RS6" s="350" t="n">
        <v>5</v>
      </c>
      <c r="RT6" s="351" t="n">
        <v>5</v>
      </c>
      <c r="RU6" s="351" t="n">
        <v>5</v>
      </c>
      <c r="RV6" s="351" t="n">
        <v>3</v>
      </c>
      <c r="RW6" s="352" t="n">
        <v>5</v>
      </c>
      <c r="RX6" s="350" t="n">
        <v>5</v>
      </c>
      <c r="RY6" s="351" t="n">
        <v>5</v>
      </c>
      <c r="RZ6" s="351" t="n">
        <v>5</v>
      </c>
      <c r="SA6" s="351" t="n">
        <v>3</v>
      </c>
      <c r="SB6" s="352" t="n">
        <v>5</v>
      </c>
      <c r="SC6" s="350" t="n">
        <v>5</v>
      </c>
      <c r="SD6" s="351" t="n">
        <v>5</v>
      </c>
      <c r="SE6" s="351" t="n">
        <v>5</v>
      </c>
      <c r="SF6" s="351" t="n">
        <v>3</v>
      </c>
      <c r="SG6" s="352" t="n">
        <v>5</v>
      </c>
      <c r="SH6" s="350" t="n">
        <v>5</v>
      </c>
      <c r="SI6" s="351" t="n">
        <v>5</v>
      </c>
      <c r="SJ6" s="351" t="n">
        <v>5</v>
      </c>
      <c r="SK6" s="351" t="n">
        <v>3</v>
      </c>
      <c r="SL6" s="352" t="n">
        <v>5</v>
      </c>
      <c r="SM6" s="350" t="n">
        <v>5</v>
      </c>
      <c r="SN6" s="351" t="n">
        <v>5</v>
      </c>
      <c r="SO6" s="351" t="n">
        <v>5</v>
      </c>
      <c r="SP6" s="351" t="n">
        <v>3</v>
      </c>
      <c r="SQ6" s="352" t="n">
        <v>5</v>
      </c>
      <c r="SR6" s="350" t="n">
        <v>5</v>
      </c>
      <c r="SS6" s="351" t="n">
        <v>5</v>
      </c>
      <c r="ST6" s="351" t="n">
        <v>5</v>
      </c>
      <c r="SU6" s="351" t="n">
        <v>3</v>
      </c>
      <c r="SV6" s="352" t="n">
        <v>5</v>
      </c>
      <c r="SW6" s="350" t="n">
        <v>3</v>
      </c>
      <c r="SX6" s="351" t="n">
        <v>5</v>
      </c>
      <c r="SY6" s="351" t="n">
        <v>3</v>
      </c>
      <c r="SZ6" s="351" t="n">
        <v>3</v>
      </c>
      <c r="TA6" s="352" t="n">
        <v>5</v>
      </c>
      <c r="TB6" s="354" t="n">
        <f aca="false">+AVERAGE(B6:IB6)</f>
        <v>4.63730569948187</v>
      </c>
      <c r="TD6" s="355" t="s">
        <v>510</v>
      </c>
    </row>
    <row r="7" customFormat="false" ht="15" hidden="false" customHeight="false" outlineLevel="0" collapsed="false">
      <c r="A7" s="356" t="s">
        <v>511</v>
      </c>
      <c r="B7" s="350" t="n">
        <v>3</v>
      </c>
      <c r="C7" s="351" t="n">
        <v>3</v>
      </c>
      <c r="D7" s="351" t="n">
        <v>3</v>
      </c>
      <c r="E7" s="351" t="n">
        <v>5</v>
      </c>
      <c r="F7" s="352" t="n">
        <v>5</v>
      </c>
      <c r="G7" s="350" t="n">
        <v>3</v>
      </c>
      <c r="H7" s="351" t="n">
        <v>5</v>
      </c>
      <c r="I7" s="351" t="n">
        <v>3</v>
      </c>
      <c r="J7" s="351" t="n">
        <v>5</v>
      </c>
      <c r="K7" s="352" t="n">
        <v>1</v>
      </c>
      <c r="L7" s="350" t="n">
        <v>5</v>
      </c>
      <c r="M7" s="351" t="n">
        <v>5</v>
      </c>
      <c r="N7" s="351" t="n">
        <v>5</v>
      </c>
      <c r="O7" s="351" t="n">
        <v>5</v>
      </c>
      <c r="P7" s="352" t="n">
        <v>5</v>
      </c>
      <c r="Q7" s="350" t="n">
        <v>5</v>
      </c>
      <c r="R7" s="351" t="n">
        <v>5</v>
      </c>
      <c r="S7" s="351" t="n">
        <v>5</v>
      </c>
      <c r="T7" s="351" t="n">
        <v>5</v>
      </c>
      <c r="U7" s="352" t="n">
        <v>5</v>
      </c>
      <c r="V7" s="350" t="n">
        <v>5</v>
      </c>
      <c r="W7" s="351" t="n">
        <v>6</v>
      </c>
      <c r="X7" s="351" t="n">
        <v>3</v>
      </c>
      <c r="Y7" s="351" t="n">
        <v>5</v>
      </c>
      <c r="Z7" s="352" t="n">
        <v>5</v>
      </c>
      <c r="AA7" s="350" t="n">
        <v>5</v>
      </c>
      <c r="AB7" s="351" t="n">
        <v>5</v>
      </c>
      <c r="AC7" s="351" t="n">
        <v>5</v>
      </c>
      <c r="AD7" s="351" t="n">
        <v>5</v>
      </c>
      <c r="AE7" s="352" t="n">
        <v>5</v>
      </c>
      <c r="AF7" s="350" t="n">
        <v>5</v>
      </c>
      <c r="AG7" s="351" t="n">
        <v>5</v>
      </c>
      <c r="AH7" s="351" t="n">
        <v>5</v>
      </c>
      <c r="AI7" s="351" t="n">
        <v>5</v>
      </c>
      <c r="AJ7" s="352" t="n">
        <v>5</v>
      </c>
      <c r="AK7" s="350" t="n">
        <v>5</v>
      </c>
      <c r="AL7" s="351" t="n">
        <v>5</v>
      </c>
      <c r="AM7" s="351" t="n">
        <v>5</v>
      </c>
      <c r="AN7" s="351" t="n">
        <v>5</v>
      </c>
      <c r="AO7" s="352" t="n">
        <v>5</v>
      </c>
      <c r="AP7" s="350" t="n">
        <v>3</v>
      </c>
      <c r="AQ7" s="351" t="n">
        <v>5</v>
      </c>
      <c r="AR7" s="351" t="n">
        <v>5</v>
      </c>
      <c r="AS7" s="351" t="n">
        <v>5</v>
      </c>
      <c r="AT7" s="352" t="n">
        <v>5</v>
      </c>
      <c r="AU7" s="350" t="n">
        <v>3</v>
      </c>
      <c r="AV7" s="351"/>
      <c r="AW7" s="351" t="n">
        <v>5</v>
      </c>
      <c r="AX7" s="351" t="n">
        <v>3</v>
      </c>
      <c r="AY7" s="352" t="n">
        <v>3</v>
      </c>
      <c r="AZ7" s="350" t="n">
        <v>5</v>
      </c>
      <c r="BA7" s="351"/>
      <c r="BB7" s="351" t="n">
        <v>5</v>
      </c>
      <c r="BC7" s="351" t="n">
        <v>5</v>
      </c>
      <c r="BD7" s="352" t="n">
        <v>5</v>
      </c>
      <c r="BE7" s="350" t="n">
        <v>5</v>
      </c>
      <c r="BF7" s="351" t="n">
        <v>5</v>
      </c>
      <c r="BG7" s="351" t="n">
        <v>5</v>
      </c>
      <c r="BH7" s="351" t="n">
        <v>5</v>
      </c>
      <c r="BI7" s="352" t="n">
        <v>5</v>
      </c>
      <c r="BJ7" s="350" t="n">
        <v>5</v>
      </c>
      <c r="BK7" s="351" t="n">
        <v>5</v>
      </c>
      <c r="BL7" s="351" t="n">
        <v>5</v>
      </c>
      <c r="BM7" s="351" t="n">
        <v>5</v>
      </c>
      <c r="BN7" s="351" t="n">
        <v>5</v>
      </c>
      <c r="BO7" s="350" t="n">
        <v>5</v>
      </c>
      <c r="BP7" s="351"/>
      <c r="BQ7" s="351" t="n">
        <v>5</v>
      </c>
      <c r="BR7" s="351" t="n">
        <v>5</v>
      </c>
      <c r="BS7" s="352" t="n">
        <v>5</v>
      </c>
      <c r="BT7" s="350" t="n">
        <v>5</v>
      </c>
      <c r="BU7" s="351" t="n">
        <v>5</v>
      </c>
      <c r="BV7" s="351" t="n">
        <v>5</v>
      </c>
      <c r="BW7" s="351" t="n">
        <v>5</v>
      </c>
      <c r="BX7" s="352" t="n">
        <v>5</v>
      </c>
      <c r="BY7" s="350" t="n">
        <v>5</v>
      </c>
      <c r="BZ7" s="350" t="n">
        <v>5</v>
      </c>
      <c r="CA7" s="351" t="n">
        <v>5</v>
      </c>
      <c r="CB7" s="351" t="n">
        <v>5</v>
      </c>
      <c r="CC7" s="352" t="n">
        <v>5</v>
      </c>
      <c r="CD7" s="350" t="n">
        <v>5</v>
      </c>
      <c r="CE7" s="351" t="n">
        <v>5</v>
      </c>
      <c r="CF7" s="351" t="n">
        <v>5</v>
      </c>
      <c r="CG7" s="351" t="n">
        <v>5</v>
      </c>
      <c r="CH7" s="352" t="n">
        <v>5</v>
      </c>
      <c r="CI7" s="350"/>
      <c r="CJ7" s="351"/>
      <c r="CK7" s="351"/>
      <c r="CL7" s="351"/>
      <c r="CM7" s="352"/>
      <c r="CN7" s="350" t="n">
        <v>5</v>
      </c>
      <c r="CO7" s="351"/>
      <c r="CP7" s="351" t="n">
        <v>5</v>
      </c>
      <c r="CQ7" s="351" t="n">
        <v>5</v>
      </c>
      <c r="CR7" s="352" t="n">
        <v>5</v>
      </c>
      <c r="CS7" s="350" t="n">
        <v>5</v>
      </c>
      <c r="CT7" s="351" t="n">
        <v>5</v>
      </c>
      <c r="CU7" s="351" t="n">
        <v>5</v>
      </c>
      <c r="CV7" s="351" t="n">
        <v>5</v>
      </c>
      <c r="CW7" s="352" t="n">
        <v>5</v>
      </c>
      <c r="CX7" s="350" t="n">
        <v>3</v>
      </c>
      <c r="CY7" s="351" t="n">
        <v>5</v>
      </c>
      <c r="CZ7" s="351" t="n">
        <v>5</v>
      </c>
      <c r="DA7" s="351" t="n">
        <v>5</v>
      </c>
      <c r="DB7" s="352" t="n">
        <v>5</v>
      </c>
      <c r="DC7" s="350" t="n">
        <v>5</v>
      </c>
      <c r="DD7" s="351" t="n">
        <v>5</v>
      </c>
      <c r="DE7" s="351" t="n">
        <v>5</v>
      </c>
      <c r="DF7" s="351" t="n">
        <v>3</v>
      </c>
      <c r="DG7" s="352" t="n">
        <v>5</v>
      </c>
      <c r="DH7" s="350" t="n">
        <v>5</v>
      </c>
      <c r="DI7" s="351" t="n">
        <v>5</v>
      </c>
      <c r="DJ7" s="351" t="n">
        <v>5</v>
      </c>
      <c r="DK7" s="351" t="n">
        <v>5</v>
      </c>
      <c r="DL7" s="352" t="n">
        <v>5</v>
      </c>
      <c r="DM7" s="350" t="n">
        <v>5</v>
      </c>
      <c r="DN7" s="351" t="n">
        <v>5</v>
      </c>
      <c r="DO7" s="351" t="n">
        <v>5</v>
      </c>
      <c r="DP7" s="351" t="n">
        <v>5</v>
      </c>
      <c r="DQ7" s="352" t="n">
        <v>5</v>
      </c>
      <c r="DR7" s="350" t="n">
        <v>5</v>
      </c>
      <c r="DS7" s="351"/>
      <c r="DT7" s="351" t="n">
        <v>5</v>
      </c>
      <c r="DU7" s="351" t="n">
        <v>5</v>
      </c>
      <c r="DV7" s="352" t="n">
        <v>5</v>
      </c>
      <c r="DW7" s="350"/>
      <c r="DX7" s="351"/>
      <c r="DY7" s="351"/>
      <c r="DZ7" s="351"/>
      <c r="EA7" s="352"/>
      <c r="EB7" s="350" t="n">
        <v>3</v>
      </c>
      <c r="EC7" s="351" t="n">
        <v>5</v>
      </c>
      <c r="ED7" s="351" t="n">
        <v>5</v>
      </c>
      <c r="EE7" s="351" t="n">
        <v>5</v>
      </c>
      <c r="EF7" s="352" t="n">
        <v>5</v>
      </c>
      <c r="EG7" s="350"/>
      <c r="EH7" s="351"/>
      <c r="EI7" s="351"/>
      <c r="EJ7" s="351"/>
      <c r="EK7" s="352"/>
      <c r="EL7" s="350"/>
      <c r="EM7" s="351" t="n">
        <v>5</v>
      </c>
      <c r="EN7" s="351" t="n">
        <v>5</v>
      </c>
      <c r="EO7" s="351" t="n">
        <v>5</v>
      </c>
      <c r="EP7" s="352" t="n">
        <v>5</v>
      </c>
      <c r="EQ7" s="350" t="n">
        <v>5</v>
      </c>
      <c r="ER7" s="351" t="n">
        <v>5</v>
      </c>
      <c r="ES7" s="351" t="n">
        <v>5</v>
      </c>
      <c r="ET7" s="351" t="n">
        <v>5</v>
      </c>
      <c r="EU7" s="352" t="n">
        <v>5</v>
      </c>
      <c r="EV7" s="350" t="n">
        <v>5</v>
      </c>
      <c r="EW7" s="351" t="n">
        <v>5</v>
      </c>
      <c r="EX7" s="351" t="n">
        <v>5</v>
      </c>
      <c r="EY7" s="351" t="n">
        <v>5</v>
      </c>
      <c r="EZ7" s="352" t="n">
        <v>5</v>
      </c>
      <c r="FA7" s="350" t="n">
        <v>5</v>
      </c>
      <c r="FB7" s="351" t="n">
        <v>5</v>
      </c>
      <c r="FC7" s="351" t="n">
        <v>5</v>
      </c>
      <c r="FD7" s="351" t="n">
        <v>5</v>
      </c>
      <c r="FE7" s="352" t="n">
        <v>5</v>
      </c>
      <c r="FF7" s="350" t="n">
        <v>5</v>
      </c>
      <c r="FG7" s="351" t="n">
        <v>5</v>
      </c>
      <c r="FH7" s="351" t="n">
        <v>5</v>
      </c>
      <c r="FI7" s="351" t="n">
        <v>5</v>
      </c>
      <c r="FJ7" s="352" t="n">
        <v>5</v>
      </c>
      <c r="FK7" s="350" t="n">
        <v>3</v>
      </c>
      <c r="FL7" s="351" t="n">
        <v>5</v>
      </c>
      <c r="FM7" s="351" t="n">
        <v>5</v>
      </c>
      <c r="FN7" s="351" t="n">
        <v>5</v>
      </c>
      <c r="FO7" s="352" t="n">
        <v>5</v>
      </c>
      <c r="FP7" s="350" t="n">
        <v>5</v>
      </c>
      <c r="FQ7" s="350" t="n">
        <v>5</v>
      </c>
      <c r="FR7" s="350" t="n">
        <v>5</v>
      </c>
      <c r="FS7" s="351" t="n">
        <v>3</v>
      </c>
      <c r="FT7" s="352" t="n">
        <v>5</v>
      </c>
      <c r="FU7" s="350" t="n">
        <v>5</v>
      </c>
      <c r="FV7" s="351" t="n">
        <v>5</v>
      </c>
      <c r="FW7" s="351" t="n">
        <v>5</v>
      </c>
      <c r="FX7" s="351" t="n">
        <v>5</v>
      </c>
      <c r="FY7" s="352" t="n">
        <v>5</v>
      </c>
      <c r="FZ7" s="350"/>
      <c r="GA7" s="351"/>
      <c r="GB7" s="351"/>
      <c r="GC7" s="351"/>
      <c r="GD7" s="352"/>
      <c r="GE7" s="350" t="n">
        <v>5</v>
      </c>
      <c r="GF7" s="351" t="n">
        <v>5</v>
      </c>
      <c r="GG7" s="351"/>
      <c r="GH7" s="351" t="n">
        <v>5</v>
      </c>
      <c r="GI7" s="352" t="n">
        <v>5</v>
      </c>
      <c r="GJ7" s="350" t="n">
        <v>5</v>
      </c>
      <c r="GK7" s="351" t="n">
        <v>5</v>
      </c>
      <c r="GL7" s="351" t="n">
        <v>5</v>
      </c>
      <c r="GM7" s="351" t="n">
        <v>5</v>
      </c>
      <c r="GN7" s="352" t="n">
        <v>5</v>
      </c>
      <c r="GO7" s="350"/>
      <c r="GP7" s="351"/>
      <c r="GQ7" s="351"/>
      <c r="GR7" s="351"/>
      <c r="GS7" s="352"/>
      <c r="GT7" s="350"/>
      <c r="GU7" s="351"/>
      <c r="GV7" s="351"/>
      <c r="GW7" s="351"/>
      <c r="GX7" s="352"/>
      <c r="GY7" s="350"/>
      <c r="GZ7" s="351"/>
      <c r="HA7" s="351"/>
      <c r="HB7" s="351"/>
      <c r="HC7" s="352"/>
      <c r="HD7" s="350" t="n">
        <v>5</v>
      </c>
      <c r="HE7" s="351" t="n">
        <v>5</v>
      </c>
      <c r="HF7" s="351" t="n">
        <v>5</v>
      </c>
      <c r="HG7" s="351" t="n">
        <v>5</v>
      </c>
      <c r="HH7" s="352" t="n">
        <v>5</v>
      </c>
      <c r="HI7" s="350" t="n">
        <v>5</v>
      </c>
      <c r="HJ7" s="351" t="n">
        <v>5</v>
      </c>
      <c r="HK7" s="351" t="n">
        <v>5</v>
      </c>
      <c r="HL7" s="351" t="n">
        <v>5</v>
      </c>
      <c r="HM7" s="352" t="n">
        <v>5</v>
      </c>
      <c r="HN7" s="350" t="n">
        <v>5</v>
      </c>
      <c r="HO7" s="351" t="n">
        <v>5</v>
      </c>
      <c r="HP7" s="351" t="n">
        <v>5</v>
      </c>
      <c r="HQ7" s="351" t="n">
        <v>3</v>
      </c>
      <c r="HR7" s="352" t="n">
        <v>5</v>
      </c>
      <c r="HS7" s="350" t="n">
        <v>5</v>
      </c>
      <c r="HT7" s="351" t="n">
        <v>5</v>
      </c>
      <c r="HU7" s="351" t="n">
        <v>5</v>
      </c>
      <c r="HV7" s="351" t="n">
        <v>3</v>
      </c>
      <c r="HW7" s="352" t="n">
        <v>5</v>
      </c>
      <c r="HX7" s="350" t="n">
        <v>5</v>
      </c>
      <c r="HY7" s="351" t="n">
        <v>5</v>
      </c>
      <c r="HZ7" s="351" t="n">
        <v>5</v>
      </c>
      <c r="IA7" s="351" t="n">
        <v>1</v>
      </c>
      <c r="IB7" s="352" t="n">
        <v>3</v>
      </c>
      <c r="IC7" s="350" t="n">
        <v>5</v>
      </c>
      <c r="ID7" s="351" t="n">
        <v>5</v>
      </c>
      <c r="IE7" s="351" t="n">
        <v>5</v>
      </c>
      <c r="IF7" s="351" t="n">
        <v>1</v>
      </c>
      <c r="IG7" s="352" t="n">
        <v>3</v>
      </c>
      <c r="IH7" s="350" t="n">
        <v>5</v>
      </c>
      <c r="II7" s="351" t="n">
        <v>5</v>
      </c>
      <c r="IJ7" s="351" t="n">
        <v>5</v>
      </c>
      <c r="IK7" s="351" t="n">
        <v>1</v>
      </c>
      <c r="IL7" s="352" t="n">
        <v>3</v>
      </c>
      <c r="IM7" s="350" t="n">
        <v>5</v>
      </c>
      <c r="IN7" s="351" t="n">
        <v>5</v>
      </c>
      <c r="IO7" s="351" t="n">
        <v>5</v>
      </c>
      <c r="IP7" s="351" t="n">
        <v>1</v>
      </c>
      <c r="IQ7" s="352" t="n">
        <v>3</v>
      </c>
      <c r="IR7" s="350" t="n">
        <v>5</v>
      </c>
      <c r="IS7" s="351" t="n">
        <v>5</v>
      </c>
      <c r="IT7" s="351" t="n">
        <v>5</v>
      </c>
      <c r="IU7" s="351" t="n">
        <v>1</v>
      </c>
      <c r="IV7" s="352" t="n">
        <v>3</v>
      </c>
      <c r="IW7" s="350" t="n">
        <v>5</v>
      </c>
      <c r="IX7" s="351" t="n">
        <v>5</v>
      </c>
      <c r="IY7" s="351" t="n">
        <v>5</v>
      </c>
      <c r="IZ7" s="351" t="n">
        <v>1</v>
      </c>
      <c r="JA7" s="352" t="n">
        <v>3</v>
      </c>
      <c r="JB7" s="350" t="n">
        <v>5</v>
      </c>
      <c r="JC7" s="351" t="n">
        <v>5</v>
      </c>
      <c r="JD7" s="351" t="n">
        <v>5</v>
      </c>
      <c r="JE7" s="351" t="n">
        <v>1</v>
      </c>
      <c r="JF7" s="352" t="n">
        <v>3</v>
      </c>
      <c r="JG7" s="350" t="n">
        <v>5</v>
      </c>
      <c r="JH7" s="351" t="n">
        <v>5</v>
      </c>
      <c r="JI7" s="351" t="n">
        <v>5</v>
      </c>
      <c r="JJ7" s="351" t="n">
        <v>1</v>
      </c>
      <c r="JK7" s="352" t="n">
        <v>3</v>
      </c>
      <c r="JL7" s="350" t="n">
        <v>5</v>
      </c>
      <c r="JM7" s="351" t="n">
        <v>5</v>
      </c>
      <c r="JN7" s="351" t="n">
        <v>5</v>
      </c>
      <c r="JO7" s="351" t="n">
        <v>1</v>
      </c>
      <c r="JP7" s="352" t="n">
        <v>3</v>
      </c>
      <c r="JQ7" s="350" t="n">
        <v>5</v>
      </c>
      <c r="JR7" s="351" t="n">
        <v>5</v>
      </c>
      <c r="JS7" s="351" t="n">
        <v>5</v>
      </c>
      <c r="JT7" s="351" t="n">
        <v>1</v>
      </c>
      <c r="JU7" s="352" t="n">
        <v>3</v>
      </c>
      <c r="JV7" s="350" t="n">
        <v>5</v>
      </c>
      <c r="JW7" s="351" t="n">
        <v>5</v>
      </c>
      <c r="JX7" s="351" t="n">
        <v>5</v>
      </c>
      <c r="JY7" s="351" t="n">
        <v>1</v>
      </c>
      <c r="JZ7" s="352" t="n">
        <v>3</v>
      </c>
      <c r="KA7" s="350" t="n">
        <v>5</v>
      </c>
      <c r="KB7" s="351" t="n">
        <v>5</v>
      </c>
      <c r="KC7" s="351" t="n">
        <v>5</v>
      </c>
      <c r="KD7" s="351" t="n">
        <v>1</v>
      </c>
      <c r="KE7" s="352" t="n">
        <v>3</v>
      </c>
      <c r="KF7" s="350" t="n">
        <v>5</v>
      </c>
      <c r="KG7" s="351" t="n">
        <v>5</v>
      </c>
      <c r="KH7" s="351" t="n">
        <v>5</v>
      </c>
      <c r="KI7" s="351" t="n">
        <v>1</v>
      </c>
      <c r="KJ7" s="352" t="n">
        <v>3</v>
      </c>
      <c r="KK7" s="350" t="n">
        <v>5</v>
      </c>
      <c r="KL7" s="351" t="n">
        <v>5</v>
      </c>
      <c r="KM7" s="351" t="n">
        <v>5</v>
      </c>
      <c r="KN7" s="351" t="n">
        <v>1</v>
      </c>
      <c r="KO7" s="352" t="n">
        <v>3</v>
      </c>
      <c r="KP7" s="350" t="n">
        <v>5</v>
      </c>
      <c r="KQ7" s="351" t="n">
        <v>5</v>
      </c>
      <c r="KR7" s="351" t="n">
        <v>5</v>
      </c>
      <c r="KS7" s="351" t="n">
        <v>1</v>
      </c>
      <c r="KT7" s="352" t="n">
        <v>3</v>
      </c>
      <c r="KU7" s="350" t="n">
        <v>5</v>
      </c>
      <c r="KV7" s="351" t="n">
        <v>5</v>
      </c>
      <c r="KW7" s="351" t="n">
        <v>5</v>
      </c>
      <c r="KX7" s="351" t="n">
        <v>1</v>
      </c>
      <c r="KY7" s="352" t="n">
        <v>3</v>
      </c>
      <c r="KZ7" s="350" t="n">
        <v>5</v>
      </c>
      <c r="LA7" s="351" t="n">
        <v>5</v>
      </c>
      <c r="LB7" s="351" t="n">
        <v>5</v>
      </c>
      <c r="LC7" s="351" t="n">
        <v>1</v>
      </c>
      <c r="LD7" s="352" t="n">
        <v>3</v>
      </c>
      <c r="LE7" s="350" t="n">
        <v>5</v>
      </c>
      <c r="LF7" s="351" t="n">
        <v>5</v>
      </c>
      <c r="LG7" s="351" t="n">
        <v>5</v>
      </c>
      <c r="LH7" s="351" t="n">
        <v>1</v>
      </c>
      <c r="LI7" s="352" t="n">
        <v>3</v>
      </c>
      <c r="LJ7" s="350" t="n">
        <v>5</v>
      </c>
      <c r="LK7" s="351" t="n">
        <v>5</v>
      </c>
      <c r="LL7" s="351" t="n">
        <v>5</v>
      </c>
      <c r="LM7" s="351" t="n">
        <v>1</v>
      </c>
      <c r="LN7" s="352" t="n">
        <v>3</v>
      </c>
      <c r="LO7" s="350" t="n">
        <v>5</v>
      </c>
      <c r="LP7" s="351" t="n">
        <v>5</v>
      </c>
      <c r="LQ7" s="351" t="n">
        <v>5</v>
      </c>
      <c r="LR7" s="351" t="n">
        <v>1</v>
      </c>
      <c r="LS7" s="352" t="n">
        <v>3</v>
      </c>
      <c r="LT7" s="350" t="n">
        <v>5</v>
      </c>
      <c r="LU7" s="351" t="n">
        <v>5</v>
      </c>
      <c r="LV7" s="351" t="n">
        <v>5</v>
      </c>
      <c r="LW7" s="351" t="n">
        <v>1</v>
      </c>
      <c r="LX7" s="352" t="n">
        <v>3</v>
      </c>
      <c r="LY7" s="350" t="n">
        <v>5</v>
      </c>
      <c r="LZ7" s="351" t="n">
        <v>5</v>
      </c>
      <c r="MA7" s="351" t="n">
        <v>5</v>
      </c>
      <c r="MB7" s="351" t="n">
        <v>1</v>
      </c>
      <c r="MC7" s="352" t="n">
        <v>3</v>
      </c>
      <c r="MD7" s="350" t="n">
        <v>5</v>
      </c>
      <c r="ME7" s="351" t="n">
        <v>5</v>
      </c>
      <c r="MF7" s="351" t="n">
        <v>5</v>
      </c>
      <c r="MG7" s="351" t="n">
        <v>1</v>
      </c>
      <c r="MH7" s="352" t="n">
        <v>3</v>
      </c>
      <c r="MI7" s="350" t="n">
        <v>5</v>
      </c>
      <c r="MJ7" s="351" t="n">
        <v>5</v>
      </c>
      <c r="MK7" s="351" t="n">
        <v>5</v>
      </c>
      <c r="ML7" s="351" t="n">
        <v>1</v>
      </c>
      <c r="MM7" s="352" t="n">
        <v>3</v>
      </c>
      <c r="MN7" s="350" t="n">
        <v>5</v>
      </c>
      <c r="MO7" s="351" t="n">
        <v>5</v>
      </c>
      <c r="MP7" s="351" t="n">
        <v>5</v>
      </c>
      <c r="MQ7" s="351" t="n">
        <v>1</v>
      </c>
      <c r="MR7" s="352" t="n">
        <v>3</v>
      </c>
      <c r="MS7" s="350" t="n">
        <v>5</v>
      </c>
      <c r="MT7" s="351" t="n">
        <v>5</v>
      </c>
      <c r="MU7" s="351" t="n">
        <v>5</v>
      </c>
      <c r="MV7" s="351" t="n">
        <v>1</v>
      </c>
      <c r="MW7" s="352" t="n">
        <v>3</v>
      </c>
      <c r="MX7" s="350" t="n">
        <v>5</v>
      </c>
      <c r="MY7" s="351" t="n">
        <v>5</v>
      </c>
      <c r="MZ7" s="351" t="n">
        <v>5</v>
      </c>
      <c r="NA7" s="351" t="n">
        <v>1</v>
      </c>
      <c r="NB7" s="352" t="n">
        <v>3</v>
      </c>
      <c r="NC7" s="350" t="n">
        <v>5</v>
      </c>
      <c r="ND7" s="351" t="n">
        <v>5</v>
      </c>
      <c r="NE7" s="351" t="n">
        <v>5</v>
      </c>
      <c r="NF7" s="351" t="n">
        <v>1</v>
      </c>
      <c r="NG7" s="352" t="n">
        <v>3</v>
      </c>
      <c r="NH7" s="350" t="n">
        <v>5</v>
      </c>
      <c r="NI7" s="351" t="n">
        <v>5</v>
      </c>
      <c r="NJ7" s="351" t="n">
        <v>5</v>
      </c>
      <c r="NK7" s="351" t="n">
        <v>1</v>
      </c>
      <c r="NL7" s="352" t="n">
        <v>3</v>
      </c>
      <c r="NM7" s="350" t="n">
        <v>5</v>
      </c>
      <c r="NN7" s="351" t="n">
        <v>5</v>
      </c>
      <c r="NO7" s="351" t="n">
        <v>5</v>
      </c>
      <c r="NP7" s="351" t="n">
        <v>1</v>
      </c>
      <c r="NQ7" s="352" t="n">
        <v>3</v>
      </c>
      <c r="NR7" s="350" t="n">
        <v>5</v>
      </c>
      <c r="NS7" s="351" t="n">
        <v>5</v>
      </c>
      <c r="NT7" s="351" t="n">
        <v>5</v>
      </c>
      <c r="NU7" s="351" t="n">
        <v>1</v>
      </c>
      <c r="NV7" s="352" t="n">
        <v>3</v>
      </c>
      <c r="NW7" s="350" t="n">
        <v>5</v>
      </c>
      <c r="NX7" s="351" t="n">
        <v>5</v>
      </c>
      <c r="NY7" s="351" t="n">
        <v>5</v>
      </c>
      <c r="NZ7" s="351" t="n">
        <v>1</v>
      </c>
      <c r="OA7" s="352" t="n">
        <v>3</v>
      </c>
      <c r="OB7" s="350" t="n">
        <v>5</v>
      </c>
      <c r="OC7" s="351" t="n">
        <v>5</v>
      </c>
      <c r="OD7" s="351" t="n">
        <v>5</v>
      </c>
      <c r="OE7" s="351" t="n">
        <v>1</v>
      </c>
      <c r="OF7" s="352" t="n">
        <v>3</v>
      </c>
      <c r="OG7" s="350" t="n">
        <v>5</v>
      </c>
      <c r="OH7" s="351" t="n">
        <v>5</v>
      </c>
      <c r="OI7" s="351" t="n">
        <v>5</v>
      </c>
      <c r="OJ7" s="351" t="n">
        <v>1</v>
      </c>
      <c r="OK7" s="352" t="n">
        <v>3</v>
      </c>
      <c r="OL7" s="350" t="n">
        <v>5</v>
      </c>
      <c r="OM7" s="351" t="n">
        <v>5</v>
      </c>
      <c r="ON7" s="351" t="n">
        <v>5</v>
      </c>
      <c r="OO7" s="351" t="n">
        <v>1</v>
      </c>
      <c r="OP7" s="352" t="n">
        <v>3</v>
      </c>
      <c r="OQ7" s="350" t="n">
        <v>5</v>
      </c>
      <c r="OR7" s="351" t="n">
        <v>5</v>
      </c>
      <c r="OS7" s="351" t="n">
        <v>5</v>
      </c>
      <c r="OT7" s="351" t="n">
        <v>1</v>
      </c>
      <c r="OU7" s="352" t="n">
        <v>3</v>
      </c>
      <c r="OV7" s="350" t="n">
        <v>5</v>
      </c>
      <c r="OW7" s="351" t="n">
        <v>5</v>
      </c>
      <c r="OX7" s="351" t="n">
        <v>5</v>
      </c>
      <c r="OY7" s="351" t="n">
        <v>1</v>
      </c>
      <c r="OZ7" s="352" t="n">
        <v>3</v>
      </c>
      <c r="PA7" s="350" t="n">
        <v>5</v>
      </c>
      <c r="PB7" s="351" t="n">
        <v>5</v>
      </c>
      <c r="PC7" s="351" t="n">
        <v>5</v>
      </c>
      <c r="PD7" s="351" t="n">
        <v>1</v>
      </c>
      <c r="PE7" s="352" t="n">
        <v>3</v>
      </c>
      <c r="PF7" s="350" t="n">
        <v>5</v>
      </c>
      <c r="PG7" s="351" t="n">
        <v>5</v>
      </c>
      <c r="PH7" s="351" t="n">
        <v>5</v>
      </c>
      <c r="PI7" s="351" t="n">
        <v>1</v>
      </c>
      <c r="PJ7" s="352" t="n">
        <v>3</v>
      </c>
      <c r="PK7" s="350" t="n">
        <v>5</v>
      </c>
      <c r="PL7" s="351" t="n">
        <v>5</v>
      </c>
      <c r="PM7" s="351" t="n">
        <v>5</v>
      </c>
      <c r="PN7" s="351" t="n">
        <v>1</v>
      </c>
      <c r="PO7" s="352" t="n">
        <v>3</v>
      </c>
      <c r="PP7" s="350" t="n">
        <v>5</v>
      </c>
      <c r="PQ7" s="351" t="n">
        <v>5</v>
      </c>
      <c r="PR7" s="351" t="n">
        <v>5</v>
      </c>
      <c r="PS7" s="351" t="n">
        <v>1</v>
      </c>
      <c r="PT7" s="352" t="n">
        <v>3</v>
      </c>
      <c r="PU7" s="350" t="n">
        <v>5</v>
      </c>
      <c r="PV7" s="351" t="n">
        <v>5</v>
      </c>
      <c r="PW7" s="351" t="n">
        <v>5</v>
      </c>
      <c r="PX7" s="351" t="n">
        <v>1</v>
      </c>
      <c r="PY7" s="352" t="n">
        <v>3</v>
      </c>
      <c r="PZ7" s="350" t="n">
        <v>5</v>
      </c>
      <c r="QA7" s="351" t="n">
        <v>5</v>
      </c>
      <c r="QB7" s="351" t="n">
        <v>5</v>
      </c>
      <c r="QC7" s="351" t="n">
        <v>1</v>
      </c>
      <c r="QD7" s="352" t="n">
        <v>3</v>
      </c>
      <c r="QE7" s="350" t="n">
        <v>5</v>
      </c>
      <c r="QF7" s="351" t="n">
        <v>5</v>
      </c>
      <c r="QG7" s="351" t="n">
        <v>5</v>
      </c>
      <c r="QH7" s="351" t="n">
        <v>1</v>
      </c>
      <c r="QI7" s="352" t="n">
        <v>3</v>
      </c>
      <c r="QJ7" s="350" t="n">
        <v>5</v>
      </c>
      <c r="QK7" s="351" t="n">
        <v>5</v>
      </c>
      <c r="QL7" s="351" t="n">
        <v>5</v>
      </c>
      <c r="QM7" s="351" t="n">
        <v>1</v>
      </c>
      <c r="QN7" s="352" t="n">
        <v>3</v>
      </c>
      <c r="QO7" s="350" t="n">
        <v>5</v>
      </c>
      <c r="QP7" s="351" t="n">
        <v>5</v>
      </c>
      <c r="QQ7" s="351" t="n">
        <v>5</v>
      </c>
      <c r="QR7" s="351" t="n">
        <v>1</v>
      </c>
      <c r="QS7" s="352" t="n">
        <v>3</v>
      </c>
      <c r="QT7" s="350" t="n">
        <v>5</v>
      </c>
      <c r="QU7" s="351" t="n">
        <v>5</v>
      </c>
      <c r="QV7" s="351" t="n">
        <v>5</v>
      </c>
      <c r="QW7" s="351" t="n">
        <v>1</v>
      </c>
      <c r="QX7" s="352" t="n">
        <v>3</v>
      </c>
      <c r="QY7" s="350" t="n">
        <v>5</v>
      </c>
      <c r="QZ7" s="351" t="n">
        <v>5</v>
      </c>
      <c r="RA7" s="351" t="n">
        <v>5</v>
      </c>
      <c r="RB7" s="351" t="n">
        <v>1</v>
      </c>
      <c r="RC7" s="352" t="n">
        <v>3</v>
      </c>
      <c r="RD7" s="350" t="n">
        <v>5</v>
      </c>
      <c r="RE7" s="351" t="n">
        <v>5</v>
      </c>
      <c r="RF7" s="351" t="n">
        <v>5</v>
      </c>
      <c r="RG7" s="351" t="n">
        <v>1</v>
      </c>
      <c r="RH7" s="352" t="n">
        <v>3</v>
      </c>
      <c r="RI7" s="350" t="n">
        <v>5</v>
      </c>
      <c r="RJ7" s="351" t="n">
        <v>5</v>
      </c>
      <c r="RK7" s="351" t="n">
        <v>5</v>
      </c>
      <c r="RL7" s="351" t="n">
        <v>1</v>
      </c>
      <c r="RM7" s="352" t="n">
        <v>3</v>
      </c>
      <c r="RN7" s="350" t="n">
        <v>5</v>
      </c>
      <c r="RO7" s="351" t="n">
        <v>5</v>
      </c>
      <c r="RP7" s="351" t="n">
        <v>5</v>
      </c>
      <c r="RQ7" s="351" t="n">
        <v>1</v>
      </c>
      <c r="RR7" s="352" t="n">
        <v>3</v>
      </c>
      <c r="RS7" s="350" t="n">
        <v>5</v>
      </c>
      <c r="RT7" s="351" t="n">
        <v>5</v>
      </c>
      <c r="RU7" s="351" t="n">
        <v>5</v>
      </c>
      <c r="RV7" s="351" t="n">
        <v>1</v>
      </c>
      <c r="RW7" s="352" t="n">
        <v>3</v>
      </c>
      <c r="RX7" s="350" t="n">
        <v>5</v>
      </c>
      <c r="RY7" s="351" t="n">
        <v>5</v>
      </c>
      <c r="RZ7" s="351" t="n">
        <v>5</v>
      </c>
      <c r="SA7" s="351" t="n">
        <v>1</v>
      </c>
      <c r="SB7" s="352" t="n">
        <v>3</v>
      </c>
      <c r="SC7" s="350" t="n">
        <v>5</v>
      </c>
      <c r="SD7" s="351" t="n">
        <v>5</v>
      </c>
      <c r="SE7" s="351" t="n">
        <v>5</v>
      </c>
      <c r="SF7" s="351" t="n">
        <v>1</v>
      </c>
      <c r="SG7" s="352" t="n">
        <v>3</v>
      </c>
      <c r="SH7" s="350" t="n">
        <v>5</v>
      </c>
      <c r="SI7" s="351" t="n">
        <v>5</v>
      </c>
      <c r="SJ7" s="351" t="n">
        <v>5</v>
      </c>
      <c r="SK7" s="351" t="n">
        <v>1</v>
      </c>
      <c r="SL7" s="352" t="n">
        <v>3</v>
      </c>
      <c r="SM7" s="350" t="n">
        <v>5</v>
      </c>
      <c r="SN7" s="351" t="n">
        <v>5</v>
      </c>
      <c r="SO7" s="351" t="n">
        <v>5</v>
      </c>
      <c r="SP7" s="351" t="n">
        <v>1</v>
      </c>
      <c r="SQ7" s="352" t="n">
        <v>3</v>
      </c>
      <c r="SR7" s="350" t="n">
        <v>5</v>
      </c>
      <c r="SS7" s="351" t="n">
        <v>5</v>
      </c>
      <c r="ST7" s="351" t="n">
        <v>5</v>
      </c>
      <c r="SU7" s="351" t="n">
        <v>1</v>
      </c>
      <c r="SV7" s="352" t="n">
        <v>3</v>
      </c>
      <c r="SW7" s="350" t="n">
        <v>5</v>
      </c>
      <c r="SX7" s="351" t="n">
        <v>5</v>
      </c>
      <c r="SY7" s="351" t="n">
        <v>5</v>
      </c>
      <c r="SZ7" s="351" t="n">
        <v>5</v>
      </c>
      <c r="TA7" s="352" t="n">
        <v>5</v>
      </c>
      <c r="TB7" s="354" t="n">
        <f aca="false">+AVERAGE(B7:IB7)</f>
        <v>4.77720207253886</v>
      </c>
    </row>
    <row r="8" customFormat="false" ht="15" hidden="false" customHeight="false" outlineLevel="0" collapsed="false">
      <c r="A8" s="349" t="s">
        <v>159</v>
      </c>
      <c r="B8" s="350"/>
      <c r="C8" s="351"/>
      <c r="D8" s="351"/>
      <c r="E8" s="351"/>
      <c r="F8" s="352"/>
      <c r="G8" s="350"/>
      <c r="H8" s="351"/>
      <c r="I8" s="351"/>
      <c r="J8" s="351"/>
      <c r="K8" s="352"/>
      <c r="L8" s="350"/>
      <c r="M8" s="351"/>
      <c r="N8" s="351"/>
      <c r="O8" s="351"/>
      <c r="P8" s="352"/>
      <c r="Q8" s="350"/>
      <c r="R8" s="351"/>
      <c r="S8" s="351"/>
      <c r="T8" s="351"/>
      <c r="U8" s="352"/>
      <c r="V8" s="350"/>
      <c r="W8" s="351"/>
      <c r="X8" s="351"/>
      <c r="Y8" s="351"/>
      <c r="Z8" s="352"/>
      <c r="AA8" s="350"/>
      <c r="AB8" s="351"/>
      <c r="AC8" s="351"/>
      <c r="AD8" s="351"/>
      <c r="AE8" s="352"/>
      <c r="AF8" s="350"/>
      <c r="AG8" s="351"/>
      <c r="AH8" s="351"/>
      <c r="AI8" s="351"/>
      <c r="AJ8" s="352"/>
      <c r="AK8" s="350"/>
      <c r="AL8" s="351"/>
      <c r="AM8" s="351"/>
      <c r="AN8" s="351"/>
      <c r="AO8" s="352"/>
      <c r="AP8" s="350"/>
      <c r="AQ8" s="351"/>
      <c r="AR8" s="351"/>
      <c r="AS8" s="351"/>
      <c r="AT8" s="352"/>
      <c r="AU8" s="350"/>
      <c r="AV8" s="351"/>
      <c r="AW8" s="351"/>
      <c r="AX8" s="351"/>
      <c r="AY8" s="352"/>
      <c r="AZ8" s="350"/>
      <c r="BA8" s="351"/>
      <c r="BB8" s="351"/>
      <c r="BC8" s="351"/>
      <c r="BD8" s="352"/>
      <c r="BE8" s="350"/>
      <c r="BF8" s="351"/>
      <c r="BG8" s="351"/>
      <c r="BH8" s="351"/>
      <c r="BI8" s="352"/>
      <c r="BJ8" s="350" t="n">
        <v>3</v>
      </c>
      <c r="BK8" s="351" t="n">
        <v>5</v>
      </c>
      <c r="BL8" s="351"/>
      <c r="BM8" s="351" t="n">
        <v>5</v>
      </c>
      <c r="BN8" s="351" t="n">
        <v>5</v>
      </c>
      <c r="BO8" s="350" t="n">
        <v>5</v>
      </c>
      <c r="BP8" s="351"/>
      <c r="BQ8" s="351" t="n">
        <v>5</v>
      </c>
      <c r="BR8" s="351" t="n">
        <v>1</v>
      </c>
      <c r="BS8" s="352" t="n">
        <v>3</v>
      </c>
      <c r="BT8" s="350" t="n">
        <v>3</v>
      </c>
      <c r="BU8" s="351" t="n">
        <v>5</v>
      </c>
      <c r="BV8" s="351" t="n">
        <v>5</v>
      </c>
      <c r="BW8" s="351" t="n">
        <v>1</v>
      </c>
      <c r="BX8" s="352" t="n">
        <v>5</v>
      </c>
      <c r="BY8" s="350" t="n">
        <v>5</v>
      </c>
      <c r="BZ8" s="350" t="n">
        <v>5</v>
      </c>
      <c r="CA8" s="351" t="n">
        <v>5</v>
      </c>
      <c r="CB8" s="351" t="n">
        <v>1</v>
      </c>
      <c r="CC8" s="352" t="n">
        <v>5</v>
      </c>
      <c r="CD8" s="350" t="n">
        <v>5</v>
      </c>
      <c r="CE8" s="351" t="n">
        <v>5</v>
      </c>
      <c r="CF8" s="351" t="n">
        <v>3</v>
      </c>
      <c r="CG8" s="351" t="n">
        <v>3</v>
      </c>
      <c r="CH8" s="352" t="n">
        <v>5</v>
      </c>
      <c r="CI8" s="350"/>
      <c r="CJ8" s="351"/>
      <c r="CK8" s="351"/>
      <c r="CL8" s="351"/>
      <c r="CM8" s="352"/>
      <c r="CN8" s="350" t="n">
        <v>3</v>
      </c>
      <c r="CO8" s="351"/>
      <c r="CP8" s="351" t="n">
        <v>5</v>
      </c>
      <c r="CQ8" s="351" t="n">
        <v>3</v>
      </c>
      <c r="CR8" s="352" t="n">
        <v>3</v>
      </c>
      <c r="CS8" s="350" t="n">
        <v>5</v>
      </c>
      <c r="CT8" s="351" t="n">
        <v>5</v>
      </c>
      <c r="CU8" s="351" t="n">
        <v>5</v>
      </c>
      <c r="CV8" s="351" t="n">
        <v>3</v>
      </c>
      <c r="CW8" s="352" t="n">
        <v>3</v>
      </c>
      <c r="CX8" s="350" t="n">
        <v>3</v>
      </c>
      <c r="CY8" s="351" t="n">
        <v>5</v>
      </c>
      <c r="CZ8" s="351" t="n">
        <v>5</v>
      </c>
      <c r="DA8" s="351" t="n">
        <v>1</v>
      </c>
      <c r="DB8" s="352" t="n">
        <v>3</v>
      </c>
      <c r="DC8" s="350" t="n">
        <v>3</v>
      </c>
      <c r="DD8" s="351" t="n">
        <v>5</v>
      </c>
      <c r="DE8" s="351" t="n">
        <v>5</v>
      </c>
      <c r="DF8" s="351" t="n">
        <v>3</v>
      </c>
      <c r="DG8" s="352" t="n">
        <v>3</v>
      </c>
      <c r="DH8" s="350" t="n">
        <v>5</v>
      </c>
      <c r="DI8" s="351" t="n">
        <v>5</v>
      </c>
      <c r="DJ8" s="351" t="n">
        <v>5</v>
      </c>
      <c r="DK8" s="351" t="n">
        <v>3</v>
      </c>
      <c r="DL8" s="352" t="n">
        <v>5</v>
      </c>
      <c r="DM8" s="350" t="n">
        <v>3</v>
      </c>
      <c r="DN8" s="351" t="n">
        <v>5</v>
      </c>
      <c r="DO8" s="351" t="n">
        <v>5</v>
      </c>
      <c r="DP8" s="351" t="n">
        <v>1</v>
      </c>
      <c r="DQ8" s="352" t="n">
        <v>3</v>
      </c>
      <c r="DR8" s="350" t="n">
        <v>5</v>
      </c>
      <c r="DS8" s="351"/>
      <c r="DT8" s="351" t="n">
        <v>5</v>
      </c>
      <c r="DU8" s="351" t="n">
        <v>5</v>
      </c>
      <c r="DV8" s="352" t="n">
        <v>5</v>
      </c>
      <c r="DW8" s="350"/>
      <c r="DX8" s="351"/>
      <c r="DY8" s="351"/>
      <c r="DZ8" s="351"/>
      <c r="EA8" s="352"/>
      <c r="EB8" s="350" t="n">
        <v>5</v>
      </c>
      <c r="EC8" s="351" t="n">
        <v>5</v>
      </c>
      <c r="ED8" s="351" t="n">
        <v>5</v>
      </c>
      <c r="EE8" s="351" t="n">
        <v>3</v>
      </c>
      <c r="EF8" s="352" t="n">
        <v>5</v>
      </c>
      <c r="EG8" s="350"/>
      <c r="EH8" s="351"/>
      <c r="EI8" s="351"/>
      <c r="EJ8" s="351"/>
      <c r="EK8" s="352"/>
      <c r="EL8" s="350"/>
      <c r="EM8" s="351" t="n">
        <v>5</v>
      </c>
      <c r="EN8" s="351" t="n">
        <v>5</v>
      </c>
      <c r="EO8" s="351" t="n">
        <v>5</v>
      </c>
      <c r="EP8" s="352" t="n">
        <v>5</v>
      </c>
      <c r="EQ8" s="350" t="n">
        <v>5</v>
      </c>
      <c r="ER8" s="351" t="n">
        <v>5</v>
      </c>
      <c r="ES8" s="351" t="n">
        <v>5</v>
      </c>
      <c r="ET8" s="351" t="n">
        <v>5</v>
      </c>
      <c r="EU8" s="352" t="n">
        <v>5</v>
      </c>
      <c r="EV8" s="350" t="n">
        <v>5</v>
      </c>
      <c r="EW8" s="351" t="n">
        <v>5</v>
      </c>
      <c r="EX8" s="351" t="n">
        <v>5</v>
      </c>
      <c r="EY8" s="351" t="n">
        <v>5</v>
      </c>
      <c r="EZ8" s="352" t="n">
        <v>5</v>
      </c>
      <c r="FA8" s="350" t="n">
        <v>5</v>
      </c>
      <c r="FB8" s="351" t="n">
        <v>5</v>
      </c>
      <c r="FC8" s="351" t="n">
        <v>5</v>
      </c>
      <c r="FD8" s="351" t="n">
        <v>3</v>
      </c>
      <c r="FE8" s="352" t="n">
        <v>5</v>
      </c>
      <c r="FF8" s="350" t="n">
        <v>5</v>
      </c>
      <c r="FG8" s="351" t="n">
        <v>5</v>
      </c>
      <c r="FH8" s="351" t="n">
        <v>5</v>
      </c>
      <c r="FI8" s="351" t="n">
        <v>5</v>
      </c>
      <c r="FJ8" s="352" t="n">
        <v>3</v>
      </c>
      <c r="FK8" s="350" t="n">
        <v>5</v>
      </c>
      <c r="FL8" s="351" t="n">
        <v>5</v>
      </c>
      <c r="FM8" s="351" t="n">
        <v>5</v>
      </c>
      <c r="FN8" s="351" t="n">
        <v>5</v>
      </c>
      <c r="FO8" s="352" t="n">
        <v>3</v>
      </c>
      <c r="FP8" s="350" t="n">
        <v>5</v>
      </c>
      <c r="FQ8" s="351" t="n">
        <v>5</v>
      </c>
      <c r="FR8" s="351" t="n">
        <v>3</v>
      </c>
      <c r="FS8" s="351" t="n">
        <v>3</v>
      </c>
      <c r="FT8" s="352" t="n">
        <v>5</v>
      </c>
      <c r="FU8" s="350" t="n">
        <v>1</v>
      </c>
      <c r="FV8" s="351" t="n">
        <v>5</v>
      </c>
      <c r="FW8" s="351" t="n">
        <v>5</v>
      </c>
      <c r="FX8" s="351" t="n">
        <v>3</v>
      </c>
      <c r="FY8" s="352" t="n">
        <v>3</v>
      </c>
      <c r="FZ8" s="350"/>
      <c r="GA8" s="351"/>
      <c r="GB8" s="351"/>
      <c r="GC8" s="351"/>
      <c r="GD8" s="352"/>
      <c r="GE8" s="350" t="n">
        <v>3</v>
      </c>
      <c r="GF8" s="351" t="n">
        <v>3</v>
      </c>
      <c r="GG8" s="351"/>
      <c r="GH8" s="351" t="n">
        <v>5</v>
      </c>
      <c r="GI8" s="352" t="n">
        <v>5</v>
      </c>
      <c r="GJ8" s="350" t="n">
        <v>3</v>
      </c>
      <c r="GK8" s="351" t="n">
        <v>5</v>
      </c>
      <c r="GL8" s="351" t="n">
        <v>3</v>
      </c>
      <c r="GM8" s="351" t="n">
        <v>1</v>
      </c>
      <c r="GN8" s="352" t="n">
        <v>1</v>
      </c>
      <c r="GO8" s="350"/>
      <c r="GP8" s="351"/>
      <c r="GQ8" s="351"/>
      <c r="GR8" s="351"/>
      <c r="GS8" s="352"/>
      <c r="GT8" s="350"/>
      <c r="GU8" s="351"/>
      <c r="GV8" s="351"/>
      <c r="GW8" s="351"/>
      <c r="GX8" s="352"/>
      <c r="GY8" s="350"/>
      <c r="GZ8" s="351"/>
      <c r="HA8" s="351"/>
      <c r="HB8" s="351"/>
      <c r="HC8" s="352"/>
      <c r="HD8" s="350" t="n">
        <v>3</v>
      </c>
      <c r="HE8" s="351" t="n">
        <v>5</v>
      </c>
      <c r="HF8" s="351" t="n">
        <v>3</v>
      </c>
      <c r="HG8" s="351" t="n">
        <v>3</v>
      </c>
      <c r="HH8" s="352" t="n">
        <v>3</v>
      </c>
      <c r="HI8" s="350" t="n">
        <v>5</v>
      </c>
      <c r="HJ8" s="351" t="n">
        <v>5</v>
      </c>
      <c r="HK8" s="351" t="n">
        <v>5</v>
      </c>
      <c r="HL8" s="351" t="n">
        <v>3</v>
      </c>
      <c r="HM8" s="352" t="n">
        <v>5</v>
      </c>
      <c r="HN8" s="350" t="n">
        <v>5</v>
      </c>
      <c r="HO8" s="351" t="n">
        <v>5</v>
      </c>
      <c r="HP8" s="351" t="n">
        <v>5</v>
      </c>
      <c r="HQ8" s="351" t="n">
        <v>3</v>
      </c>
      <c r="HR8" s="352" t="n">
        <v>3</v>
      </c>
      <c r="HS8" s="350" t="n">
        <v>5</v>
      </c>
      <c r="HT8" s="351" t="n">
        <v>5</v>
      </c>
      <c r="HU8" s="351" t="n">
        <v>5</v>
      </c>
      <c r="HV8" s="351" t="n">
        <v>3</v>
      </c>
      <c r="HW8" s="352" t="n">
        <v>5</v>
      </c>
      <c r="HX8" s="350" t="n">
        <v>5</v>
      </c>
      <c r="HY8" s="351" t="n">
        <v>5</v>
      </c>
      <c r="HZ8" s="351" t="n">
        <v>5</v>
      </c>
      <c r="IA8" s="351" t="n">
        <v>3</v>
      </c>
      <c r="IB8" s="352" t="n">
        <v>5</v>
      </c>
      <c r="IC8" s="350" t="n">
        <v>5</v>
      </c>
      <c r="ID8" s="351" t="n">
        <v>5</v>
      </c>
      <c r="IE8" s="351" t="n">
        <v>5</v>
      </c>
      <c r="IF8" s="351" t="n">
        <v>3</v>
      </c>
      <c r="IG8" s="352" t="n">
        <v>5</v>
      </c>
      <c r="IH8" s="350" t="n">
        <v>5</v>
      </c>
      <c r="II8" s="351" t="n">
        <v>5</v>
      </c>
      <c r="IJ8" s="351" t="n">
        <v>5</v>
      </c>
      <c r="IK8" s="351" t="n">
        <v>3</v>
      </c>
      <c r="IL8" s="352" t="n">
        <v>5</v>
      </c>
      <c r="IM8" s="350" t="n">
        <v>5</v>
      </c>
      <c r="IN8" s="351" t="n">
        <v>5</v>
      </c>
      <c r="IO8" s="351" t="n">
        <v>5</v>
      </c>
      <c r="IP8" s="351" t="n">
        <v>3</v>
      </c>
      <c r="IQ8" s="352" t="n">
        <v>5</v>
      </c>
      <c r="IR8" s="350" t="n">
        <v>5</v>
      </c>
      <c r="IS8" s="351" t="n">
        <v>5</v>
      </c>
      <c r="IT8" s="351" t="n">
        <v>5</v>
      </c>
      <c r="IU8" s="351" t="n">
        <v>3</v>
      </c>
      <c r="IV8" s="352" t="n">
        <v>5</v>
      </c>
      <c r="IW8" s="350" t="n">
        <v>5</v>
      </c>
      <c r="IX8" s="351" t="n">
        <v>5</v>
      </c>
      <c r="IY8" s="351" t="n">
        <v>5</v>
      </c>
      <c r="IZ8" s="351" t="n">
        <v>3</v>
      </c>
      <c r="JA8" s="352" t="n">
        <v>5</v>
      </c>
      <c r="JB8" s="350" t="n">
        <v>5</v>
      </c>
      <c r="JC8" s="351" t="n">
        <v>5</v>
      </c>
      <c r="JD8" s="351" t="n">
        <v>5</v>
      </c>
      <c r="JE8" s="351" t="n">
        <v>3</v>
      </c>
      <c r="JF8" s="352" t="n">
        <v>5</v>
      </c>
      <c r="JG8" s="350" t="n">
        <v>5</v>
      </c>
      <c r="JH8" s="351" t="n">
        <v>5</v>
      </c>
      <c r="JI8" s="351" t="n">
        <v>5</v>
      </c>
      <c r="JJ8" s="351" t="n">
        <v>3</v>
      </c>
      <c r="JK8" s="352" t="n">
        <v>5</v>
      </c>
      <c r="JL8" s="350" t="n">
        <v>5</v>
      </c>
      <c r="JM8" s="351" t="n">
        <v>5</v>
      </c>
      <c r="JN8" s="351" t="n">
        <v>5</v>
      </c>
      <c r="JO8" s="351" t="n">
        <v>3</v>
      </c>
      <c r="JP8" s="352" t="n">
        <v>5</v>
      </c>
      <c r="JQ8" s="350" t="n">
        <v>5</v>
      </c>
      <c r="JR8" s="351" t="n">
        <v>5</v>
      </c>
      <c r="JS8" s="351" t="n">
        <v>5</v>
      </c>
      <c r="JT8" s="351" t="n">
        <v>3</v>
      </c>
      <c r="JU8" s="352" t="n">
        <v>5</v>
      </c>
      <c r="JV8" s="350" t="n">
        <v>5</v>
      </c>
      <c r="JW8" s="351" t="n">
        <v>5</v>
      </c>
      <c r="JX8" s="351" t="n">
        <v>5</v>
      </c>
      <c r="JY8" s="351" t="n">
        <v>3</v>
      </c>
      <c r="JZ8" s="352" t="n">
        <v>5</v>
      </c>
      <c r="KA8" s="350" t="n">
        <v>5</v>
      </c>
      <c r="KB8" s="351" t="n">
        <v>5</v>
      </c>
      <c r="KC8" s="351" t="n">
        <v>5</v>
      </c>
      <c r="KD8" s="351" t="n">
        <v>3</v>
      </c>
      <c r="KE8" s="352" t="n">
        <v>5</v>
      </c>
      <c r="KF8" s="350" t="n">
        <v>5</v>
      </c>
      <c r="KG8" s="351" t="n">
        <v>5</v>
      </c>
      <c r="KH8" s="351" t="n">
        <v>5</v>
      </c>
      <c r="KI8" s="351" t="n">
        <v>3</v>
      </c>
      <c r="KJ8" s="352" t="n">
        <v>5</v>
      </c>
      <c r="KK8" s="350" t="n">
        <v>5</v>
      </c>
      <c r="KL8" s="351" t="n">
        <v>5</v>
      </c>
      <c r="KM8" s="351" t="n">
        <v>5</v>
      </c>
      <c r="KN8" s="351" t="n">
        <v>3</v>
      </c>
      <c r="KO8" s="352" t="n">
        <v>5</v>
      </c>
      <c r="KP8" s="350" t="n">
        <v>5</v>
      </c>
      <c r="KQ8" s="351" t="n">
        <v>5</v>
      </c>
      <c r="KR8" s="351" t="n">
        <v>5</v>
      </c>
      <c r="KS8" s="351" t="n">
        <v>3</v>
      </c>
      <c r="KT8" s="352" t="n">
        <v>5</v>
      </c>
      <c r="KU8" s="350" t="n">
        <v>5</v>
      </c>
      <c r="KV8" s="351" t="n">
        <v>5</v>
      </c>
      <c r="KW8" s="351" t="n">
        <v>5</v>
      </c>
      <c r="KX8" s="351" t="n">
        <v>3</v>
      </c>
      <c r="KY8" s="352" t="n">
        <v>5</v>
      </c>
      <c r="KZ8" s="350" t="n">
        <v>5</v>
      </c>
      <c r="LA8" s="351" t="n">
        <v>5</v>
      </c>
      <c r="LB8" s="351" t="n">
        <v>5</v>
      </c>
      <c r="LC8" s="351" t="n">
        <v>3</v>
      </c>
      <c r="LD8" s="352" t="n">
        <v>5</v>
      </c>
      <c r="LE8" s="350" t="n">
        <v>5</v>
      </c>
      <c r="LF8" s="351" t="n">
        <v>5</v>
      </c>
      <c r="LG8" s="351" t="n">
        <v>5</v>
      </c>
      <c r="LH8" s="351" t="n">
        <v>3</v>
      </c>
      <c r="LI8" s="352" t="n">
        <v>5</v>
      </c>
      <c r="LJ8" s="350" t="n">
        <v>5</v>
      </c>
      <c r="LK8" s="351" t="n">
        <v>5</v>
      </c>
      <c r="LL8" s="351" t="n">
        <v>5</v>
      </c>
      <c r="LM8" s="351" t="n">
        <v>3</v>
      </c>
      <c r="LN8" s="352" t="n">
        <v>5</v>
      </c>
      <c r="LO8" s="350" t="n">
        <v>5</v>
      </c>
      <c r="LP8" s="351" t="n">
        <v>5</v>
      </c>
      <c r="LQ8" s="351" t="n">
        <v>5</v>
      </c>
      <c r="LR8" s="351" t="n">
        <v>3</v>
      </c>
      <c r="LS8" s="352" t="n">
        <v>5</v>
      </c>
      <c r="LT8" s="350" t="n">
        <v>5</v>
      </c>
      <c r="LU8" s="351" t="n">
        <v>5</v>
      </c>
      <c r="LV8" s="351" t="n">
        <v>5</v>
      </c>
      <c r="LW8" s="351" t="n">
        <v>3</v>
      </c>
      <c r="LX8" s="352" t="n">
        <v>5</v>
      </c>
      <c r="LY8" s="350" t="n">
        <v>5</v>
      </c>
      <c r="LZ8" s="351" t="n">
        <v>5</v>
      </c>
      <c r="MA8" s="351" t="n">
        <v>5</v>
      </c>
      <c r="MB8" s="351" t="n">
        <v>3</v>
      </c>
      <c r="MC8" s="352" t="n">
        <v>5</v>
      </c>
      <c r="MD8" s="350" t="n">
        <v>5</v>
      </c>
      <c r="ME8" s="351" t="n">
        <v>5</v>
      </c>
      <c r="MF8" s="351" t="n">
        <v>5</v>
      </c>
      <c r="MG8" s="351" t="n">
        <v>3</v>
      </c>
      <c r="MH8" s="352" t="n">
        <v>5</v>
      </c>
      <c r="MI8" s="350" t="n">
        <v>5</v>
      </c>
      <c r="MJ8" s="351" t="n">
        <v>5</v>
      </c>
      <c r="MK8" s="351" t="n">
        <v>5</v>
      </c>
      <c r="ML8" s="351" t="n">
        <v>3</v>
      </c>
      <c r="MM8" s="352" t="n">
        <v>5</v>
      </c>
      <c r="MN8" s="350" t="n">
        <v>5</v>
      </c>
      <c r="MO8" s="351" t="n">
        <v>5</v>
      </c>
      <c r="MP8" s="351" t="n">
        <v>5</v>
      </c>
      <c r="MQ8" s="351" t="n">
        <v>3</v>
      </c>
      <c r="MR8" s="352" t="n">
        <v>5</v>
      </c>
      <c r="MS8" s="350" t="n">
        <v>5</v>
      </c>
      <c r="MT8" s="351" t="n">
        <v>5</v>
      </c>
      <c r="MU8" s="351" t="n">
        <v>5</v>
      </c>
      <c r="MV8" s="351" t="n">
        <v>3</v>
      </c>
      <c r="MW8" s="352" t="n">
        <v>5</v>
      </c>
      <c r="MX8" s="350" t="n">
        <v>5</v>
      </c>
      <c r="MY8" s="351" t="n">
        <v>5</v>
      </c>
      <c r="MZ8" s="351" t="n">
        <v>5</v>
      </c>
      <c r="NA8" s="351" t="n">
        <v>3</v>
      </c>
      <c r="NB8" s="352" t="n">
        <v>5</v>
      </c>
      <c r="NC8" s="350" t="n">
        <v>5</v>
      </c>
      <c r="ND8" s="351" t="n">
        <v>5</v>
      </c>
      <c r="NE8" s="351" t="n">
        <v>5</v>
      </c>
      <c r="NF8" s="351" t="n">
        <v>3</v>
      </c>
      <c r="NG8" s="352" t="n">
        <v>5</v>
      </c>
      <c r="NH8" s="350" t="n">
        <v>5</v>
      </c>
      <c r="NI8" s="351" t="n">
        <v>5</v>
      </c>
      <c r="NJ8" s="351" t="n">
        <v>5</v>
      </c>
      <c r="NK8" s="351" t="n">
        <v>3</v>
      </c>
      <c r="NL8" s="352" t="n">
        <v>5</v>
      </c>
      <c r="NM8" s="350" t="n">
        <v>5</v>
      </c>
      <c r="NN8" s="351" t="n">
        <v>5</v>
      </c>
      <c r="NO8" s="351" t="n">
        <v>5</v>
      </c>
      <c r="NP8" s="351" t="n">
        <v>3</v>
      </c>
      <c r="NQ8" s="352" t="n">
        <v>5</v>
      </c>
      <c r="NR8" s="350" t="n">
        <v>5</v>
      </c>
      <c r="NS8" s="351" t="n">
        <v>5</v>
      </c>
      <c r="NT8" s="351" t="n">
        <v>5</v>
      </c>
      <c r="NU8" s="351" t="n">
        <v>3</v>
      </c>
      <c r="NV8" s="352" t="n">
        <v>5</v>
      </c>
      <c r="NW8" s="350" t="n">
        <v>5</v>
      </c>
      <c r="NX8" s="351" t="n">
        <v>5</v>
      </c>
      <c r="NY8" s="351" t="n">
        <v>5</v>
      </c>
      <c r="NZ8" s="351" t="n">
        <v>3</v>
      </c>
      <c r="OA8" s="352" t="n">
        <v>5</v>
      </c>
      <c r="OB8" s="350" t="n">
        <v>5</v>
      </c>
      <c r="OC8" s="351" t="n">
        <v>5</v>
      </c>
      <c r="OD8" s="351" t="n">
        <v>5</v>
      </c>
      <c r="OE8" s="351" t="n">
        <v>3</v>
      </c>
      <c r="OF8" s="352" t="n">
        <v>5</v>
      </c>
      <c r="OG8" s="350" t="n">
        <v>5</v>
      </c>
      <c r="OH8" s="351" t="n">
        <v>5</v>
      </c>
      <c r="OI8" s="351" t="n">
        <v>5</v>
      </c>
      <c r="OJ8" s="351" t="n">
        <v>3</v>
      </c>
      <c r="OK8" s="352" t="n">
        <v>5</v>
      </c>
      <c r="OL8" s="350" t="n">
        <v>5</v>
      </c>
      <c r="OM8" s="351" t="n">
        <v>5</v>
      </c>
      <c r="ON8" s="351" t="n">
        <v>5</v>
      </c>
      <c r="OO8" s="351" t="n">
        <v>3</v>
      </c>
      <c r="OP8" s="352" t="n">
        <v>5</v>
      </c>
      <c r="OQ8" s="350" t="n">
        <v>5</v>
      </c>
      <c r="OR8" s="351" t="n">
        <v>5</v>
      </c>
      <c r="OS8" s="351" t="n">
        <v>5</v>
      </c>
      <c r="OT8" s="351" t="n">
        <v>3</v>
      </c>
      <c r="OU8" s="352" t="n">
        <v>5</v>
      </c>
      <c r="OV8" s="350" t="n">
        <v>5</v>
      </c>
      <c r="OW8" s="351" t="n">
        <v>5</v>
      </c>
      <c r="OX8" s="351" t="n">
        <v>5</v>
      </c>
      <c r="OY8" s="351" t="n">
        <v>3</v>
      </c>
      <c r="OZ8" s="352" t="n">
        <v>5</v>
      </c>
      <c r="PA8" s="350" t="n">
        <v>5</v>
      </c>
      <c r="PB8" s="351" t="n">
        <v>5</v>
      </c>
      <c r="PC8" s="351" t="n">
        <v>5</v>
      </c>
      <c r="PD8" s="351" t="n">
        <v>3</v>
      </c>
      <c r="PE8" s="352" t="n">
        <v>5</v>
      </c>
      <c r="PF8" s="350" t="n">
        <v>5</v>
      </c>
      <c r="PG8" s="351" t="n">
        <v>5</v>
      </c>
      <c r="PH8" s="351" t="n">
        <v>5</v>
      </c>
      <c r="PI8" s="351" t="n">
        <v>3</v>
      </c>
      <c r="PJ8" s="352" t="n">
        <v>5</v>
      </c>
      <c r="PK8" s="350" t="n">
        <v>5</v>
      </c>
      <c r="PL8" s="351" t="n">
        <v>5</v>
      </c>
      <c r="PM8" s="351" t="n">
        <v>5</v>
      </c>
      <c r="PN8" s="351" t="n">
        <v>3</v>
      </c>
      <c r="PO8" s="352" t="n">
        <v>5</v>
      </c>
      <c r="PP8" s="350" t="n">
        <v>5</v>
      </c>
      <c r="PQ8" s="351" t="n">
        <v>5</v>
      </c>
      <c r="PR8" s="351" t="n">
        <v>5</v>
      </c>
      <c r="PS8" s="351" t="n">
        <v>3</v>
      </c>
      <c r="PT8" s="352" t="n">
        <v>5</v>
      </c>
      <c r="PU8" s="350" t="n">
        <v>5</v>
      </c>
      <c r="PV8" s="351" t="n">
        <v>5</v>
      </c>
      <c r="PW8" s="351" t="n">
        <v>5</v>
      </c>
      <c r="PX8" s="351" t="n">
        <v>3</v>
      </c>
      <c r="PY8" s="352" t="n">
        <v>5</v>
      </c>
      <c r="PZ8" s="350" t="n">
        <v>5</v>
      </c>
      <c r="QA8" s="351" t="n">
        <v>5</v>
      </c>
      <c r="QB8" s="351" t="n">
        <v>5</v>
      </c>
      <c r="QC8" s="351" t="n">
        <v>3</v>
      </c>
      <c r="QD8" s="352" t="n">
        <v>5</v>
      </c>
      <c r="QE8" s="350" t="n">
        <v>5</v>
      </c>
      <c r="QF8" s="351" t="n">
        <v>5</v>
      </c>
      <c r="QG8" s="351" t="n">
        <v>5</v>
      </c>
      <c r="QH8" s="351" t="n">
        <v>3</v>
      </c>
      <c r="QI8" s="352" t="n">
        <v>5</v>
      </c>
      <c r="QJ8" s="350" t="n">
        <v>5</v>
      </c>
      <c r="QK8" s="351" t="n">
        <v>5</v>
      </c>
      <c r="QL8" s="351" t="n">
        <v>5</v>
      </c>
      <c r="QM8" s="351" t="n">
        <v>3</v>
      </c>
      <c r="QN8" s="352" t="n">
        <v>5</v>
      </c>
      <c r="QO8" s="350" t="n">
        <v>5</v>
      </c>
      <c r="QP8" s="351" t="n">
        <v>5</v>
      </c>
      <c r="QQ8" s="351" t="n">
        <v>5</v>
      </c>
      <c r="QR8" s="351" t="n">
        <v>3</v>
      </c>
      <c r="QS8" s="352" t="n">
        <v>5</v>
      </c>
      <c r="QT8" s="350" t="n">
        <v>5</v>
      </c>
      <c r="QU8" s="351" t="n">
        <v>5</v>
      </c>
      <c r="QV8" s="351" t="n">
        <v>5</v>
      </c>
      <c r="QW8" s="351" t="n">
        <v>3</v>
      </c>
      <c r="QX8" s="352" t="n">
        <v>5</v>
      </c>
      <c r="QY8" s="350" t="n">
        <v>5</v>
      </c>
      <c r="QZ8" s="351" t="n">
        <v>5</v>
      </c>
      <c r="RA8" s="351" t="n">
        <v>5</v>
      </c>
      <c r="RB8" s="351" t="n">
        <v>3</v>
      </c>
      <c r="RC8" s="352" t="n">
        <v>5</v>
      </c>
      <c r="RD8" s="350" t="n">
        <v>5</v>
      </c>
      <c r="RE8" s="351" t="n">
        <v>5</v>
      </c>
      <c r="RF8" s="351" t="n">
        <v>5</v>
      </c>
      <c r="RG8" s="351" t="n">
        <v>3</v>
      </c>
      <c r="RH8" s="352" t="n">
        <v>5</v>
      </c>
      <c r="RI8" s="350" t="n">
        <v>5</v>
      </c>
      <c r="RJ8" s="351" t="n">
        <v>5</v>
      </c>
      <c r="RK8" s="351" t="n">
        <v>5</v>
      </c>
      <c r="RL8" s="351" t="n">
        <v>3</v>
      </c>
      <c r="RM8" s="352" t="n">
        <v>5</v>
      </c>
      <c r="RN8" s="350" t="n">
        <v>5</v>
      </c>
      <c r="RO8" s="351" t="n">
        <v>5</v>
      </c>
      <c r="RP8" s="351" t="n">
        <v>5</v>
      </c>
      <c r="RQ8" s="351" t="n">
        <v>3</v>
      </c>
      <c r="RR8" s="352" t="n">
        <v>5</v>
      </c>
      <c r="RS8" s="350" t="n">
        <v>5</v>
      </c>
      <c r="RT8" s="351" t="n">
        <v>5</v>
      </c>
      <c r="RU8" s="351" t="n">
        <v>5</v>
      </c>
      <c r="RV8" s="351" t="n">
        <v>3</v>
      </c>
      <c r="RW8" s="352" t="n">
        <v>5</v>
      </c>
      <c r="RX8" s="350" t="n">
        <v>5</v>
      </c>
      <c r="RY8" s="351" t="n">
        <v>5</v>
      </c>
      <c r="RZ8" s="351" t="n">
        <v>5</v>
      </c>
      <c r="SA8" s="351" t="n">
        <v>3</v>
      </c>
      <c r="SB8" s="352" t="n">
        <v>5</v>
      </c>
      <c r="SC8" s="350" t="n">
        <v>5</v>
      </c>
      <c r="SD8" s="351" t="n">
        <v>5</v>
      </c>
      <c r="SE8" s="351" t="n">
        <v>5</v>
      </c>
      <c r="SF8" s="351" t="n">
        <v>3</v>
      </c>
      <c r="SG8" s="352" t="n">
        <v>5</v>
      </c>
      <c r="SH8" s="350" t="n">
        <v>5</v>
      </c>
      <c r="SI8" s="351" t="n">
        <v>5</v>
      </c>
      <c r="SJ8" s="351" t="n">
        <v>5</v>
      </c>
      <c r="SK8" s="351" t="n">
        <v>3</v>
      </c>
      <c r="SL8" s="352" t="n">
        <v>5</v>
      </c>
      <c r="SM8" s="350" t="n">
        <v>5</v>
      </c>
      <c r="SN8" s="351" t="n">
        <v>5</v>
      </c>
      <c r="SO8" s="351" t="n">
        <v>5</v>
      </c>
      <c r="SP8" s="351" t="n">
        <v>3</v>
      </c>
      <c r="SQ8" s="352" t="n">
        <v>5</v>
      </c>
      <c r="SR8" s="350" t="n">
        <v>5</v>
      </c>
      <c r="SS8" s="351" t="n">
        <v>5</v>
      </c>
      <c r="ST8" s="351" t="n">
        <v>5</v>
      </c>
      <c r="SU8" s="351" t="n">
        <v>3</v>
      </c>
      <c r="SV8" s="352" t="n">
        <v>5</v>
      </c>
      <c r="SW8" s="350" t="n">
        <v>3</v>
      </c>
      <c r="SX8" s="351" t="n">
        <v>5</v>
      </c>
      <c r="SY8" s="351" t="n">
        <v>3</v>
      </c>
      <c r="SZ8" s="351" t="n">
        <v>3</v>
      </c>
      <c r="TA8" s="352" t="n">
        <v>3</v>
      </c>
      <c r="TB8" s="354" t="n">
        <f aca="false">+AVERAGE(B8:IB8)</f>
        <v>4.17910447761194</v>
      </c>
    </row>
    <row r="9" customFormat="false" ht="15" hidden="false" customHeight="false" outlineLevel="0" collapsed="false">
      <c r="A9" s="349" t="s">
        <v>512</v>
      </c>
      <c r="B9" s="350"/>
      <c r="C9" s="351"/>
      <c r="D9" s="351"/>
      <c r="E9" s="351"/>
      <c r="F9" s="352"/>
      <c r="G9" s="350"/>
      <c r="H9" s="351"/>
      <c r="I9" s="351"/>
      <c r="J9" s="351"/>
      <c r="K9" s="352"/>
      <c r="L9" s="350"/>
      <c r="M9" s="351"/>
      <c r="N9" s="351"/>
      <c r="O9" s="351"/>
      <c r="P9" s="352"/>
      <c r="Q9" s="350"/>
      <c r="R9" s="351"/>
      <c r="S9" s="351"/>
      <c r="T9" s="351"/>
      <c r="U9" s="352"/>
      <c r="V9" s="350"/>
      <c r="W9" s="351"/>
      <c r="X9" s="351"/>
      <c r="Y9" s="351"/>
      <c r="Z9" s="352"/>
      <c r="AA9" s="350"/>
      <c r="AB9" s="351"/>
      <c r="AC9" s="351"/>
      <c r="AD9" s="351"/>
      <c r="AE9" s="352"/>
      <c r="AF9" s="350"/>
      <c r="AG9" s="351"/>
      <c r="AH9" s="351"/>
      <c r="AI9" s="351"/>
      <c r="AJ9" s="352"/>
      <c r="AK9" s="350"/>
      <c r="AL9" s="351"/>
      <c r="AM9" s="351"/>
      <c r="AN9" s="351"/>
      <c r="AO9" s="352"/>
      <c r="AP9" s="350"/>
      <c r="AQ9" s="351"/>
      <c r="AR9" s="351"/>
      <c r="AS9" s="351"/>
      <c r="AT9" s="352"/>
      <c r="AU9" s="350"/>
      <c r="AV9" s="351"/>
      <c r="AW9" s="351"/>
      <c r="AX9" s="351"/>
      <c r="AY9" s="352"/>
      <c r="AZ9" s="350"/>
      <c r="BA9" s="351"/>
      <c r="BB9" s="351"/>
      <c r="BC9" s="351"/>
      <c r="BD9" s="352"/>
      <c r="BE9" s="350"/>
      <c r="BF9" s="351"/>
      <c r="BG9" s="351"/>
      <c r="BH9" s="351"/>
      <c r="BI9" s="352"/>
      <c r="BJ9" s="350"/>
      <c r="BK9" s="351"/>
      <c r="BL9" s="351"/>
      <c r="BM9" s="351"/>
      <c r="BN9" s="351"/>
      <c r="BO9" s="350"/>
      <c r="BP9" s="351"/>
      <c r="BQ9" s="351"/>
      <c r="BR9" s="351"/>
      <c r="BS9" s="352"/>
      <c r="BT9" s="350"/>
      <c r="BU9" s="351"/>
      <c r="BV9" s="351"/>
      <c r="BW9" s="351"/>
      <c r="BX9" s="352"/>
      <c r="BY9" s="350"/>
      <c r="BZ9" s="351"/>
      <c r="CA9" s="351" t="n">
        <v>5</v>
      </c>
      <c r="CB9" s="351" t="n">
        <v>3</v>
      </c>
      <c r="CC9" s="352" t="n">
        <v>3</v>
      </c>
      <c r="CD9" s="350" t="n">
        <v>5</v>
      </c>
      <c r="CE9" s="351" t="n">
        <v>5</v>
      </c>
      <c r="CF9" s="351" t="n">
        <v>5</v>
      </c>
      <c r="CG9" s="351" t="n">
        <v>5</v>
      </c>
      <c r="CH9" s="352" t="n">
        <v>5</v>
      </c>
      <c r="CI9" s="350"/>
      <c r="CJ9" s="351"/>
      <c r="CK9" s="351"/>
      <c r="CL9" s="351"/>
      <c r="CM9" s="352"/>
      <c r="CN9" s="350" t="n">
        <v>3</v>
      </c>
      <c r="CO9" s="351"/>
      <c r="CP9" s="351" t="n">
        <v>5</v>
      </c>
      <c r="CQ9" s="351" t="n">
        <v>5</v>
      </c>
      <c r="CR9" s="352" t="n">
        <v>5</v>
      </c>
      <c r="CS9" s="350" t="n">
        <v>1</v>
      </c>
      <c r="CT9" s="351"/>
      <c r="CU9" s="351"/>
      <c r="CV9" s="351"/>
      <c r="CW9" s="352"/>
      <c r="CX9" s="350" t="n">
        <v>3</v>
      </c>
      <c r="CY9" s="351" t="n">
        <v>5</v>
      </c>
      <c r="CZ9" s="351" t="n">
        <v>3</v>
      </c>
      <c r="DA9" s="351" t="n">
        <v>3</v>
      </c>
      <c r="DB9" s="352" t="n">
        <v>3</v>
      </c>
      <c r="DC9" s="350" t="n">
        <v>3</v>
      </c>
      <c r="DD9" s="351" t="n">
        <v>5</v>
      </c>
      <c r="DE9" s="351" t="n">
        <v>3</v>
      </c>
      <c r="DF9" s="351" t="n">
        <v>1</v>
      </c>
      <c r="DG9" s="352" t="n">
        <v>3</v>
      </c>
      <c r="DH9" s="350" t="n">
        <v>3</v>
      </c>
      <c r="DI9" s="351"/>
      <c r="DJ9" s="351" t="n">
        <v>3</v>
      </c>
      <c r="DK9" s="351" t="n">
        <v>5</v>
      </c>
      <c r="DL9" s="352" t="n">
        <v>5</v>
      </c>
      <c r="DM9" s="350" t="n">
        <v>3</v>
      </c>
      <c r="DN9" s="351" t="n">
        <v>5</v>
      </c>
      <c r="DO9" s="351" t="n">
        <v>5</v>
      </c>
      <c r="DP9" s="351" t="n">
        <v>5</v>
      </c>
      <c r="DQ9" s="352" t="n">
        <v>5</v>
      </c>
      <c r="DR9" s="350" t="n">
        <v>5</v>
      </c>
      <c r="DS9" s="351"/>
      <c r="DT9" s="351" t="n">
        <v>5</v>
      </c>
      <c r="DU9" s="351" t="n">
        <v>5</v>
      </c>
      <c r="DV9" s="352" t="n">
        <v>5</v>
      </c>
      <c r="DW9" s="350"/>
      <c r="DX9" s="351"/>
      <c r="DY9" s="351"/>
      <c r="DZ9" s="351"/>
      <c r="EA9" s="352"/>
      <c r="EB9" s="350" t="n">
        <v>5</v>
      </c>
      <c r="EC9" s="351" t="n">
        <v>5</v>
      </c>
      <c r="ED9" s="351" t="n">
        <v>5</v>
      </c>
      <c r="EE9" s="351" t="n">
        <v>5</v>
      </c>
      <c r="EF9" s="352" t="n">
        <v>5</v>
      </c>
      <c r="EG9" s="350"/>
      <c r="EH9" s="351"/>
      <c r="EI9" s="351"/>
      <c r="EJ9" s="351"/>
      <c r="EK9" s="352"/>
      <c r="EL9" s="350"/>
      <c r="EM9" s="351" t="n">
        <v>5</v>
      </c>
      <c r="EN9" s="351" t="n">
        <v>5</v>
      </c>
      <c r="EO9" s="351" t="n">
        <v>3</v>
      </c>
      <c r="EP9" s="352" t="n">
        <v>3</v>
      </c>
      <c r="EQ9" s="350" t="n">
        <v>3</v>
      </c>
      <c r="ER9" s="351" t="n">
        <v>5</v>
      </c>
      <c r="ES9" s="351" t="n">
        <v>5</v>
      </c>
      <c r="ET9" s="351" t="n">
        <v>1</v>
      </c>
      <c r="EU9" s="352" t="n">
        <v>3</v>
      </c>
      <c r="EV9" s="350" t="n">
        <v>5</v>
      </c>
      <c r="EW9" s="351" t="n">
        <v>5</v>
      </c>
      <c r="EX9" s="351" t="n">
        <v>5</v>
      </c>
      <c r="EY9" s="351" t="n">
        <v>5</v>
      </c>
      <c r="EZ9" s="352" t="n">
        <v>3</v>
      </c>
      <c r="FA9" s="350" t="n">
        <v>5</v>
      </c>
      <c r="FB9" s="351" t="n">
        <v>5</v>
      </c>
      <c r="FC9" s="351" t="n">
        <v>5</v>
      </c>
      <c r="FD9" s="351" t="n">
        <v>3</v>
      </c>
      <c r="FE9" s="352" t="n">
        <v>3</v>
      </c>
      <c r="FF9" s="350" t="n">
        <v>5</v>
      </c>
      <c r="FG9" s="351" t="n">
        <v>5</v>
      </c>
      <c r="FH9" s="351" t="n">
        <v>5</v>
      </c>
      <c r="FI9" s="351" t="n">
        <v>5</v>
      </c>
      <c r="FJ9" s="352" t="n">
        <v>3</v>
      </c>
      <c r="FK9" s="350" t="n">
        <v>3</v>
      </c>
      <c r="FL9" s="351" t="n">
        <v>5</v>
      </c>
      <c r="FM9" s="351" t="n">
        <v>5</v>
      </c>
      <c r="FN9" s="351" t="n">
        <v>3</v>
      </c>
      <c r="FO9" s="352" t="n">
        <v>3</v>
      </c>
      <c r="FP9" s="350" t="n">
        <v>5</v>
      </c>
      <c r="FQ9" s="350" t="n">
        <v>5</v>
      </c>
      <c r="FR9" s="350" t="n">
        <v>5</v>
      </c>
      <c r="FS9" s="351" t="n">
        <v>5</v>
      </c>
      <c r="FT9" s="352" t="n">
        <v>3</v>
      </c>
      <c r="FU9" s="350" t="n">
        <v>3</v>
      </c>
      <c r="FV9" s="351" t="n">
        <v>5</v>
      </c>
      <c r="FW9" s="351" t="n">
        <v>5</v>
      </c>
      <c r="FX9" s="351" t="n">
        <v>5</v>
      </c>
      <c r="FY9" s="352" t="n">
        <v>5</v>
      </c>
      <c r="FZ9" s="350"/>
      <c r="GA9" s="351"/>
      <c r="GB9" s="351"/>
      <c r="GC9" s="351"/>
      <c r="GD9" s="352"/>
      <c r="GE9" s="350" t="n">
        <v>5</v>
      </c>
      <c r="GF9" s="351" t="n">
        <v>5</v>
      </c>
      <c r="GG9" s="351"/>
      <c r="GH9" s="351" t="n">
        <v>5</v>
      </c>
      <c r="GI9" s="352" t="n">
        <v>5</v>
      </c>
      <c r="GJ9" s="350" t="n">
        <v>5</v>
      </c>
      <c r="GK9" s="351" t="n">
        <v>5</v>
      </c>
      <c r="GL9" s="351" t="n">
        <v>3</v>
      </c>
      <c r="GM9" s="351" t="n">
        <v>5</v>
      </c>
      <c r="GN9" s="352" t="n">
        <v>3</v>
      </c>
      <c r="GO9" s="350"/>
      <c r="GP9" s="351"/>
      <c r="GQ9" s="351"/>
      <c r="GR9" s="351"/>
      <c r="GS9" s="352"/>
      <c r="GT9" s="350"/>
      <c r="GU9" s="351"/>
      <c r="GV9" s="351"/>
      <c r="GW9" s="351"/>
      <c r="GX9" s="352"/>
      <c r="GY9" s="350"/>
      <c r="GZ9" s="351"/>
      <c r="HA9" s="351"/>
      <c r="HB9" s="351"/>
      <c r="HC9" s="352"/>
      <c r="HD9" s="350" t="n">
        <v>3</v>
      </c>
      <c r="HE9" s="351" t="n">
        <v>5</v>
      </c>
      <c r="HF9" s="351" t="n">
        <v>5</v>
      </c>
      <c r="HG9" s="351" t="n">
        <v>5</v>
      </c>
      <c r="HH9" s="352" t="n">
        <v>3</v>
      </c>
      <c r="HI9" s="350" t="n">
        <v>5</v>
      </c>
      <c r="HJ9" s="351" t="n">
        <v>5</v>
      </c>
      <c r="HK9" s="351" t="n">
        <v>5</v>
      </c>
      <c r="HL9" s="351" t="n">
        <v>3</v>
      </c>
      <c r="HM9" s="352" t="n">
        <v>3</v>
      </c>
      <c r="HN9" s="350" t="n">
        <v>5</v>
      </c>
      <c r="HO9" s="351" t="n">
        <v>5</v>
      </c>
      <c r="HP9" s="351" t="n">
        <v>1</v>
      </c>
      <c r="HQ9" s="351" t="n">
        <v>5</v>
      </c>
      <c r="HR9" s="352" t="n">
        <v>5</v>
      </c>
      <c r="HS9" s="350" t="n">
        <v>5</v>
      </c>
      <c r="HT9" s="351" t="n">
        <v>3</v>
      </c>
      <c r="HU9" s="351" t="n">
        <v>3</v>
      </c>
      <c r="HV9" s="351" t="n">
        <v>5</v>
      </c>
      <c r="HW9" s="352" t="n">
        <v>5</v>
      </c>
      <c r="HX9" s="350"/>
      <c r="HY9" s="351" t="n">
        <v>5</v>
      </c>
      <c r="HZ9" s="351" t="n">
        <v>1</v>
      </c>
      <c r="IA9" s="351"/>
      <c r="IB9" s="352"/>
      <c r="IC9" s="350"/>
      <c r="ID9" s="351" t="n">
        <v>5</v>
      </c>
      <c r="IE9" s="351" t="n">
        <v>1</v>
      </c>
      <c r="IF9" s="351"/>
      <c r="IG9" s="352"/>
      <c r="IH9" s="350"/>
      <c r="II9" s="351" t="n">
        <v>5</v>
      </c>
      <c r="IJ9" s="351" t="n">
        <v>1</v>
      </c>
      <c r="IK9" s="351"/>
      <c r="IL9" s="352"/>
      <c r="IM9" s="350"/>
      <c r="IN9" s="351" t="n">
        <v>5</v>
      </c>
      <c r="IO9" s="351" t="n">
        <v>1</v>
      </c>
      <c r="IP9" s="351"/>
      <c r="IQ9" s="352"/>
      <c r="IR9" s="350"/>
      <c r="IS9" s="351" t="n">
        <v>5</v>
      </c>
      <c r="IT9" s="351" t="n">
        <v>1</v>
      </c>
      <c r="IU9" s="351"/>
      <c r="IV9" s="352"/>
      <c r="IW9" s="350"/>
      <c r="IX9" s="351" t="n">
        <v>5</v>
      </c>
      <c r="IY9" s="351" t="n">
        <v>1</v>
      </c>
      <c r="IZ9" s="351"/>
      <c r="JA9" s="352"/>
      <c r="JB9" s="350"/>
      <c r="JC9" s="351" t="n">
        <v>5</v>
      </c>
      <c r="JD9" s="351" t="n">
        <v>1</v>
      </c>
      <c r="JE9" s="351"/>
      <c r="JF9" s="352"/>
      <c r="JG9" s="350"/>
      <c r="JH9" s="351" t="n">
        <v>5</v>
      </c>
      <c r="JI9" s="351" t="n">
        <v>1</v>
      </c>
      <c r="JJ9" s="351"/>
      <c r="JK9" s="352"/>
      <c r="JL9" s="350"/>
      <c r="JM9" s="351" t="n">
        <v>5</v>
      </c>
      <c r="JN9" s="351" t="n">
        <v>1</v>
      </c>
      <c r="JO9" s="351"/>
      <c r="JP9" s="352"/>
      <c r="JQ9" s="350"/>
      <c r="JR9" s="351" t="n">
        <v>5</v>
      </c>
      <c r="JS9" s="351" t="n">
        <v>1</v>
      </c>
      <c r="JT9" s="351"/>
      <c r="JU9" s="352"/>
      <c r="JV9" s="350"/>
      <c r="JW9" s="351" t="n">
        <v>5</v>
      </c>
      <c r="JX9" s="351" t="n">
        <v>1</v>
      </c>
      <c r="JY9" s="351"/>
      <c r="JZ9" s="352"/>
      <c r="KA9" s="350"/>
      <c r="KB9" s="351" t="n">
        <v>5</v>
      </c>
      <c r="KC9" s="351" t="n">
        <v>1</v>
      </c>
      <c r="KD9" s="351"/>
      <c r="KE9" s="352"/>
      <c r="KF9" s="350"/>
      <c r="KG9" s="351" t="n">
        <v>5</v>
      </c>
      <c r="KH9" s="351" t="n">
        <v>1</v>
      </c>
      <c r="KI9" s="351"/>
      <c r="KJ9" s="352"/>
      <c r="KK9" s="350"/>
      <c r="KL9" s="351" t="n">
        <v>5</v>
      </c>
      <c r="KM9" s="351" t="n">
        <v>1</v>
      </c>
      <c r="KN9" s="351"/>
      <c r="KO9" s="352"/>
      <c r="KP9" s="350"/>
      <c r="KQ9" s="351" t="n">
        <v>5</v>
      </c>
      <c r="KR9" s="351" t="n">
        <v>1</v>
      </c>
      <c r="KS9" s="351"/>
      <c r="KT9" s="352"/>
      <c r="KU9" s="350"/>
      <c r="KV9" s="351" t="n">
        <v>5</v>
      </c>
      <c r="KW9" s="351" t="n">
        <v>1</v>
      </c>
      <c r="KX9" s="351"/>
      <c r="KY9" s="352"/>
      <c r="KZ9" s="350"/>
      <c r="LA9" s="351" t="n">
        <v>5</v>
      </c>
      <c r="LB9" s="351" t="n">
        <v>1</v>
      </c>
      <c r="LC9" s="351"/>
      <c r="LD9" s="352"/>
      <c r="LE9" s="350"/>
      <c r="LF9" s="351" t="n">
        <v>5</v>
      </c>
      <c r="LG9" s="351" t="n">
        <v>1</v>
      </c>
      <c r="LH9" s="351"/>
      <c r="LI9" s="352"/>
      <c r="LJ9" s="350"/>
      <c r="LK9" s="351" t="n">
        <v>5</v>
      </c>
      <c r="LL9" s="351" t="n">
        <v>1</v>
      </c>
      <c r="LM9" s="351"/>
      <c r="LN9" s="352"/>
      <c r="LO9" s="350"/>
      <c r="LP9" s="351" t="n">
        <v>5</v>
      </c>
      <c r="LQ9" s="351" t="n">
        <v>1</v>
      </c>
      <c r="LR9" s="351"/>
      <c r="LS9" s="352"/>
      <c r="LT9" s="350"/>
      <c r="LU9" s="351" t="n">
        <v>5</v>
      </c>
      <c r="LV9" s="351" t="n">
        <v>1</v>
      </c>
      <c r="LW9" s="351"/>
      <c r="LX9" s="352"/>
      <c r="LY9" s="350"/>
      <c r="LZ9" s="351" t="n">
        <v>5</v>
      </c>
      <c r="MA9" s="351" t="n">
        <v>1</v>
      </c>
      <c r="MB9" s="351"/>
      <c r="MC9" s="352"/>
      <c r="MD9" s="350"/>
      <c r="ME9" s="351" t="n">
        <v>5</v>
      </c>
      <c r="MF9" s="351" t="n">
        <v>1</v>
      </c>
      <c r="MG9" s="351"/>
      <c r="MH9" s="352"/>
      <c r="MI9" s="350"/>
      <c r="MJ9" s="351" t="n">
        <v>5</v>
      </c>
      <c r="MK9" s="351" t="n">
        <v>1</v>
      </c>
      <c r="ML9" s="351"/>
      <c r="MM9" s="352"/>
      <c r="MN9" s="350"/>
      <c r="MO9" s="351" t="n">
        <v>5</v>
      </c>
      <c r="MP9" s="351" t="n">
        <v>1</v>
      </c>
      <c r="MQ9" s="351"/>
      <c r="MR9" s="352"/>
      <c r="MS9" s="350"/>
      <c r="MT9" s="351" t="n">
        <v>5</v>
      </c>
      <c r="MU9" s="351" t="n">
        <v>1</v>
      </c>
      <c r="MV9" s="351"/>
      <c r="MW9" s="352"/>
      <c r="MX9" s="350"/>
      <c r="MY9" s="351" t="n">
        <v>5</v>
      </c>
      <c r="MZ9" s="351" t="n">
        <v>1</v>
      </c>
      <c r="NA9" s="351"/>
      <c r="NB9" s="352"/>
      <c r="NC9" s="350"/>
      <c r="ND9" s="351" t="n">
        <v>5</v>
      </c>
      <c r="NE9" s="351" t="n">
        <v>1</v>
      </c>
      <c r="NF9" s="351"/>
      <c r="NG9" s="352"/>
      <c r="NH9" s="350"/>
      <c r="NI9" s="351" t="n">
        <v>5</v>
      </c>
      <c r="NJ9" s="351" t="n">
        <v>1</v>
      </c>
      <c r="NK9" s="351"/>
      <c r="NL9" s="352"/>
      <c r="NM9" s="350"/>
      <c r="NN9" s="351" t="n">
        <v>5</v>
      </c>
      <c r="NO9" s="351" t="n">
        <v>1</v>
      </c>
      <c r="NP9" s="351"/>
      <c r="NQ9" s="352"/>
      <c r="NR9" s="350"/>
      <c r="NS9" s="351" t="n">
        <v>5</v>
      </c>
      <c r="NT9" s="351" t="n">
        <v>1</v>
      </c>
      <c r="NU9" s="351"/>
      <c r="NV9" s="352"/>
      <c r="NW9" s="350"/>
      <c r="NX9" s="351" t="n">
        <v>5</v>
      </c>
      <c r="NY9" s="351" t="n">
        <v>1</v>
      </c>
      <c r="NZ9" s="351"/>
      <c r="OA9" s="352"/>
      <c r="OB9" s="350"/>
      <c r="OC9" s="351" t="n">
        <v>5</v>
      </c>
      <c r="OD9" s="351" t="n">
        <v>1</v>
      </c>
      <c r="OE9" s="351"/>
      <c r="OF9" s="352"/>
      <c r="OG9" s="350"/>
      <c r="OH9" s="351" t="n">
        <v>5</v>
      </c>
      <c r="OI9" s="351" t="n">
        <v>1</v>
      </c>
      <c r="OJ9" s="351"/>
      <c r="OK9" s="352"/>
      <c r="OL9" s="350"/>
      <c r="OM9" s="351" t="n">
        <v>5</v>
      </c>
      <c r="ON9" s="351" t="n">
        <v>1</v>
      </c>
      <c r="OO9" s="351"/>
      <c r="OP9" s="352"/>
      <c r="OQ9" s="350"/>
      <c r="OR9" s="351" t="n">
        <v>5</v>
      </c>
      <c r="OS9" s="351" t="n">
        <v>1</v>
      </c>
      <c r="OT9" s="351"/>
      <c r="OU9" s="352"/>
      <c r="OV9" s="350"/>
      <c r="OW9" s="351" t="n">
        <v>5</v>
      </c>
      <c r="OX9" s="351" t="n">
        <v>1</v>
      </c>
      <c r="OY9" s="351"/>
      <c r="OZ9" s="352"/>
      <c r="PA9" s="350"/>
      <c r="PB9" s="351" t="n">
        <v>5</v>
      </c>
      <c r="PC9" s="351" t="n">
        <v>1</v>
      </c>
      <c r="PD9" s="351"/>
      <c r="PE9" s="352"/>
      <c r="PF9" s="350"/>
      <c r="PG9" s="351" t="n">
        <v>5</v>
      </c>
      <c r="PH9" s="351" t="n">
        <v>1</v>
      </c>
      <c r="PI9" s="351"/>
      <c r="PJ9" s="352"/>
      <c r="PK9" s="350"/>
      <c r="PL9" s="351" t="n">
        <v>5</v>
      </c>
      <c r="PM9" s="351" t="n">
        <v>1</v>
      </c>
      <c r="PN9" s="351"/>
      <c r="PO9" s="352"/>
      <c r="PP9" s="350"/>
      <c r="PQ9" s="351" t="n">
        <v>5</v>
      </c>
      <c r="PR9" s="351" t="n">
        <v>1</v>
      </c>
      <c r="PS9" s="351"/>
      <c r="PT9" s="352"/>
      <c r="PU9" s="350"/>
      <c r="PV9" s="351" t="n">
        <v>5</v>
      </c>
      <c r="PW9" s="351" t="n">
        <v>1</v>
      </c>
      <c r="PX9" s="351"/>
      <c r="PY9" s="352"/>
      <c r="PZ9" s="350"/>
      <c r="QA9" s="351" t="n">
        <v>5</v>
      </c>
      <c r="QB9" s="351" t="n">
        <v>1</v>
      </c>
      <c r="QC9" s="351"/>
      <c r="QD9" s="352"/>
      <c r="QE9" s="350"/>
      <c r="QF9" s="351" t="n">
        <v>5</v>
      </c>
      <c r="QG9" s="351" t="n">
        <v>1</v>
      </c>
      <c r="QH9" s="351"/>
      <c r="QI9" s="352"/>
      <c r="QJ9" s="350"/>
      <c r="QK9" s="351" t="n">
        <v>5</v>
      </c>
      <c r="QL9" s="351" t="n">
        <v>1</v>
      </c>
      <c r="QM9" s="351"/>
      <c r="QN9" s="352"/>
      <c r="QO9" s="350"/>
      <c r="QP9" s="351" t="n">
        <v>5</v>
      </c>
      <c r="QQ9" s="351" t="n">
        <v>1</v>
      </c>
      <c r="QR9" s="351"/>
      <c r="QS9" s="352"/>
      <c r="QT9" s="350"/>
      <c r="QU9" s="351" t="n">
        <v>5</v>
      </c>
      <c r="QV9" s="351" t="n">
        <v>1</v>
      </c>
      <c r="QW9" s="351"/>
      <c r="QX9" s="352"/>
      <c r="QY9" s="350"/>
      <c r="QZ9" s="351" t="n">
        <v>5</v>
      </c>
      <c r="RA9" s="351" t="n">
        <v>1</v>
      </c>
      <c r="RB9" s="351"/>
      <c r="RC9" s="352"/>
      <c r="RD9" s="350"/>
      <c r="RE9" s="351" t="n">
        <v>5</v>
      </c>
      <c r="RF9" s="351" t="n">
        <v>1</v>
      </c>
      <c r="RG9" s="351"/>
      <c r="RH9" s="352"/>
      <c r="RI9" s="350"/>
      <c r="RJ9" s="351" t="n">
        <v>5</v>
      </c>
      <c r="RK9" s="351" t="n">
        <v>1</v>
      </c>
      <c r="RL9" s="351"/>
      <c r="RM9" s="352"/>
      <c r="RN9" s="350"/>
      <c r="RO9" s="351" t="n">
        <v>5</v>
      </c>
      <c r="RP9" s="351" t="n">
        <v>1</v>
      </c>
      <c r="RQ9" s="351"/>
      <c r="RR9" s="352"/>
      <c r="RS9" s="350"/>
      <c r="RT9" s="351" t="n">
        <v>5</v>
      </c>
      <c r="RU9" s="351" t="n">
        <v>1</v>
      </c>
      <c r="RV9" s="351"/>
      <c r="RW9" s="352"/>
      <c r="RX9" s="350"/>
      <c r="RY9" s="351" t="n">
        <v>5</v>
      </c>
      <c r="RZ9" s="351" t="n">
        <v>1</v>
      </c>
      <c r="SA9" s="351"/>
      <c r="SB9" s="352"/>
      <c r="SC9" s="350"/>
      <c r="SD9" s="351" t="n">
        <v>5</v>
      </c>
      <c r="SE9" s="351" t="n">
        <v>1</v>
      </c>
      <c r="SF9" s="351"/>
      <c r="SG9" s="352"/>
      <c r="SH9" s="350"/>
      <c r="SI9" s="351" t="n">
        <v>5</v>
      </c>
      <c r="SJ9" s="351" t="n">
        <v>1</v>
      </c>
      <c r="SK9" s="351"/>
      <c r="SL9" s="352"/>
      <c r="SM9" s="350"/>
      <c r="SN9" s="351" t="n">
        <v>5</v>
      </c>
      <c r="SO9" s="351" t="n">
        <v>1</v>
      </c>
      <c r="SP9" s="351"/>
      <c r="SQ9" s="352"/>
      <c r="SR9" s="350"/>
      <c r="SS9" s="351" t="n">
        <v>5</v>
      </c>
      <c r="ST9" s="351" t="n">
        <v>1</v>
      </c>
      <c r="SU9" s="351"/>
      <c r="SV9" s="352"/>
      <c r="SW9" s="350"/>
      <c r="SX9" s="351"/>
      <c r="SY9" s="351" t="n">
        <v>3</v>
      </c>
      <c r="SZ9" s="351"/>
      <c r="TA9" s="352"/>
      <c r="TB9" s="354" t="n">
        <f aca="false">+AVERAGE(B9:IB9)</f>
        <v>4.20720720720721</v>
      </c>
    </row>
    <row r="10" customFormat="false" ht="18.65" hidden="false" customHeight="false" outlineLevel="0" collapsed="false">
      <c r="A10" s="357" t="s">
        <v>127</v>
      </c>
      <c r="B10" s="350"/>
      <c r="C10" s="351"/>
      <c r="D10" s="351"/>
      <c r="E10" s="351"/>
      <c r="F10" s="352"/>
      <c r="G10" s="350"/>
      <c r="H10" s="351"/>
      <c r="I10" s="351"/>
      <c r="J10" s="351"/>
      <c r="K10" s="352"/>
      <c r="L10" s="350"/>
      <c r="M10" s="351"/>
      <c r="N10" s="351"/>
      <c r="O10" s="351"/>
      <c r="P10" s="352"/>
      <c r="Q10" s="350"/>
      <c r="R10" s="351"/>
      <c r="S10" s="351"/>
      <c r="T10" s="351"/>
      <c r="U10" s="352"/>
      <c r="V10" s="350"/>
      <c r="W10" s="351"/>
      <c r="X10" s="351"/>
      <c r="Y10" s="351"/>
      <c r="Z10" s="352"/>
      <c r="AA10" s="350"/>
      <c r="AB10" s="351"/>
      <c r="AC10" s="351"/>
      <c r="AD10" s="351"/>
      <c r="AE10" s="352"/>
      <c r="AF10" s="350"/>
      <c r="AG10" s="351"/>
      <c r="AH10" s="351"/>
      <c r="AI10" s="351"/>
      <c r="AJ10" s="352"/>
      <c r="AK10" s="350"/>
      <c r="AL10" s="351"/>
      <c r="AM10" s="351"/>
      <c r="AN10" s="351"/>
      <c r="AO10" s="352"/>
      <c r="AP10" s="350"/>
      <c r="AQ10" s="351"/>
      <c r="AR10" s="351"/>
      <c r="AS10" s="351"/>
      <c r="AT10" s="352"/>
      <c r="AU10" s="350"/>
      <c r="AV10" s="351"/>
      <c r="AW10" s="351"/>
      <c r="AX10" s="351"/>
      <c r="AY10" s="352"/>
      <c r="AZ10" s="350"/>
      <c r="BA10" s="351"/>
      <c r="BB10" s="351"/>
      <c r="BC10" s="351"/>
      <c r="BD10" s="352"/>
      <c r="BE10" s="350"/>
      <c r="BF10" s="351"/>
      <c r="BG10" s="351"/>
      <c r="BH10" s="351"/>
      <c r="BI10" s="352"/>
      <c r="BJ10" s="350"/>
      <c r="BK10" s="351"/>
      <c r="BL10" s="351"/>
      <c r="BM10" s="351"/>
      <c r="BN10" s="351"/>
      <c r="BO10" s="350"/>
      <c r="BP10" s="351"/>
      <c r="BQ10" s="351"/>
      <c r="BR10" s="351"/>
      <c r="BS10" s="352"/>
      <c r="BT10" s="350"/>
      <c r="BU10" s="351"/>
      <c r="BV10" s="351"/>
      <c r="BW10" s="351"/>
      <c r="BX10" s="352"/>
      <c r="BY10" s="350"/>
      <c r="BZ10" s="351"/>
      <c r="CA10" s="351"/>
      <c r="CB10" s="351"/>
      <c r="CC10" s="352"/>
      <c r="CD10" s="350"/>
      <c r="CE10" s="351"/>
      <c r="CF10" s="351"/>
      <c r="CG10" s="351"/>
      <c r="CH10" s="352"/>
      <c r="CI10" s="350"/>
      <c r="CJ10" s="351"/>
      <c r="CK10" s="351"/>
      <c r="CL10" s="351"/>
      <c r="CM10" s="352"/>
      <c r="CN10" s="350"/>
      <c r="CO10" s="351"/>
      <c r="CP10" s="351"/>
      <c r="CQ10" s="351"/>
      <c r="CR10" s="352"/>
      <c r="CS10" s="350"/>
      <c r="CT10" s="351" t="n">
        <v>5</v>
      </c>
      <c r="CU10" s="351" t="n">
        <v>5</v>
      </c>
      <c r="CV10" s="351" t="n">
        <v>5</v>
      </c>
      <c r="CW10" s="352" t="n">
        <v>5</v>
      </c>
      <c r="CX10" s="350" t="n">
        <v>5</v>
      </c>
      <c r="CY10" s="351" t="n">
        <v>5</v>
      </c>
      <c r="CZ10" s="351" t="n">
        <v>5</v>
      </c>
      <c r="DA10" s="351" t="n">
        <v>5</v>
      </c>
      <c r="DB10" s="352" t="n">
        <v>5</v>
      </c>
      <c r="DC10" s="350"/>
      <c r="DD10" s="351"/>
      <c r="DE10" s="351"/>
      <c r="DF10" s="351"/>
      <c r="DG10" s="352"/>
      <c r="DH10" s="350"/>
      <c r="DI10" s="351"/>
      <c r="DJ10" s="351"/>
      <c r="DK10" s="351"/>
      <c r="DL10" s="352"/>
      <c r="DM10" s="350"/>
      <c r="DN10" s="351"/>
      <c r="DO10" s="351"/>
      <c r="DP10" s="351"/>
      <c r="DQ10" s="352"/>
      <c r="DR10" s="350"/>
      <c r="DS10" s="351"/>
      <c r="DT10" s="351" t="n">
        <v>5</v>
      </c>
      <c r="DU10" s="351"/>
      <c r="DV10" s="352"/>
      <c r="DW10" s="350"/>
      <c r="DX10" s="351"/>
      <c r="DY10" s="351"/>
      <c r="DZ10" s="351"/>
      <c r="EA10" s="352"/>
      <c r="EB10" s="350"/>
      <c r="EC10" s="351"/>
      <c r="ED10" s="351"/>
      <c r="EE10" s="351"/>
      <c r="EF10" s="352"/>
      <c r="EG10" s="350"/>
      <c r="EH10" s="351"/>
      <c r="EI10" s="351"/>
      <c r="EJ10" s="351"/>
      <c r="EK10" s="352"/>
      <c r="EL10" s="350"/>
      <c r="EM10" s="351" t="n">
        <v>5</v>
      </c>
      <c r="EN10" s="351" t="n">
        <v>5</v>
      </c>
      <c r="EO10" s="351" t="n">
        <v>5</v>
      </c>
      <c r="EP10" s="352" t="n">
        <v>5</v>
      </c>
      <c r="EQ10" s="350" t="n">
        <v>3</v>
      </c>
      <c r="ER10" s="351" t="n">
        <v>5</v>
      </c>
      <c r="ES10" s="351" t="n">
        <v>5</v>
      </c>
      <c r="ET10" s="351" t="n">
        <v>5</v>
      </c>
      <c r="EU10" s="352" t="n">
        <v>5</v>
      </c>
      <c r="EV10" s="350"/>
      <c r="EW10" s="351"/>
      <c r="EX10" s="351"/>
      <c r="EY10" s="351"/>
      <c r="EZ10" s="352"/>
      <c r="FA10" s="350"/>
      <c r="FB10" s="351"/>
      <c r="FC10" s="351"/>
      <c r="FD10" s="351"/>
      <c r="FE10" s="352"/>
      <c r="FF10" s="350" t="n">
        <v>5</v>
      </c>
      <c r="FG10" s="351" t="n">
        <v>5</v>
      </c>
      <c r="FH10" s="351" t="n">
        <v>5</v>
      </c>
      <c r="FI10" s="351" t="n">
        <v>5</v>
      </c>
      <c r="FJ10" s="352" t="n">
        <v>3</v>
      </c>
      <c r="FK10" s="350" t="n">
        <v>3</v>
      </c>
      <c r="FL10" s="351" t="n">
        <v>5</v>
      </c>
      <c r="FM10" s="351" t="n">
        <v>5</v>
      </c>
      <c r="FN10" s="351" t="n">
        <v>5</v>
      </c>
      <c r="FO10" s="352" t="n">
        <v>5</v>
      </c>
      <c r="FP10" s="350" t="n">
        <v>5</v>
      </c>
      <c r="FQ10" s="350" t="n">
        <v>5</v>
      </c>
      <c r="FR10" s="350" t="n">
        <v>5</v>
      </c>
      <c r="FS10" s="351" t="n">
        <v>5</v>
      </c>
      <c r="FT10" s="352" t="n">
        <v>5</v>
      </c>
      <c r="FU10" s="350" t="n">
        <v>5</v>
      </c>
      <c r="FV10" s="351" t="n">
        <v>5</v>
      </c>
      <c r="FW10" s="351" t="n">
        <v>5</v>
      </c>
      <c r="FX10" s="351" t="n">
        <v>5</v>
      </c>
      <c r="FY10" s="352" t="n">
        <v>3</v>
      </c>
      <c r="FZ10" s="350"/>
      <c r="GA10" s="351"/>
      <c r="GB10" s="351"/>
      <c r="GC10" s="351"/>
      <c r="GD10" s="352"/>
      <c r="GE10" s="350" t="n">
        <v>5</v>
      </c>
      <c r="GF10" s="351" t="n">
        <v>5</v>
      </c>
      <c r="GG10" s="351"/>
      <c r="GH10" s="351" t="n">
        <v>5</v>
      </c>
      <c r="GI10" s="352" t="n">
        <v>5</v>
      </c>
      <c r="GJ10" s="350" t="n">
        <v>3</v>
      </c>
      <c r="GK10" s="351" t="n">
        <v>5</v>
      </c>
      <c r="GL10" s="351" t="n">
        <v>5</v>
      </c>
      <c r="GM10" s="351" t="n">
        <v>5</v>
      </c>
      <c r="GN10" s="352" t="n">
        <v>3</v>
      </c>
      <c r="GO10" s="350"/>
      <c r="GP10" s="351"/>
      <c r="GQ10" s="351"/>
      <c r="GR10" s="351"/>
      <c r="GS10" s="352"/>
      <c r="GT10" s="350"/>
      <c r="GU10" s="351"/>
      <c r="GV10" s="351"/>
      <c r="GW10" s="351"/>
      <c r="GX10" s="352"/>
      <c r="GY10" s="350"/>
      <c r="GZ10" s="351"/>
      <c r="HA10" s="351"/>
      <c r="HB10" s="351"/>
      <c r="HC10" s="352"/>
      <c r="HD10" s="350" t="n">
        <v>3</v>
      </c>
      <c r="HE10" s="351" t="n">
        <v>5</v>
      </c>
      <c r="HF10" s="351" t="n">
        <v>5</v>
      </c>
      <c r="HG10" s="351" t="n">
        <v>5</v>
      </c>
      <c r="HH10" s="352" t="n">
        <v>3</v>
      </c>
      <c r="HI10" s="350" t="n">
        <v>3</v>
      </c>
      <c r="HJ10" s="351" t="n">
        <v>5</v>
      </c>
      <c r="HK10" s="351" t="n">
        <v>5</v>
      </c>
      <c r="HL10" s="351" t="n">
        <v>5</v>
      </c>
      <c r="HM10" s="352" t="n">
        <v>5</v>
      </c>
      <c r="HN10" s="350" t="n">
        <v>5</v>
      </c>
      <c r="HO10" s="351" t="n">
        <v>5</v>
      </c>
      <c r="HP10" s="351" t="n">
        <v>5</v>
      </c>
      <c r="HQ10" s="351" t="n">
        <v>5</v>
      </c>
      <c r="HR10" s="352" t="n">
        <v>5</v>
      </c>
      <c r="HS10" s="350" t="n">
        <v>5</v>
      </c>
      <c r="HT10" s="351" t="n">
        <v>5</v>
      </c>
      <c r="HU10" s="351" t="n">
        <v>5</v>
      </c>
      <c r="HV10" s="351" t="n">
        <v>5</v>
      </c>
      <c r="HW10" s="352" t="n">
        <v>5</v>
      </c>
      <c r="HX10" s="350" t="n">
        <v>5</v>
      </c>
      <c r="HY10" s="351" t="n">
        <v>5</v>
      </c>
      <c r="HZ10" s="351" t="n">
        <v>5</v>
      </c>
      <c r="IA10" s="351" t="n">
        <v>5</v>
      </c>
      <c r="IB10" s="352" t="n">
        <v>5</v>
      </c>
      <c r="IC10" s="350" t="n">
        <v>5</v>
      </c>
      <c r="ID10" s="351" t="n">
        <v>5</v>
      </c>
      <c r="IE10" s="351" t="n">
        <v>5</v>
      </c>
      <c r="IF10" s="351" t="n">
        <v>5</v>
      </c>
      <c r="IG10" s="352" t="n">
        <v>5</v>
      </c>
      <c r="IH10" s="350" t="n">
        <v>5</v>
      </c>
      <c r="II10" s="351" t="n">
        <v>5</v>
      </c>
      <c r="IJ10" s="351" t="n">
        <v>5</v>
      </c>
      <c r="IK10" s="351" t="n">
        <v>5</v>
      </c>
      <c r="IL10" s="352" t="n">
        <v>5</v>
      </c>
      <c r="IM10" s="350" t="n">
        <v>5</v>
      </c>
      <c r="IN10" s="351" t="n">
        <v>5</v>
      </c>
      <c r="IO10" s="351" t="n">
        <v>5</v>
      </c>
      <c r="IP10" s="351" t="n">
        <v>5</v>
      </c>
      <c r="IQ10" s="352" t="n">
        <v>5</v>
      </c>
      <c r="IR10" s="350" t="n">
        <v>5</v>
      </c>
      <c r="IS10" s="351" t="n">
        <v>5</v>
      </c>
      <c r="IT10" s="351" t="n">
        <v>5</v>
      </c>
      <c r="IU10" s="351" t="n">
        <v>5</v>
      </c>
      <c r="IV10" s="352" t="n">
        <v>5</v>
      </c>
      <c r="IW10" s="350" t="n">
        <v>5</v>
      </c>
      <c r="IX10" s="351" t="n">
        <v>5</v>
      </c>
      <c r="IY10" s="351" t="n">
        <v>5</v>
      </c>
      <c r="IZ10" s="351" t="n">
        <v>5</v>
      </c>
      <c r="JA10" s="352" t="n">
        <v>5</v>
      </c>
      <c r="JB10" s="350" t="n">
        <v>5</v>
      </c>
      <c r="JC10" s="351" t="n">
        <v>5</v>
      </c>
      <c r="JD10" s="351" t="n">
        <v>5</v>
      </c>
      <c r="JE10" s="351" t="n">
        <v>5</v>
      </c>
      <c r="JF10" s="352" t="n">
        <v>5</v>
      </c>
      <c r="JG10" s="350" t="n">
        <v>5</v>
      </c>
      <c r="JH10" s="351" t="n">
        <v>5</v>
      </c>
      <c r="JI10" s="351" t="n">
        <v>5</v>
      </c>
      <c r="JJ10" s="351" t="n">
        <v>5</v>
      </c>
      <c r="JK10" s="352" t="n">
        <v>5</v>
      </c>
      <c r="JL10" s="350" t="n">
        <v>5</v>
      </c>
      <c r="JM10" s="351" t="n">
        <v>5</v>
      </c>
      <c r="JN10" s="351" t="n">
        <v>5</v>
      </c>
      <c r="JO10" s="351" t="n">
        <v>5</v>
      </c>
      <c r="JP10" s="352" t="n">
        <v>5</v>
      </c>
      <c r="JQ10" s="350" t="n">
        <v>5</v>
      </c>
      <c r="JR10" s="351" t="n">
        <v>5</v>
      </c>
      <c r="JS10" s="351" t="n">
        <v>5</v>
      </c>
      <c r="JT10" s="351" t="n">
        <v>5</v>
      </c>
      <c r="JU10" s="352" t="n">
        <v>5</v>
      </c>
      <c r="JV10" s="350" t="n">
        <v>5</v>
      </c>
      <c r="JW10" s="351" t="n">
        <v>5</v>
      </c>
      <c r="JX10" s="351" t="n">
        <v>5</v>
      </c>
      <c r="JY10" s="351" t="n">
        <v>5</v>
      </c>
      <c r="JZ10" s="352" t="n">
        <v>5</v>
      </c>
      <c r="KA10" s="350" t="n">
        <v>5</v>
      </c>
      <c r="KB10" s="351" t="n">
        <v>5</v>
      </c>
      <c r="KC10" s="351" t="n">
        <v>5</v>
      </c>
      <c r="KD10" s="351" t="n">
        <v>5</v>
      </c>
      <c r="KE10" s="352" t="n">
        <v>5</v>
      </c>
      <c r="KF10" s="350" t="n">
        <v>5</v>
      </c>
      <c r="KG10" s="351" t="n">
        <v>5</v>
      </c>
      <c r="KH10" s="351" t="n">
        <v>5</v>
      </c>
      <c r="KI10" s="351" t="n">
        <v>5</v>
      </c>
      <c r="KJ10" s="352" t="n">
        <v>5</v>
      </c>
      <c r="KK10" s="350" t="n">
        <v>5</v>
      </c>
      <c r="KL10" s="351" t="n">
        <v>5</v>
      </c>
      <c r="KM10" s="351" t="n">
        <v>5</v>
      </c>
      <c r="KN10" s="351" t="n">
        <v>5</v>
      </c>
      <c r="KO10" s="352" t="n">
        <v>5</v>
      </c>
      <c r="KP10" s="350" t="n">
        <v>5</v>
      </c>
      <c r="KQ10" s="351" t="n">
        <v>5</v>
      </c>
      <c r="KR10" s="351" t="n">
        <v>5</v>
      </c>
      <c r="KS10" s="351" t="n">
        <v>5</v>
      </c>
      <c r="KT10" s="352" t="n">
        <v>5</v>
      </c>
      <c r="KU10" s="350" t="n">
        <v>5</v>
      </c>
      <c r="KV10" s="351" t="n">
        <v>5</v>
      </c>
      <c r="KW10" s="351" t="n">
        <v>5</v>
      </c>
      <c r="KX10" s="351" t="n">
        <v>5</v>
      </c>
      <c r="KY10" s="352" t="n">
        <v>5</v>
      </c>
      <c r="KZ10" s="350" t="n">
        <v>5</v>
      </c>
      <c r="LA10" s="351" t="n">
        <v>5</v>
      </c>
      <c r="LB10" s="351" t="n">
        <v>5</v>
      </c>
      <c r="LC10" s="351" t="n">
        <v>5</v>
      </c>
      <c r="LD10" s="352" t="n">
        <v>5</v>
      </c>
      <c r="LE10" s="350" t="n">
        <v>5</v>
      </c>
      <c r="LF10" s="351" t="n">
        <v>5</v>
      </c>
      <c r="LG10" s="351" t="n">
        <v>5</v>
      </c>
      <c r="LH10" s="351" t="n">
        <v>5</v>
      </c>
      <c r="LI10" s="352" t="n">
        <v>5</v>
      </c>
      <c r="LJ10" s="350" t="n">
        <v>5</v>
      </c>
      <c r="LK10" s="351" t="n">
        <v>5</v>
      </c>
      <c r="LL10" s="351" t="n">
        <v>5</v>
      </c>
      <c r="LM10" s="351" t="n">
        <v>5</v>
      </c>
      <c r="LN10" s="352" t="n">
        <v>5</v>
      </c>
      <c r="LO10" s="350" t="n">
        <v>5</v>
      </c>
      <c r="LP10" s="351" t="n">
        <v>5</v>
      </c>
      <c r="LQ10" s="351" t="n">
        <v>5</v>
      </c>
      <c r="LR10" s="351" t="n">
        <v>5</v>
      </c>
      <c r="LS10" s="352" t="n">
        <v>5</v>
      </c>
      <c r="LT10" s="350" t="n">
        <v>5</v>
      </c>
      <c r="LU10" s="351" t="n">
        <v>5</v>
      </c>
      <c r="LV10" s="351" t="n">
        <v>5</v>
      </c>
      <c r="LW10" s="351" t="n">
        <v>5</v>
      </c>
      <c r="LX10" s="352" t="n">
        <v>5</v>
      </c>
      <c r="LY10" s="350" t="n">
        <v>5</v>
      </c>
      <c r="LZ10" s="351" t="n">
        <v>5</v>
      </c>
      <c r="MA10" s="351" t="n">
        <v>5</v>
      </c>
      <c r="MB10" s="351" t="n">
        <v>5</v>
      </c>
      <c r="MC10" s="352" t="n">
        <v>5</v>
      </c>
      <c r="MD10" s="350" t="n">
        <v>5</v>
      </c>
      <c r="ME10" s="351" t="n">
        <v>5</v>
      </c>
      <c r="MF10" s="351" t="n">
        <v>5</v>
      </c>
      <c r="MG10" s="351" t="n">
        <v>5</v>
      </c>
      <c r="MH10" s="352" t="n">
        <v>5</v>
      </c>
      <c r="MI10" s="350" t="n">
        <v>5</v>
      </c>
      <c r="MJ10" s="351" t="n">
        <v>5</v>
      </c>
      <c r="MK10" s="351" t="n">
        <v>5</v>
      </c>
      <c r="ML10" s="351" t="n">
        <v>5</v>
      </c>
      <c r="MM10" s="352" t="n">
        <v>5</v>
      </c>
      <c r="MN10" s="350" t="n">
        <v>5</v>
      </c>
      <c r="MO10" s="351" t="n">
        <v>5</v>
      </c>
      <c r="MP10" s="351" t="n">
        <v>5</v>
      </c>
      <c r="MQ10" s="351" t="n">
        <v>5</v>
      </c>
      <c r="MR10" s="352" t="n">
        <v>5</v>
      </c>
      <c r="MS10" s="350" t="n">
        <v>5</v>
      </c>
      <c r="MT10" s="351" t="n">
        <v>5</v>
      </c>
      <c r="MU10" s="351" t="n">
        <v>5</v>
      </c>
      <c r="MV10" s="351" t="n">
        <v>5</v>
      </c>
      <c r="MW10" s="352" t="n">
        <v>5</v>
      </c>
      <c r="MX10" s="350" t="n">
        <v>5</v>
      </c>
      <c r="MY10" s="351" t="n">
        <v>5</v>
      </c>
      <c r="MZ10" s="351" t="n">
        <v>5</v>
      </c>
      <c r="NA10" s="351" t="n">
        <v>5</v>
      </c>
      <c r="NB10" s="352" t="n">
        <v>5</v>
      </c>
      <c r="NC10" s="350" t="n">
        <v>5</v>
      </c>
      <c r="ND10" s="351" t="n">
        <v>5</v>
      </c>
      <c r="NE10" s="351" t="n">
        <v>5</v>
      </c>
      <c r="NF10" s="351" t="n">
        <v>5</v>
      </c>
      <c r="NG10" s="352" t="n">
        <v>5</v>
      </c>
      <c r="NH10" s="350" t="n">
        <v>5</v>
      </c>
      <c r="NI10" s="351" t="n">
        <v>5</v>
      </c>
      <c r="NJ10" s="351" t="n">
        <v>5</v>
      </c>
      <c r="NK10" s="351" t="n">
        <v>5</v>
      </c>
      <c r="NL10" s="352" t="n">
        <v>5</v>
      </c>
      <c r="NM10" s="350" t="n">
        <v>5</v>
      </c>
      <c r="NN10" s="351" t="n">
        <v>5</v>
      </c>
      <c r="NO10" s="351" t="n">
        <v>5</v>
      </c>
      <c r="NP10" s="351" t="n">
        <v>5</v>
      </c>
      <c r="NQ10" s="352" t="n">
        <v>5</v>
      </c>
      <c r="NR10" s="350" t="n">
        <v>5</v>
      </c>
      <c r="NS10" s="351" t="n">
        <v>5</v>
      </c>
      <c r="NT10" s="351" t="n">
        <v>5</v>
      </c>
      <c r="NU10" s="351" t="n">
        <v>5</v>
      </c>
      <c r="NV10" s="352" t="n">
        <v>5</v>
      </c>
      <c r="NW10" s="350" t="n">
        <v>5</v>
      </c>
      <c r="NX10" s="351" t="n">
        <v>5</v>
      </c>
      <c r="NY10" s="351" t="n">
        <v>5</v>
      </c>
      <c r="NZ10" s="351" t="n">
        <v>5</v>
      </c>
      <c r="OA10" s="352" t="n">
        <v>5</v>
      </c>
      <c r="OB10" s="350" t="n">
        <v>5</v>
      </c>
      <c r="OC10" s="351" t="n">
        <v>5</v>
      </c>
      <c r="OD10" s="351" t="n">
        <v>5</v>
      </c>
      <c r="OE10" s="351" t="n">
        <v>5</v>
      </c>
      <c r="OF10" s="352" t="n">
        <v>5</v>
      </c>
      <c r="OG10" s="350" t="n">
        <v>5</v>
      </c>
      <c r="OH10" s="351" t="n">
        <v>5</v>
      </c>
      <c r="OI10" s="351" t="n">
        <v>5</v>
      </c>
      <c r="OJ10" s="351" t="n">
        <v>5</v>
      </c>
      <c r="OK10" s="352" t="n">
        <v>5</v>
      </c>
      <c r="OL10" s="350" t="n">
        <v>5</v>
      </c>
      <c r="OM10" s="351" t="n">
        <v>5</v>
      </c>
      <c r="ON10" s="351" t="n">
        <v>5</v>
      </c>
      <c r="OO10" s="351" t="n">
        <v>5</v>
      </c>
      <c r="OP10" s="352" t="n">
        <v>5</v>
      </c>
      <c r="OQ10" s="350" t="n">
        <v>5</v>
      </c>
      <c r="OR10" s="351" t="n">
        <v>5</v>
      </c>
      <c r="OS10" s="351" t="n">
        <v>5</v>
      </c>
      <c r="OT10" s="351" t="n">
        <v>5</v>
      </c>
      <c r="OU10" s="352" t="n">
        <v>5</v>
      </c>
      <c r="OV10" s="350" t="n">
        <v>5</v>
      </c>
      <c r="OW10" s="351" t="n">
        <v>5</v>
      </c>
      <c r="OX10" s="351" t="n">
        <v>5</v>
      </c>
      <c r="OY10" s="351" t="n">
        <v>5</v>
      </c>
      <c r="OZ10" s="352" t="n">
        <v>5</v>
      </c>
      <c r="PA10" s="350" t="n">
        <v>5</v>
      </c>
      <c r="PB10" s="351" t="n">
        <v>5</v>
      </c>
      <c r="PC10" s="351" t="n">
        <v>5</v>
      </c>
      <c r="PD10" s="351" t="n">
        <v>5</v>
      </c>
      <c r="PE10" s="352" t="n">
        <v>5</v>
      </c>
      <c r="PF10" s="350" t="n">
        <v>5</v>
      </c>
      <c r="PG10" s="351" t="n">
        <v>5</v>
      </c>
      <c r="PH10" s="351" t="n">
        <v>5</v>
      </c>
      <c r="PI10" s="351" t="n">
        <v>5</v>
      </c>
      <c r="PJ10" s="352" t="n">
        <v>5</v>
      </c>
      <c r="PK10" s="350" t="n">
        <v>5</v>
      </c>
      <c r="PL10" s="351" t="n">
        <v>5</v>
      </c>
      <c r="PM10" s="351" t="n">
        <v>5</v>
      </c>
      <c r="PN10" s="351" t="n">
        <v>5</v>
      </c>
      <c r="PO10" s="352" t="n">
        <v>5</v>
      </c>
      <c r="PP10" s="350" t="n">
        <v>5</v>
      </c>
      <c r="PQ10" s="351" t="n">
        <v>5</v>
      </c>
      <c r="PR10" s="351" t="n">
        <v>5</v>
      </c>
      <c r="PS10" s="351" t="n">
        <v>5</v>
      </c>
      <c r="PT10" s="352" t="n">
        <v>5</v>
      </c>
      <c r="PU10" s="350" t="n">
        <v>5</v>
      </c>
      <c r="PV10" s="351" t="n">
        <v>5</v>
      </c>
      <c r="PW10" s="351" t="n">
        <v>5</v>
      </c>
      <c r="PX10" s="351" t="n">
        <v>5</v>
      </c>
      <c r="PY10" s="352" t="n">
        <v>5</v>
      </c>
      <c r="PZ10" s="350" t="n">
        <v>5</v>
      </c>
      <c r="QA10" s="351" t="n">
        <v>5</v>
      </c>
      <c r="QB10" s="351" t="n">
        <v>5</v>
      </c>
      <c r="QC10" s="351" t="n">
        <v>5</v>
      </c>
      <c r="QD10" s="352" t="n">
        <v>5</v>
      </c>
      <c r="QE10" s="350" t="n">
        <v>5</v>
      </c>
      <c r="QF10" s="351" t="n">
        <v>5</v>
      </c>
      <c r="QG10" s="351" t="n">
        <v>5</v>
      </c>
      <c r="QH10" s="351" t="n">
        <v>5</v>
      </c>
      <c r="QI10" s="352" t="n">
        <v>5</v>
      </c>
      <c r="QJ10" s="350" t="n">
        <v>5</v>
      </c>
      <c r="QK10" s="351" t="n">
        <v>5</v>
      </c>
      <c r="QL10" s="351" t="n">
        <v>5</v>
      </c>
      <c r="QM10" s="351" t="n">
        <v>5</v>
      </c>
      <c r="QN10" s="352" t="n">
        <v>5</v>
      </c>
      <c r="QO10" s="350" t="n">
        <v>5</v>
      </c>
      <c r="QP10" s="351" t="n">
        <v>5</v>
      </c>
      <c r="QQ10" s="351" t="n">
        <v>5</v>
      </c>
      <c r="QR10" s="351" t="n">
        <v>5</v>
      </c>
      <c r="QS10" s="352" t="n">
        <v>5</v>
      </c>
      <c r="QT10" s="350" t="n">
        <v>5</v>
      </c>
      <c r="QU10" s="351" t="n">
        <v>5</v>
      </c>
      <c r="QV10" s="351" t="n">
        <v>5</v>
      </c>
      <c r="QW10" s="351" t="n">
        <v>5</v>
      </c>
      <c r="QX10" s="352" t="n">
        <v>5</v>
      </c>
      <c r="QY10" s="350" t="n">
        <v>5</v>
      </c>
      <c r="QZ10" s="351" t="n">
        <v>5</v>
      </c>
      <c r="RA10" s="351" t="n">
        <v>5</v>
      </c>
      <c r="RB10" s="351" t="n">
        <v>5</v>
      </c>
      <c r="RC10" s="352" t="n">
        <v>5</v>
      </c>
      <c r="RD10" s="350" t="n">
        <v>5</v>
      </c>
      <c r="RE10" s="351" t="n">
        <v>5</v>
      </c>
      <c r="RF10" s="351" t="n">
        <v>5</v>
      </c>
      <c r="RG10" s="351" t="n">
        <v>5</v>
      </c>
      <c r="RH10" s="352" t="n">
        <v>5</v>
      </c>
      <c r="RI10" s="350" t="n">
        <v>5</v>
      </c>
      <c r="RJ10" s="351" t="n">
        <v>5</v>
      </c>
      <c r="RK10" s="351" t="n">
        <v>5</v>
      </c>
      <c r="RL10" s="351" t="n">
        <v>5</v>
      </c>
      <c r="RM10" s="352" t="n">
        <v>5</v>
      </c>
      <c r="RN10" s="350" t="n">
        <v>5</v>
      </c>
      <c r="RO10" s="351" t="n">
        <v>5</v>
      </c>
      <c r="RP10" s="351" t="n">
        <v>5</v>
      </c>
      <c r="RQ10" s="351" t="n">
        <v>5</v>
      </c>
      <c r="RR10" s="352" t="n">
        <v>5</v>
      </c>
      <c r="RS10" s="350" t="n">
        <v>5</v>
      </c>
      <c r="RT10" s="351" t="n">
        <v>5</v>
      </c>
      <c r="RU10" s="351" t="n">
        <v>5</v>
      </c>
      <c r="RV10" s="351" t="n">
        <v>5</v>
      </c>
      <c r="RW10" s="352" t="n">
        <v>5</v>
      </c>
      <c r="RX10" s="350" t="n">
        <v>5</v>
      </c>
      <c r="RY10" s="351" t="n">
        <v>5</v>
      </c>
      <c r="RZ10" s="351" t="n">
        <v>5</v>
      </c>
      <c r="SA10" s="351" t="n">
        <v>5</v>
      </c>
      <c r="SB10" s="352" t="n">
        <v>5</v>
      </c>
      <c r="SC10" s="350" t="n">
        <v>5</v>
      </c>
      <c r="SD10" s="351" t="n">
        <v>5</v>
      </c>
      <c r="SE10" s="351" t="n">
        <v>5</v>
      </c>
      <c r="SF10" s="351" t="n">
        <v>5</v>
      </c>
      <c r="SG10" s="352" t="n">
        <v>5</v>
      </c>
      <c r="SH10" s="350" t="n">
        <v>5</v>
      </c>
      <c r="SI10" s="351" t="n">
        <v>5</v>
      </c>
      <c r="SJ10" s="351" t="n">
        <v>5</v>
      </c>
      <c r="SK10" s="351" t="n">
        <v>5</v>
      </c>
      <c r="SL10" s="352" t="n">
        <v>5</v>
      </c>
      <c r="SM10" s="350" t="n">
        <v>5</v>
      </c>
      <c r="SN10" s="351" t="n">
        <v>5</v>
      </c>
      <c r="SO10" s="351" t="n">
        <v>5</v>
      </c>
      <c r="SP10" s="351" t="n">
        <v>5</v>
      </c>
      <c r="SQ10" s="352" t="n">
        <v>5</v>
      </c>
      <c r="SR10" s="350" t="n">
        <v>5</v>
      </c>
      <c r="SS10" s="351" t="n">
        <v>5</v>
      </c>
      <c r="ST10" s="351" t="n">
        <v>5</v>
      </c>
      <c r="SU10" s="351" t="n">
        <v>5</v>
      </c>
      <c r="SV10" s="352" t="n">
        <v>5</v>
      </c>
      <c r="SW10" s="350" t="n">
        <v>5</v>
      </c>
      <c r="SX10" s="351" t="n">
        <v>5</v>
      </c>
      <c r="SY10" s="351" t="n">
        <v>5</v>
      </c>
      <c r="SZ10" s="351" t="n">
        <v>5</v>
      </c>
      <c r="TA10" s="352" t="n">
        <v>5</v>
      </c>
      <c r="TB10" s="354" t="n">
        <f aca="false">+AVERAGE(B10:IB10)</f>
        <v>4.75342465753425</v>
      </c>
    </row>
    <row r="11" customFormat="false" ht="15.5" hidden="false" customHeight="false" outlineLevel="0" collapsed="false">
      <c r="A11" s="349" t="s">
        <v>513</v>
      </c>
      <c r="B11" s="350"/>
      <c r="C11" s="351"/>
      <c r="D11" s="351"/>
      <c r="E11" s="351"/>
      <c r="F11" s="352"/>
      <c r="G11" s="350"/>
      <c r="H11" s="351"/>
      <c r="I11" s="351"/>
      <c r="J11" s="351"/>
      <c r="K11" s="352"/>
      <c r="L11" s="350"/>
      <c r="M11" s="351"/>
      <c r="N11" s="351"/>
      <c r="O11" s="351"/>
      <c r="P11" s="352"/>
      <c r="Q11" s="350"/>
      <c r="R11" s="351"/>
      <c r="S11" s="351"/>
      <c r="T11" s="351"/>
      <c r="U11" s="352"/>
      <c r="V11" s="350"/>
      <c r="W11" s="351"/>
      <c r="X11" s="351"/>
      <c r="Y11" s="351"/>
      <c r="Z11" s="352"/>
      <c r="AA11" s="350"/>
      <c r="AB11" s="351"/>
      <c r="AC11" s="351"/>
      <c r="AD11" s="351"/>
      <c r="AE11" s="352"/>
      <c r="AF11" s="350"/>
      <c r="AG11" s="351"/>
      <c r="AH11" s="351"/>
      <c r="AI11" s="351"/>
      <c r="AJ11" s="352"/>
      <c r="AK11" s="350"/>
      <c r="AL11" s="351"/>
      <c r="AM11" s="351"/>
      <c r="AN11" s="351"/>
      <c r="AO11" s="352"/>
      <c r="AP11" s="350"/>
      <c r="AQ11" s="351"/>
      <c r="AR11" s="351"/>
      <c r="AS11" s="351"/>
      <c r="AT11" s="352"/>
      <c r="AU11" s="350"/>
      <c r="AV11" s="351"/>
      <c r="AW11" s="351"/>
      <c r="AX11" s="351"/>
      <c r="AY11" s="352"/>
      <c r="AZ11" s="350"/>
      <c r="BA11" s="351"/>
      <c r="BB11" s="351"/>
      <c r="BC11" s="351"/>
      <c r="BD11" s="352"/>
      <c r="BE11" s="350"/>
      <c r="BF11" s="351"/>
      <c r="BG11" s="351"/>
      <c r="BH11" s="351"/>
      <c r="BI11" s="352"/>
      <c r="BJ11" s="350"/>
      <c r="BK11" s="351"/>
      <c r="BL11" s="351"/>
      <c r="BM11" s="351"/>
      <c r="BN11" s="351"/>
      <c r="BO11" s="350"/>
      <c r="BP11" s="351"/>
      <c r="BQ11" s="351"/>
      <c r="BR11" s="351"/>
      <c r="BS11" s="352"/>
      <c r="BT11" s="350"/>
      <c r="BU11" s="351"/>
      <c r="BV11" s="351"/>
      <c r="BW11" s="351"/>
      <c r="BX11" s="352"/>
      <c r="BY11" s="350"/>
      <c r="BZ11" s="351" t="n">
        <v>5</v>
      </c>
      <c r="CA11" s="351" t="n">
        <v>5</v>
      </c>
      <c r="CB11" s="351" t="n">
        <v>3</v>
      </c>
      <c r="CC11" s="352" t="n">
        <v>5</v>
      </c>
      <c r="CD11" s="350" t="n">
        <v>5</v>
      </c>
      <c r="CE11" s="351" t="n">
        <v>5</v>
      </c>
      <c r="CF11" s="351" t="n">
        <v>5</v>
      </c>
      <c r="CG11" s="351" t="n">
        <v>5</v>
      </c>
      <c r="CH11" s="352" t="n">
        <v>5</v>
      </c>
      <c r="CI11" s="350"/>
      <c r="CJ11" s="351"/>
      <c r="CK11" s="351"/>
      <c r="CL11" s="351"/>
      <c r="CM11" s="352"/>
      <c r="CN11" s="350" t="n">
        <v>3</v>
      </c>
      <c r="CO11" s="351"/>
      <c r="CP11" s="351" t="n">
        <v>5</v>
      </c>
      <c r="CQ11" s="351" t="n">
        <v>1</v>
      </c>
      <c r="CR11" s="352" t="n">
        <v>3</v>
      </c>
      <c r="CS11" s="350"/>
      <c r="CT11" s="351"/>
      <c r="CU11" s="351"/>
      <c r="CV11" s="351"/>
      <c r="CW11" s="352"/>
      <c r="CX11" s="350"/>
      <c r="CY11" s="351"/>
      <c r="CZ11" s="351"/>
      <c r="DA11" s="351"/>
      <c r="DB11" s="352"/>
      <c r="DC11" s="350"/>
      <c r="DD11" s="351"/>
      <c r="DE11" s="351"/>
      <c r="DF11" s="351"/>
      <c r="DG11" s="352"/>
      <c r="DH11" s="350" t="n">
        <v>1</v>
      </c>
      <c r="DI11" s="351" t="n">
        <v>5</v>
      </c>
      <c r="DJ11" s="351" t="n">
        <v>5</v>
      </c>
      <c r="DK11" s="351" t="n">
        <v>5</v>
      </c>
      <c r="DL11" s="352" t="n">
        <v>5</v>
      </c>
      <c r="DM11" s="350" t="n">
        <v>3</v>
      </c>
      <c r="DN11" s="351" t="n">
        <v>5</v>
      </c>
      <c r="DO11" s="351" t="n">
        <v>5</v>
      </c>
      <c r="DP11" s="351" t="n">
        <v>5</v>
      </c>
      <c r="DQ11" s="352" t="n">
        <v>5</v>
      </c>
      <c r="DR11" s="350" t="n">
        <v>3</v>
      </c>
      <c r="DS11" s="351"/>
      <c r="DT11" s="351" t="n">
        <v>5</v>
      </c>
      <c r="DU11" s="351" t="n">
        <v>5</v>
      </c>
      <c r="DV11" s="352" t="n">
        <v>5</v>
      </c>
      <c r="DW11" s="350"/>
      <c r="DX11" s="351"/>
      <c r="DY11" s="351"/>
      <c r="DZ11" s="351"/>
      <c r="EA11" s="352"/>
      <c r="EB11" s="350" t="n">
        <v>5</v>
      </c>
      <c r="EC11" s="351" t="n">
        <v>5</v>
      </c>
      <c r="ED11" s="351" t="n">
        <v>5</v>
      </c>
      <c r="EE11" s="351" t="n">
        <v>5</v>
      </c>
      <c r="EF11" s="352" t="n">
        <v>5</v>
      </c>
      <c r="EG11" s="350"/>
      <c r="EH11" s="351"/>
      <c r="EI11" s="351"/>
      <c r="EJ11" s="351"/>
      <c r="EK11" s="352"/>
      <c r="EL11" s="350"/>
      <c r="EM11" s="351"/>
      <c r="EN11" s="351"/>
      <c r="EO11" s="351"/>
      <c r="EP11" s="352"/>
      <c r="EQ11" s="350"/>
      <c r="ER11" s="351"/>
      <c r="ES11" s="351"/>
      <c r="ET11" s="351"/>
      <c r="EU11" s="352"/>
      <c r="EV11" s="350"/>
      <c r="EW11" s="351"/>
      <c r="EX11" s="351"/>
      <c r="EY11" s="351"/>
      <c r="EZ11" s="352"/>
      <c r="FA11" s="350"/>
      <c r="FB11" s="351"/>
      <c r="FC11" s="351"/>
      <c r="FD11" s="351"/>
      <c r="FE11" s="352"/>
      <c r="FF11" s="350"/>
      <c r="FG11" s="351"/>
      <c r="FH11" s="351"/>
      <c r="FI11" s="351"/>
      <c r="FJ11" s="352"/>
      <c r="FK11" s="350" t="n">
        <v>5</v>
      </c>
      <c r="FL11" s="351" t="n">
        <v>5</v>
      </c>
      <c r="FM11" s="351" t="n">
        <v>5</v>
      </c>
      <c r="FN11" s="351" t="n">
        <v>5</v>
      </c>
      <c r="FO11" s="352" t="n">
        <v>5</v>
      </c>
      <c r="FP11" s="350" t="n">
        <v>5</v>
      </c>
      <c r="FQ11" s="350" t="n">
        <v>5</v>
      </c>
      <c r="FR11" s="350" t="n">
        <v>5</v>
      </c>
      <c r="FS11" s="351" t="n">
        <v>5</v>
      </c>
      <c r="FT11" s="352" t="n">
        <v>5</v>
      </c>
      <c r="FU11" s="350" t="n">
        <v>5</v>
      </c>
      <c r="FV11" s="351" t="n">
        <v>5</v>
      </c>
      <c r="FW11" s="351" t="n">
        <v>5</v>
      </c>
      <c r="FX11" s="351" t="n">
        <v>5</v>
      </c>
      <c r="FY11" s="352" t="n">
        <v>5</v>
      </c>
      <c r="FZ11" s="350"/>
      <c r="GA11" s="351"/>
      <c r="GB11" s="351"/>
      <c r="GC11" s="351"/>
      <c r="GD11" s="352"/>
      <c r="GE11" s="350" t="n">
        <v>5</v>
      </c>
      <c r="GF11" s="351" t="n">
        <v>5</v>
      </c>
      <c r="GG11" s="351"/>
      <c r="GH11" s="351" t="n">
        <v>3</v>
      </c>
      <c r="GI11" s="352" t="n">
        <v>5</v>
      </c>
      <c r="GJ11" s="350" t="n">
        <v>5</v>
      </c>
      <c r="GK11" s="351" t="n">
        <v>5</v>
      </c>
      <c r="GL11" s="351" t="n">
        <v>3</v>
      </c>
      <c r="GM11" s="351" t="n">
        <v>5</v>
      </c>
      <c r="GN11" s="352" t="n">
        <v>5</v>
      </c>
      <c r="GO11" s="350"/>
      <c r="GP11" s="351"/>
      <c r="GQ11" s="351"/>
      <c r="GR11" s="351"/>
      <c r="GS11" s="352"/>
      <c r="GT11" s="350"/>
      <c r="GU11" s="351"/>
      <c r="GV11" s="351"/>
      <c r="GW11" s="351"/>
      <c r="GX11" s="352"/>
      <c r="GY11" s="350"/>
      <c r="GZ11" s="351"/>
      <c r="HA11" s="351"/>
      <c r="HB11" s="351"/>
      <c r="HC11" s="352"/>
      <c r="HD11" s="350" t="n">
        <v>5</v>
      </c>
      <c r="HE11" s="351" t="n">
        <v>5</v>
      </c>
      <c r="HF11" s="351" t="n">
        <v>3</v>
      </c>
      <c r="HG11" s="351" t="n">
        <v>5</v>
      </c>
      <c r="HH11" s="352" t="n">
        <v>5</v>
      </c>
      <c r="HI11" s="350" t="n">
        <v>5</v>
      </c>
      <c r="HJ11" s="351" t="n">
        <v>5</v>
      </c>
      <c r="HK11" s="351" t="n">
        <v>5</v>
      </c>
      <c r="HL11" s="351" t="n">
        <v>5</v>
      </c>
      <c r="HM11" s="352" t="n">
        <v>5</v>
      </c>
      <c r="HN11" s="350" t="n">
        <v>5</v>
      </c>
      <c r="HO11" s="351" t="n">
        <v>5</v>
      </c>
      <c r="HP11" s="351" t="n">
        <v>1</v>
      </c>
      <c r="HQ11" s="351" t="n">
        <v>5</v>
      </c>
      <c r="HR11" s="352" t="n">
        <v>5</v>
      </c>
      <c r="HS11" s="350" t="n">
        <v>5</v>
      </c>
      <c r="HT11" s="351" t="n">
        <v>5</v>
      </c>
      <c r="HU11" s="351" t="n">
        <v>5</v>
      </c>
      <c r="HV11" s="351" t="n">
        <v>5</v>
      </c>
      <c r="HW11" s="352" t="n">
        <v>5</v>
      </c>
      <c r="HX11" s="350" t="n">
        <v>5</v>
      </c>
      <c r="HY11" s="351" t="n">
        <v>5</v>
      </c>
      <c r="HZ11" s="351" t="n">
        <v>5</v>
      </c>
      <c r="IA11" s="351" t="n">
        <v>5</v>
      </c>
      <c r="IB11" s="352" t="n">
        <v>5</v>
      </c>
      <c r="IC11" s="350" t="n">
        <v>5</v>
      </c>
      <c r="ID11" s="351" t="n">
        <v>5</v>
      </c>
      <c r="IE11" s="351" t="n">
        <v>5</v>
      </c>
      <c r="IF11" s="351" t="n">
        <v>5</v>
      </c>
      <c r="IG11" s="352" t="n">
        <v>5</v>
      </c>
      <c r="IH11" s="350" t="n">
        <v>5</v>
      </c>
      <c r="II11" s="351" t="n">
        <v>5</v>
      </c>
      <c r="IJ11" s="351" t="n">
        <v>5</v>
      </c>
      <c r="IK11" s="351" t="n">
        <v>5</v>
      </c>
      <c r="IL11" s="352" t="n">
        <v>5</v>
      </c>
      <c r="IM11" s="350" t="n">
        <v>5</v>
      </c>
      <c r="IN11" s="351" t="n">
        <v>5</v>
      </c>
      <c r="IO11" s="351" t="n">
        <v>5</v>
      </c>
      <c r="IP11" s="351" t="n">
        <v>5</v>
      </c>
      <c r="IQ11" s="352" t="n">
        <v>5</v>
      </c>
      <c r="IR11" s="350" t="n">
        <v>5</v>
      </c>
      <c r="IS11" s="351" t="n">
        <v>5</v>
      </c>
      <c r="IT11" s="351" t="n">
        <v>5</v>
      </c>
      <c r="IU11" s="351" t="n">
        <v>5</v>
      </c>
      <c r="IV11" s="352" t="n">
        <v>5</v>
      </c>
      <c r="IW11" s="350" t="n">
        <v>5</v>
      </c>
      <c r="IX11" s="351" t="n">
        <v>5</v>
      </c>
      <c r="IY11" s="351" t="n">
        <v>5</v>
      </c>
      <c r="IZ11" s="351" t="n">
        <v>5</v>
      </c>
      <c r="JA11" s="352" t="n">
        <v>5</v>
      </c>
      <c r="JB11" s="350" t="n">
        <v>5</v>
      </c>
      <c r="JC11" s="351" t="n">
        <v>5</v>
      </c>
      <c r="JD11" s="351" t="n">
        <v>5</v>
      </c>
      <c r="JE11" s="351" t="n">
        <v>5</v>
      </c>
      <c r="JF11" s="352" t="n">
        <v>5</v>
      </c>
      <c r="JG11" s="350" t="n">
        <v>5</v>
      </c>
      <c r="JH11" s="351" t="n">
        <v>5</v>
      </c>
      <c r="JI11" s="351" t="n">
        <v>5</v>
      </c>
      <c r="JJ11" s="351" t="n">
        <v>5</v>
      </c>
      <c r="JK11" s="352" t="n">
        <v>5</v>
      </c>
      <c r="JL11" s="350" t="n">
        <v>5</v>
      </c>
      <c r="JM11" s="351" t="n">
        <v>5</v>
      </c>
      <c r="JN11" s="351" t="n">
        <v>5</v>
      </c>
      <c r="JO11" s="351" t="n">
        <v>5</v>
      </c>
      <c r="JP11" s="352" t="n">
        <v>5</v>
      </c>
      <c r="JQ11" s="350" t="n">
        <v>5</v>
      </c>
      <c r="JR11" s="351" t="n">
        <v>5</v>
      </c>
      <c r="JS11" s="351" t="n">
        <v>5</v>
      </c>
      <c r="JT11" s="351" t="n">
        <v>5</v>
      </c>
      <c r="JU11" s="352" t="n">
        <v>5</v>
      </c>
      <c r="JV11" s="350" t="n">
        <v>5</v>
      </c>
      <c r="JW11" s="351" t="n">
        <v>5</v>
      </c>
      <c r="JX11" s="351" t="n">
        <v>5</v>
      </c>
      <c r="JY11" s="351" t="n">
        <v>5</v>
      </c>
      <c r="JZ11" s="352" t="n">
        <v>5</v>
      </c>
      <c r="KA11" s="350" t="n">
        <v>5</v>
      </c>
      <c r="KB11" s="351" t="n">
        <v>5</v>
      </c>
      <c r="KC11" s="351" t="n">
        <v>5</v>
      </c>
      <c r="KD11" s="351" t="n">
        <v>5</v>
      </c>
      <c r="KE11" s="352" t="n">
        <v>5</v>
      </c>
      <c r="KF11" s="350" t="n">
        <v>5</v>
      </c>
      <c r="KG11" s="351" t="n">
        <v>5</v>
      </c>
      <c r="KH11" s="351" t="n">
        <v>5</v>
      </c>
      <c r="KI11" s="351" t="n">
        <v>5</v>
      </c>
      <c r="KJ11" s="352" t="n">
        <v>5</v>
      </c>
      <c r="KK11" s="350" t="n">
        <v>5</v>
      </c>
      <c r="KL11" s="351" t="n">
        <v>5</v>
      </c>
      <c r="KM11" s="351" t="n">
        <v>5</v>
      </c>
      <c r="KN11" s="351" t="n">
        <v>5</v>
      </c>
      <c r="KO11" s="352" t="n">
        <v>5</v>
      </c>
      <c r="KP11" s="350" t="n">
        <v>5</v>
      </c>
      <c r="KQ11" s="351" t="n">
        <v>5</v>
      </c>
      <c r="KR11" s="351" t="n">
        <v>5</v>
      </c>
      <c r="KS11" s="351" t="n">
        <v>5</v>
      </c>
      <c r="KT11" s="352" t="n">
        <v>5</v>
      </c>
      <c r="KU11" s="350" t="n">
        <v>5</v>
      </c>
      <c r="KV11" s="351" t="n">
        <v>5</v>
      </c>
      <c r="KW11" s="351" t="n">
        <v>5</v>
      </c>
      <c r="KX11" s="351" t="n">
        <v>5</v>
      </c>
      <c r="KY11" s="352" t="n">
        <v>5</v>
      </c>
      <c r="KZ11" s="350" t="n">
        <v>5</v>
      </c>
      <c r="LA11" s="351" t="n">
        <v>5</v>
      </c>
      <c r="LB11" s="351" t="n">
        <v>5</v>
      </c>
      <c r="LC11" s="351" t="n">
        <v>5</v>
      </c>
      <c r="LD11" s="352" t="n">
        <v>5</v>
      </c>
      <c r="LE11" s="350" t="n">
        <v>5</v>
      </c>
      <c r="LF11" s="351" t="n">
        <v>5</v>
      </c>
      <c r="LG11" s="351" t="n">
        <v>5</v>
      </c>
      <c r="LH11" s="351" t="n">
        <v>5</v>
      </c>
      <c r="LI11" s="352" t="n">
        <v>5</v>
      </c>
      <c r="LJ11" s="350" t="n">
        <v>5</v>
      </c>
      <c r="LK11" s="351" t="n">
        <v>5</v>
      </c>
      <c r="LL11" s="351" t="n">
        <v>5</v>
      </c>
      <c r="LM11" s="351" t="n">
        <v>5</v>
      </c>
      <c r="LN11" s="352" t="n">
        <v>5</v>
      </c>
      <c r="LO11" s="350" t="n">
        <v>5</v>
      </c>
      <c r="LP11" s="351" t="n">
        <v>5</v>
      </c>
      <c r="LQ11" s="351" t="n">
        <v>5</v>
      </c>
      <c r="LR11" s="351" t="n">
        <v>5</v>
      </c>
      <c r="LS11" s="352" t="n">
        <v>5</v>
      </c>
      <c r="LT11" s="350" t="n">
        <v>5</v>
      </c>
      <c r="LU11" s="351" t="n">
        <v>5</v>
      </c>
      <c r="LV11" s="351" t="n">
        <v>5</v>
      </c>
      <c r="LW11" s="351" t="n">
        <v>5</v>
      </c>
      <c r="LX11" s="352" t="n">
        <v>5</v>
      </c>
      <c r="LY11" s="350" t="n">
        <v>5</v>
      </c>
      <c r="LZ11" s="351" t="n">
        <v>5</v>
      </c>
      <c r="MA11" s="351" t="n">
        <v>5</v>
      </c>
      <c r="MB11" s="351" t="n">
        <v>5</v>
      </c>
      <c r="MC11" s="352" t="n">
        <v>5</v>
      </c>
      <c r="MD11" s="350" t="n">
        <v>5</v>
      </c>
      <c r="ME11" s="351" t="n">
        <v>5</v>
      </c>
      <c r="MF11" s="351" t="n">
        <v>5</v>
      </c>
      <c r="MG11" s="351" t="n">
        <v>5</v>
      </c>
      <c r="MH11" s="352" t="n">
        <v>5</v>
      </c>
      <c r="MI11" s="350" t="n">
        <v>5</v>
      </c>
      <c r="MJ11" s="351" t="n">
        <v>5</v>
      </c>
      <c r="MK11" s="351" t="n">
        <v>5</v>
      </c>
      <c r="ML11" s="351" t="n">
        <v>5</v>
      </c>
      <c r="MM11" s="352" t="n">
        <v>5</v>
      </c>
      <c r="MN11" s="350" t="n">
        <v>5</v>
      </c>
      <c r="MO11" s="351" t="n">
        <v>5</v>
      </c>
      <c r="MP11" s="351" t="n">
        <v>5</v>
      </c>
      <c r="MQ11" s="351" t="n">
        <v>5</v>
      </c>
      <c r="MR11" s="352" t="n">
        <v>5</v>
      </c>
      <c r="MS11" s="350" t="n">
        <v>5</v>
      </c>
      <c r="MT11" s="351" t="n">
        <v>5</v>
      </c>
      <c r="MU11" s="351" t="n">
        <v>5</v>
      </c>
      <c r="MV11" s="351" t="n">
        <v>5</v>
      </c>
      <c r="MW11" s="352" t="n">
        <v>5</v>
      </c>
      <c r="MX11" s="350" t="n">
        <v>5</v>
      </c>
      <c r="MY11" s="351" t="n">
        <v>5</v>
      </c>
      <c r="MZ11" s="351" t="n">
        <v>5</v>
      </c>
      <c r="NA11" s="351" t="n">
        <v>5</v>
      </c>
      <c r="NB11" s="352" t="n">
        <v>5</v>
      </c>
      <c r="NC11" s="350" t="n">
        <v>5</v>
      </c>
      <c r="ND11" s="351" t="n">
        <v>5</v>
      </c>
      <c r="NE11" s="351" t="n">
        <v>5</v>
      </c>
      <c r="NF11" s="351" t="n">
        <v>5</v>
      </c>
      <c r="NG11" s="352" t="n">
        <v>5</v>
      </c>
      <c r="NH11" s="350" t="n">
        <v>5</v>
      </c>
      <c r="NI11" s="351" t="n">
        <v>5</v>
      </c>
      <c r="NJ11" s="351" t="n">
        <v>5</v>
      </c>
      <c r="NK11" s="351" t="n">
        <v>5</v>
      </c>
      <c r="NL11" s="352" t="n">
        <v>5</v>
      </c>
      <c r="NM11" s="350" t="n">
        <v>5</v>
      </c>
      <c r="NN11" s="351" t="n">
        <v>5</v>
      </c>
      <c r="NO11" s="351" t="n">
        <v>5</v>
      </c>
      <c r="NP11" s="351" t="n">
        <v>5</v>
      </c>
      <c r="NQ11" s="352" t="n">
        <v>5</v>
      </c>
      <c r="NR11" s="350" t="n">
        <v>5</v>
      </c>
      <c r="NS11" s="351" t="n">
        <v>5</v>
      </c>
      <c r="NT11" s="351" t="n">
        <v>5</v>
      </c>
      <c r="NU11" s="351" t="n">
        <v>5</v>
      </c>
      <c r="NV11" s="352" t="n">
        <v>5</v>
      </c>
      <c r="NW11" s="350" t="n">
        <v>5</v>
      </c>
      <c r="NX11" s="351" t="n">
        <v>5</v>
      </c>
      <c r="NY11" s="351" t="n">
        <v>5</v>
      </c>
      <c r="NZ11" s="351" t="n">
        <v>5</v>
      </c>
      <c r="OA11" s="352" t="n">
        <v>5</v>
      </c>
      <c r="OB11" s="350" t="n">
        <v>5</v>
      </c>
      <c r="OC11" s="351" t="n">
        <v>5</v>
      </c>
      <c r="OD11" s="351" t="n">
        <v>5</v>
      </c>
      <c r="OE11" s="351" t="n">
        <v>5</v>
      </c>
      <c r="OF11" s="352" t="n">
        <v>5</v>
      </c>
      <c r="OG11" s="350" t="n">
        <v>5</v>
      </c>
      <c r="OH11" s="351" t="n">
        <v>5</v>
      </c>
      <c r="OI11" s="351" t="n">
        <v>5</v>
      </c>
      <c r="OJ11" s="351" t="n">
        <v>5</v>
      </c>
      <c r="OK11" s="352" t="n">
        <v>5</v>
      </c>
      <c r="OL11" s="350" t="n">
        <v>5</v>
      </c>
      <c r="OM11" s="351" t="n">
        <v>5</v>
      </c>
      <c r="ON11" s="351" t="n">
        <v>5</v>
      </c>
      <c r="OO11" s="351" t="n">
        <v>5</v>
      </c>
      <c r="OP11" s="352" t="n">
        <v>5</v>
      </c>
      <c r="OQ11" s="350" t="n">
        <v>5</v>
      </c>
      <c r="OR11" s="351" t="n">
        <v>5</v>
      </c>
      <c r="OS11" s="351" t="n">
        <v>5</v>
      </c>
      <c r="OT11" s="351" t="n">
        <v>5</v>
      </c>
      <c r="OU11" s="352" t="n">
        <v>5</v>
      </c>
      <c r="OV11" s="350" t="n">
        <v>5</v>
      </c>
      <c r="OW11" s="351" t="n">
        <v>5</v>
      </c>
      <c r="OX11" s="351" t="n">
        <v>5</v>
      </c>
      <c r="OY11" s="351" t="n">
        <v>5</v>
      </c>
      <c r="OZ11" s="352" t="n">
        <v>5</v>
      </c>
      <c r="PA11" s="350" t="n">
        <v>5</v>
      </c>
      <c r="PB11" s="351" t="n">
        <v>5</v>
      </c>
      <c r="PC11" s="351" t="n">
        <v>5</v>
      </c>
      <c r="PD11" s="351" t="n">
        <v>5</v>
      </c>
      <c r="PE11" s="352" t="n">
        <v>5</v>
      </c>
      <c r="PF11" s="350" t="n">
        <v>5</v>
      </c>
      <c r="PG11" s="351" t="n">
        <v>5</v>
      </c>
      <c r="PH11" s="351" t="n">
        <v>5</v>
      </c>
      <c r="PI11" s="351" t="n">
        <v>5</v>
      </c>
      <c r="PJ11" s="352" t="n">
        <v>5</v>
      </c>
      <c r="PK11" s="350" t="n">
        <v>5</v>
      </c>
      <c r="PL11" s="351" t="n">
        <v>5</v>
      </c>
      <c r="PM11" s="351" t="n">
        <v>5</v>
      </c>
      <c r="PN11" s="351" t="n">
        <v>5</v>
      </c>
      <c r="PO11" s="352" t="n">
        <v>5</v>
      </c>
      <c r="PP11" s="350" t="n">
        <v>5</v>
      </c>
      <c r="PQ11" s="351" t="n">
        <v>5</v>
      </c>
      <c r="PR11" s="351" t="n">
        <v>5</v>
      </c>
      <c r="PS11" s="351" t="n">
        <v>5</v>
      </c>
      <c r="PT11" s="352" t="n">
        <v>5</v>
      </c>
      <c r="PU11" s="350" t="n">
        <v>5</v>
      </c>
      <c r="PV11" s="351" t="n">
        <v>5</v>
      </c>
      <c r="PW11" s="351" t="n">
        <v>5</v>
      </c>
      <c r="PX11" s="351" t="n">
        <v>5</v>
      </c>
      <c r="PY11" s="352" t="n">
        <v>5</v>
      </c>
      <c r="PZ11" s="350" t="n">
        <v>5</v>
      </c>
      <c r="QA11" s="351" t="n">
        <v>5</v>
      </c>
      <c r="QB11" s="351" t="n">
        <v>5</v>
      </c>
      <c r="QC11" s="351" t="n">
        <v>5</v>
      </c>
      <c r="QD11" s="352" t="n">
        <v>5</v>
      </c>
      <c r="QE11" s="350" t="n">
        <v>5</v>
      </c>
      <c r="QF11" s="351" t="n">
        <v>5</v>
      </c>
      <c r="QG11" s="351" t="n">
        <v>5</v>
      </c>
      <c r="QH11" s="351" t="n">
        <v>5</v>
      </c>
      <c r="QI11" s="352" t="n">
        <v>5</v>
      </c>
      <c r="QJ11" s="350" t="n">
        <v>5</v>
      </c>
      <c r="QK11" s="351" t="n">
        <v>5</v>
      </c>
      <c r="QL11" s="351" t="n">
        <v>5</v>
      </c>
      <c r="QM11" s="351" t="n">
        <v>5</v>
      </c>
      <c r="QN11" s="352" t="n">
        <v>5</v>
      </c>
      <c r="QO11" s="350" t="n">
        <v>5</v>
      </c>
      <c r="QP11" s="351" t="n">
        <v>5</v>
      </c>
      <c r="QQ11" s="351" t="n">
        <v>5</v>
      </c>
      <c r="QR11" s="351" t="n">
        <v>5</v>
      </c>
      <c r="QS11" s="352" t="n">
        <v>5</v>
      </c>
      <c r="QT11" s="350" t="n">
        <v>5</v>
      </c>
      <c r="QU11" s="351" t="n">
        <v>5</v>
      </c>
      <c r="QV11" s="351" t="n">
        <v>5</v>
      </c>
      <c r="QW11" s="351" t="n">
        <v>5</v>
      </c>
      <c r="QX11" s="352" t="n">
        <v>5</v>
      </c>
      <c r="QY11" s="350" t="n">
        <v>5</v>
      </c>
      <c r="QZ11" s="351" t="n">
        <v>5</v>
      </c>
      <c r="RA11" s="351" t="n">
        <v>5</v>
      </c>
      <c r="RB11" s="351" t="n">
        <v>5</v>
      </c>
      <c r="RC11" s="352" t="n">
        <v>5</v>
      </c>
      <c r="RD11" s="350" t="n">
        <v>5</v>
      </c>
      <c r="RE11" s="351" t="n">
        <v>5</v>
      </c>
      <c r="RF11" s="351" t="n">
        <v>5</v>
      </c>
      <c r="RG11" s="351" t="n">
        <v>5</v>
      </c>
      <c r="RH11" s="352" t="n">
        <v>5</v>
      </c>
      <c r="RI11" s="350" t="n">
        <v>5</v>
      </c>
      <c r="RJ11" s="351" t="n">
        <v>5</v>
      </c>
      <c r="RK11" s="351" t="n">
        <v>5</v>
      </c>
      <c r="RL11" s="351" t="n">
        <v>5</v>
      </c>
      <c r="RM11" s="352" t="n">
        <v>5</v>
      </c>
      <c r="RN11" s="350" t="n">
        <v>5</v>
      </c>
      <c r="RO11" s="351" t="n">
        <v>5</v>
      </c>
      <c r="RP11" s="351" t="n">
        <v>5</v>
      </c>
      <c r="RQ11" s="351" t="n">
        <v>5</v>
      </c>
      <c r="RR11" s="352" t="n">
        <v>5</v>
      </c>
      <c r="RS11" s="350" t="n">
        <v>5</v>
      </c>
      <c r="RT11" s="351" t="n">
        <v>5</v>
      </c>
      <c r="RU11" s="351" t="n">
        <v>5</v>
      </c>
      <c r="RV11" s="351" t="n">
        <v>5</v>
      </c>
      <c r="RW11" s="352" t="n">
        <v>5</v>
      </c>
      <c r="RX11" s="350" t="n">
        <v>5</v>
      </c>
      <c r="RY11" s="351" t="n">
        <v>5</v>
      </c>
      <c r="RZ11" s="351" t="n">
        <v>5</v>
      </c>
      <c r="SA11" s="351" t="n">
        <v>5</v>
      </c>
      <c r="SB11" s="352" t="n">
        <v>5</v>
      </c>
      <c r="SC11" s="350" t="n">
        <v>5</v>
      </c>
      <c r="SD11" s="351" t="n">
        <v>5</v>
      </c>
      <c r="SE11" s="351" t="n">
        <v>5</v>
      </c>
      <c r="SF11" s="351" t="n">
        <v>5</v>
      </c>
      <c r="SG11" s="352" t="n">
        <v>5</v>
      </c>
      <c r="SH11" s="350" t="n">
        <v>5</v>
      </c>
      <c r="SI11" s="351" t="n">
        <v>5</v>
      </c>
      <c r="SJ11" s="351" t="n">
        <v>5</v>
      </c>
      <c r="SK11" s="351" t="n">
        <v>5</v>
      </c>
      <c r="SL11" s="352" t="n">
        <v>5</v>
      </c>
      <c r="SM11" s="350" t="n">
        <v>5</v>
      </c>
      <c r="SN11" s="351" t="n">
        <v>5</v>
      </c>
      <c r="SO11" s="351" t="n">
        <v>5</v>
      </c>
      <c r="SP11" s="351" t="n">
        <v>5</v>
      </c>
      <c r="SQ11" s="352" t="n">
        <v>5</v>
      </c>
      <c r="SR11" s="350" t="n">
        <v>5</v>
      </c>
      <c r="SS11" s="351" t="n">
        <v>5</v>
      </c>
      <c r="ST11" s="351" t="n">
        <v>5</v>
      </c>
      <c r="SU11" s="351" t="n">
        <v>5</v>
      </c>
      <c r="SV11" s="352" t="n">
        <v>5</v>
      </c>
      <c r="SW11" s="350" t="n">
        <v>5</v>
      </c>
      <c r="SX11" s="351" t="n">
        <v>5</v>
      </c>
      <c r="SY11" s="351" t="n">
        <v>3</v>
      </c>
      <c r="SZ11" s="351" t="n">
        <v>5</v>
      </c>
      <c r="TA11" s="352" t="n">
        <v>5</v>
      </c>
      <c r="TB11" s="354" t="n">
        <f aca="false">+AVERAGE(B11:IB11)</f>
        <v>4.65432098765432</v>
      </c>
    </row>
    <row r="12" customFormat="false" ht="18" hidden="false" customHeight="true" outlineLevel="0" collapsed="false">
      <c r="A12" s="349" t="s">
        <v>514</v>
      </c>
      <c r="B12" s="350"/>
      <c r="C12" s="351"/>
      <c r="D12" s="351"/>
      <c r="E12" s="351"/>
      <c r="F12" s="352"/>
      <c r="G12" s="350"/>
      <c r="H12" s="351"/>
      <c r="I12" s="351"/>
      <c r="J12" s="351"/>
      <c r="K12" s="352"/>
      <c r="L12" s="350"/>
      <c r="M12" s="351"/>
      <c r="N12" s="351"/>
      <c r="O12" s="351"/>
      <c r="P12" s="352"/>
      <c r="Q12" s="350"/>
      <c r="R12" s="351"/>
      <c r="S12" s="351"/>
      <c r="T12" s="351"/>
      <c r="U12" s="352"/>
      <c r="V12" s="350"/>
      <c r="W12" s="351"/>
      <c r="X12" s="351"/>
      <c r="Y12" s="351"/>
      <c r="Z12" s="352"/>
      <c r="AA12" s="350"/>
      <c r="AB12" s="351"/>
      <c r="AC12" s="351"/>
      <c r="AD12" s="351"/>
      <c r="AE12" s="352"/>
      <c r="AF12" s="350"/>
      <c r="AG12" s="351"/>
      <c r="AH12" s="351"/>
      <c r="AI12" s="351"/>
      <c r="AJ12" s="352"/>
      <c r="AK12" s="350"/>
      <c r="AL12" s="351"/>
      <c r="AM12" s="351"/>
      <c r="AN12" s="351"/>
      <c r="AO12" s="352"/>
      <c r="AP12" s="350"/>
      <c r="AQ12" s="351"/>
      <c r="AR12" s="351"/>
      <c r="AS12" s="351"/>
      <c r="AT12" s="352"/>
      <c r="AU12" s="350"/>
      <c r="AV12" s="351"/>
      <c r="AW12" s="351"/>
      <c r="AX12" s="351"/>
      <c r="AY12" s="352"/>
      <c r="AZ12" s="350"/>
      <c r="BA12" s="351"/>
      <c r="BB12" s="351"/>
      <c r="BC12" s="351"/>
      <c r="BD12" s="352"/>
      <c r="BE12" s="350"/>
      <c r="BF12" s="351"/>
      <c r="BG12" s="351"/>
      <c r="BH12" s="351"/>
      <c r="BI12" s="352"/>
      <c r="BJ12" s="350" t="n">
        <v>5</v>
      </c>
      <c r="BK12" s="351" t="n">
        <v>5</v>
      </c>
      <c r="BL12" s="351"/>
      <c r="BM12" s="351" t="n">
        <v>5</v>
      </c>
      <c r="BN12" s="351" t="n">
        <v>3</v>
      </c>
      <c r="BO12" s="350" t="n">
        <v>5</v>
      </c>
      <c r="BP12" s="351"/>
      <c r="BQ12" s="351" t="n">
        <v>5</v>
      </c>
      <c r="BR12" s="351" t="n">
        <v>3</v>
      </c>
      <c r="BS12" s="352" t="n">
        <v>5</v>
      </c>
      <c r="BT12" s="350" t="n">
        <v>5</v>
      </c>
      <c r="BU12" s="351" t="n">
        <v>5</v>
      </c>
      <c r="BV12" s="351" t="n">
        <v>5</v>
      </c>
      <c r="BW12" s="351" t="n">
        <v>3</v>
      </c>
      <c r="BX12" s="352" t="n">
        <v>3</v>
      </c>
      <c r="BY12" s="350"/>
      <c r="BZ12" s="351"/>
      <c r="CA12" s="351" t="n">
        <v>5</v>
      </c>
      <c r="CB12" s="351" t="n">
        <v>1</v>
      </c>
      <c r="CC12" s="352" t="n">
        <v>5</v>
      </c>
      <c r="CD12" s="350"/>
      <c r="CE12" s="351"/>
      <c r="CF12" s="351"/>
      <c r="CG12" s="351"/>
      <c r="CH12" s="352"/>
      <c r="CI12" s="350"/>
      <c r="CJ12" s="351"/>
      <c r="CK12" s="351"/>
      <c r="CL12" s="351"/>
      <c r="CM12" s="352"/>
      <c r="CN12" s="350"/>
      <c r="CO12" s="351"/>
      <c r="CP12" s="351"/>
      <c r="CQ12" s="351"/>
      <c r="CR12" s="352"/>
      <c r="CS12" s="350"/>
      <c r="CT12" s="351"/>
      <c r="CU12" s="351"/>
      <c r="CV12" s="351"/>
      <c r="CW12" s="352"/>
      <c r="CX12" s="350"/>
      <c r="CY12" s="351"/>
      <c r="CZ12" s="351"/>
      <c r="DA12" s="351"/>
      <c r="DB12" s="352"/>
      <c r="DC12" s="350"/>
      <c r="DD12" s="351"/>
      <c r="DE12" s="351"/>
      <c r="DF12" s="351"/>
      <c r="DG12" s="352"/>
      <c r="DH12" s="350"/>
      <c r="DI12" s="351"/>
      <c r="DJ12" s="351"/>
      <c r="DK12" s="351"/>
      <c r="DL12" s="352"/>
      <c r="DM12" s="350"/>
      <c r="DN12" s="351"/>
      <c r="DO12" s="351"/>
      <c r="DP12" s="351"/>
      <c r="DQ12" s="352"/>
      <c r="DR12" s="350"/>
      <c r="DS12" s="351"/>
      <c r="DT12" s="351"/>
      <c r="DU12" s="351"/>
      <c r="DV12" s="352"/>
      <c r="DW12" s="350"/>
      <c r="DX12" s="351"/>
      <c r="DY12" s="351"/>
      <c r="DZ12" s="351"/>
      <c r="EA12" s="352"/>
      <c r="EB12" s="350"/>
      <c r="EC12" s="351"/>
      <c r="ED12" s="351"/>
      <c r="EE12" s="351"/>
      <c r="EF12" s="352"/>
      <c r="EG12" s="350"/>
      <c r="EH12" s="351"/>
      <c r="EI12" s="351"/>
      <c r="EJ12" s="351"/>
      <c r="EK12" s="352"/>
      <c r="EL12" s="350"/>
      <c r="EM12" s="351"/>
      <c r="EN12" s="351"/>
      <c r="EO12" s="351"/>
      <c r="EP12" s="352"/>
      <c r="EQ12" s="350"/>
      <c r="ER12" s="351"/>
      <c r="ES12" s="351"/>
      <c r="ET12" s="351"/>
      <c r="EU12" s="352"/>
      <c r="EV12" s="350"/>
      <c r="EW12" s="351"/>
      <c r="EX12" s="351"/>
      <c r="EY12" s="351"/>
      <c r="EZ12" s="352"/>
      <c r="FA12" s="350"/>
      <c r="FB12" s="351"/>
      <c r="FC12" s="351"/>
      <c r="FD12" s="351"/>
      <c r="FE12" s="352"/>
      <c r="FF12" s="350"/>
      <c r="FG12" s="351"/>
      <c r="FH12" s="351"/>
      <c r="FI12" s="351"/>
      <c r="FJ12" s="352"/>
      <c r="FK12" s="350"/>
      <c r="FL12" s="351"/>
      <c r="FM12" s="351"/>
      <c r="FN12" s="351"/>
      <c r="FO12" s="352"/>
      <c r="FP12" s="350"/>
      <c r="FQ12" s="351"/>
      <c r="FR12" s="351"/>
      <c r="FS12" s="351"/>
      <c r="FT12" s="352"/>
      <c r="FU12" s="350"/>
      <c r="FV12" s="351"/>
      <c r="FW12" s="351"/>
      <c r="FX12" s="351"/>
      <c r="FY12" s="352"/>
      <c r="FZ12" s="350"/>
      <c r="GA12" s="351"/>
      <c r="GB12" s="351"/>
      <c r="GC12" s="351"/>
      <c r="GD12" s="352"/>
      <c r="GE12" s="350"/>
      <c r="GF12" s="351"/>
      <c r="GG12" s="351"/>
      <c r="GH12" s="351"/>
      <c r="GI12" s="352"/>
      <c r="GJ12" s="350"/>
      <c r="GK12" s="351"/>
      <c r="GL12" s="351"/>
      <c r="GM12" s="351"/>
      <c r="GN12" s="352"/>
      <c r="GO12" s="350"/>
      <c r="GP12" s="351"/>
      <c r="GQ12" s="351"/>
      <c r="GR12" s="351"/>
      <c r="GS12" s="352"/>
      <c r="GT12" s="350"/>
      <c r="GU12" s="351"/>
      <c r="GV12" s="351"/>
      <c r="GW12" s="351"/>
      <c r="GX12" s="352"/>
      <c r="GY12" s="350"/>
      <c r="GZ12" s="351"/>
      <c r="HA12" s="351"/>
      <c r="HB12" s="351"/>
      <c r="HC12" s="352"/>
      <c r="HD12" s="350" t="n">
        <v>3</v>
      </c>
      <c r="HE12" s="351" t="n">
        <v>5</v>
      </c>
      <c r="HF12" s="351" t="n">
        <v>5</v>
      </c>
      <c r="HG12" s="351" t="n">
        <v>3</v>
      </c>
      <c r="HH12" s="352" t="n">
        <v>3</v>
      </c>
      <c r="HI12" s="350" t="n">
        <v>3</v>
      </c>
      <c r="HJ12" s="351" t="n">
        <v>5</v>
      </c>
      <c r="HK12" s="351" t="n">
        <v>5</v>
      </c>
      <c r="HL12" s="351" t="n">
        <v>3</v>
      </c>
      <c r="HM12" s="352" t="n">
        <v>3</v>
      </c>
      <c r="HN12" s="350" t="n">
        <v>3</v>
      </c>
      <c r="HO12" s="351" t="n">
        <v>5</v>
      </c>
      <c r="HP12" s="351" t="n">
        <v>1</v>
      </c>
      <c r="HQ12" s="351" t="n">
        <v>3</v>
      </c>
      <c r="HR12" s="352" t="n">
        <v>3</v>
      </c>
      <c r="HS12" s="350" t="n">
        <v>3</v>
      </c>
      <c r="HT12" s="351" t="n">
        <v>5</v>
      </c>
      <c r="HU12" s="351" t="n">
        <v>5</v>
      </c>
      <c r="HV12" s="351" t="n">
        <v>1</v>
      </c>
      <c r="HW12" s="352" t="n">
        <v>1</v>
      </c>
      <c r="HX12" s="350" t="n">
        <v>5</v>
      </c>
      <c r="HY12" s="351" t="n">
        <v>5</v>
      </c>
      <c r="HZ12" s="351" t="n">
        <v>5</v>
      </c>
      <c r="IA12" s="351" t="n">
        <v>3</v>
      </c>
      <c r="IB12" s="352" t="n">
        <v>3</v>
      </c>
      <c r="IC12" s="350" t="n">
        <v>5</v>
      </c>
      <c r="ID12" s="351" t="n">
        <v>5</v>
      </c>
      <c r="IE12" s="351" t="n">
        <v>5</v>
      </c>
      <c r="IF12" s="351" t="n">
        <v>3</v>
      </c>
      <c r="IG12" s="352" t="n">
        <v>3</v>
      </c>
      <c r="IH12" s="350" t="n">
        <v>5</v>
      </c>
      <c r="II12" s="351" t="n">
        <v>5</v>
      </c>
      <c r="IJ12" s="351" t="n">
        <v>5</v>
      </c>
      <c r="IK12" s="351" t="n">
        <v>3</v>
      </c>
      <c r="IL12" s="352" t="n">
        <v>3</v>
      </c>
      <c r="IM12" s="350" t="n">
        <v>5</v>
      </c>
      <c r="IN12" s="351" t="n">
        <v>5</v>
      </c>
      <c r="IO12" s="351" t="n">
        <v>5</v>
      </c>
      <c r="IP12" s="351" t="n">
        <v>3</v>
      </c>
      <c r="IQ12" s="352" t="n">
        <v>3</v>
      </c>
      <c r="IR12" s="350" t="n">
        <v>5</v>
      </c>
      <c r="IS12" s="351" t="n">
        <v>5</v>
      </c>
      <c r="IT12" s="351" t="n">
        <v>5</v>
      </c>
      <c r="IU12" s="351" t="n">
        <v>3</v>
      </c>
      <c r="IV12" s="352" t="n">
        <v>3</v>
      </c>
      <c r="IW12" s="350" t="n">
        <v>5</v>
      </c>
      <c r="IX12" s="351" t="n">
        <v>5</v>
      </c>
      <c r="IY12" s="351" t="n">
        <v>5</v>
      </c>
      <c r="IZ12" s="351" t="n">
        <v>3</v>
      </c>
      <c r="JA12" s="352" t="n">
        <v>3</v>
      </c>
      <c r="JB12" s="350" t="n">
        <v>5</v>
      </c>
      <c r="JC12" s="351" t="n">
        <v>5</v>
      </c>
      <c r="JD12" s="351" t="n">
        <v>5</v>
      </c>
      <c r="JE12" s="351" t="n">
        <v>3</v>
      </c>
      <c r="JF12" s="352" t="n">
        <v>3</v>
      </c>
      <c r="JG12" s="350" t="n">
        <v>5</v>
      </c>
      <c r="JH12" s="351" t="n">
        <v>5</v>
      </c>
      <c r="JI12" s="351" t="n">
        <v>5</v>
      </c>
      <c r="JJ12" s="351" t="n">
        <v>3</v>
      </c>
      <c r="JK12" s="352" t="n">
        <v>3</v>
      </c>
      <c r="JL12" s="350" t="n">
        <v>5</v>
      </c>
      <c r="JM12" s="351" t="n">
        <v>5</v>
      </c>
      <c r="JN12" s="351" t="n">
        <v>5</v>
      </c>
      <c r="JO12" s="351" t="n">
        <v>3</v>
      </c>
      <c r="JP12" s="352" t="n">
        <v>3</v>
      </c>
      <c r="JQ12" s="350" t="n">
        <v>5</v>
      </c>
      <c r="JR12" s="351" t="n">
        <v>5</v>
      </c>
      <c r="JS12" s="351" t="n">
        <v>5</v>
      </c>
      <c r="JT12" s="351" t="n">
        <v>3</v>
      </c>
      <c r="JU12" s="352" t="n">
        <v>3</v>
      </c>
      <c r="JV12" s="350" t="n">
        <v>5</v>
      </c>
      <c r="JW12" s="351" t="n">
        <v>5</v>
      </c>
      <c r="JX12" s="351" t="n">
        <v>5</v>
      </c>
      <c r="JY12" s="351" t="n">
        <v>3</v>
      </c>
      <c r="JZ12" s="352" t="n">
        <v>3</v>
      </c>
      <c r="KA12" s="350" t="n">
        <v>5</v>
      </c>
      <c r="KB12" s="351" t="n">
        <v>5</v>
      </c>
      <c r="KC12" s="351" t="n">
        <v>5</v>
      </c>
      <c r="KD12" s="351" t="n">
        <v>3</v>
      </c>
      <c r="KE12" s="352" t="n">
        <v>3</v>
      </c>
      <c r="KF12" s="350" t="n">
        <v>5</v>
      </c>
      <c r="KG12" s="351" t="n">
        <v>5</v>
      </c>
      <c r="KH12" s="351" t="n">
        <v>5</v>
      </c>
      <c r="KI12" s="351" t="n">
        <v>3</v>
      </c>
      <c r="KJ12" s="352" t="n">
        <v>3</v>
      </c>
      <c r="KK12" s="350" t="n">
        <v>5</v>
      </c>
      <c r="KL12" s="351" t="n">
        <v>5</v>
      </c>
      <c r="KM12" s="351" t="n">
        <v>5</v>
      </c>
      <c r="KN12" s="351" t="n">
        <v>3</v>
      </c>
      <c r="KO12" s="352" t="n">
        <v>3</v>
      </c>
      <c r="KP12" s="350" t="n">
        <v>5</v>
      </c>
      <c r="KQ12" s="351" t="n">
        <v>5</v>
      </c>
      <c r="KR12" s="351" t="n">
        <v>5</v>
      </c>
      <c r="KS12" s="351" t="n">
        <v>3</v>
      </c>
      <c r="KT12" s="352" t="n">
        <v>3</v>
      </c>
      <c r="KU12" s="350" t="n">
        <v>5</v>
      </c>
      <c r="KV12" s="351" t="n">
        <v>5</v>
      </c>
      <c r="KW12" s="351" t="n">
        <v>5</v>
      </c>
      <c r="KX12" s="351" t="n">
        <v>3</v>
      </c>
      <c r="KY12" s="352" t="n">
        <v>3</v>
      </c>
      <c r="KZ12" s="350" t="n">
        <v>5</v>
      </c>
      <c r="LA12" s="351" t="n">
        <v>5</v>
      </c>
      <c r="LB12" s="351" t="n">
        <v>5</v>
      </c>
      <c r="LC12" s="351" t="n">
        <v>3</v>
      </c>
      <c r="LD12" s="352" t="n">
        <v>3</v>
      </c>
      <c r="LE12" s="350" t="n">
        <v>5</v>
      </c>
      <c r="LF12" s="351" t="n">
        <v>5</v>
      </c>
      <c r="LG12" s="351" t="n">
        <v>5</v>
      </c>
      <c r="LH12" s="351" t="n">
        <v>3</v>
      </c>
      <c r="LI12" s="352" t="n">
        <v>3</v>
      </c>
      <c r="LJ12" s="350" t="n">
        <v>5</v>
      </c>
      <c r="LK12" s="351" t="n">
        <v>5</v>
      </c>
      <c r="LL12" s="351" t="n">
        <v>5</v>
      </c>
      <c r="LM12" s="351" t="n">
        <v>3</v>
      </c>
      <c r="LN12" s="352" t="n">
        <v>3</v>
      </c>
      <c r="LO12" s="350" t="n">
        <v>5</v>
      </c>
      <c r="LP12" s="351" t="n">
        <v>5</v>
      </c>
      <c r="LQ12" s="351" t="n">
        <v>5</v>
      </c>
      <c r="LR12" s="351" t="n">
        <v>3</v>
      </c>
      <c r="LS12" s="352" t="n">
        <v>3</v>
      </c>
      <c r="LT12" s="350" t="n">
        <v>5</v>
      </c>
      <c r="LU12" s="351" t="n">
        <v>5</v>
      </c>
      <c r="LV12" s="351" t="n">
        <v>5</v>
      </c>
      <c r="LW12" s="351" t="n">
        <v>3</v>
      </c>
      <c r="LX12" s="352" t="n">
        <v>3</v>
      </c>
      <c r="LY12" s="350" t="n">
        <v>5</v>
      </c>
      <c r="LZ12" s="351" t="n">
        <v>5</v>
      </c>
      <c r="MA12" s="351" t="n">
        <v>5</v>
      </c>
      <c r="MB12" s="351" t="n">
        <v>3</v>
      </c>
      <c r="MC12" s="352" t="n">
        <v>3</v>
      </c>
      <c r="MD12" s="350" t="n">
        <v>5</v>
      </c>
      <c r="ME12" s="351" t="n">
        <v>5</v>
      </c>
      <c r="MF12" s="351" t="n">
        <v>5</v>
      </c>
      <c r="MG12" s="351" t="n">
        <v>3</v>
      </c>
      <c r="MH12" s="352" t="n">
        <v>3</v>
      </c>
      <c r="MI12" s="350" t="n">
        <v>5</v>
      </c>
      <c r="MJ12" s="351" t="n">
        <v>5</v>
      </c>
      <c r="MK12" s="351" t="n">
        <v>5</v>
      </c>
      <c r="ML12" s="351" t="n">
        <v>3</v>
      </c>
      <c r="MM12" s="352" t="n">
        <v>3</v>
      </c>
      <c r="MN12" s="350" t="n">
        <v>5</v>
      </c>
      <c r="MO12" s="351" t="n">
        <v>5</v>
      </c>
      <c r="MP12" s="351" t="n">
        <v>5</v>
      </c>
      <c r="MQ12" s="351" t="n">
        <v>3</v>
      </c>
      <c r="MR12" s="352" t="n">
        <v>3</v>
      </c>
      <c r="MS12" s="350" t="n">
        <v>5</v>
      </c>
      <c r="MT12" s="351" t="n">
        <v>5</v>
      </c>
      <c r="MU12" s="351" t="n">
        <v>5</v>
      </c>
      <c r="MV12" s="351" t="n">
        <v>3</v>
      </c>
      <c r="MW12" s="352" t="n">
        <v>3</v>
      </c>
      <c r="MX12" s="350" t="n">
        <v>5</v>
      </c>
      <c r="MY12" s="351" t="n">
        <v>5</v>
      </c>
      <c r="MZ12" s="351" t="n">
        <v>5</v>
      </c>
      <c r="NA12" s="351" t="n">
        <v>3</v>
      </c>
      <c r="NB12" s="352" t="n">
        <v>3</v>
      </c>
      <c r="NC12" s="350" t="n">
        <v>5</v>
      </c>
      <c r="ND12" s="351" t="n">
        <v>5</v>
      </c>
      <c r="NE12" s="351" t="n">
        <v>5</v>
      </c>
      <c r="NF12" s="351" t="n">
        <v>3</v>
      </c>
      <c r="NG12" s="352" t="n">
        <v>3</v>
      </c>
      <c r="NH12" s="350" t="n">
        <v>5</v>
      </c>
      <c r="NI12" s="351" t="n">
        <v>5</v>
      </c>
      <c r="NJ12" s="351" t="n">
        <v>5</v>
      </c>
      <c r="NK12" s="351" t="n">
        <v>3</v>
      </c>
      <c r="NL12" s="352" t="n">
        <v>3</v>
      </c>
      <c r="NM12" s="350" t="n">
        <v>5</v>
      </c>
      <c r="NN12" s="351" t="n">
        <v>5</v>
      </c>
      <c r="NO12" s="351" t="n">
        <v>5</v>
      </c>
      <c r="NP12" s="351" t="n">
        <v>3</v>
      </c>
      <c r="NQ12" s="352" t="n">
        <v>3</v>
      </c>
      <c r="NR12" s="350" t="n">
        <v>5</v>
      </c>
      <c r="NS12" s="351" t="n">
        <v>5</v>
      </c>
      <c r="NT12" s="351" t="n">
        <v>5</v>
      </c>
      <c r="NU12" s="351" t="n">
        <v>3</v>
      </c>
      <c r="NV12" s="352" t="n">
        <v>3</v>
      </c>
      <c r="NW12" s="350" t="n">
        <v>5</v>
      </c>
      <c r="NX12" s="351" t="n">
        <v>5</v>
      </c>
      <c r="NY12" s="351" t="n">
        <v>5</v>
      </c>
      <c r="NZ12" s="351" t="n">
        <v>3</v>
      </c>
      <c r="OA12" s="352" t="n">
        <v>3</v>
      </c>
      <c r="OB12" s="350" t="n">
        <v>5</v>
      </c>
      <c r="OC12" s="351" t="n">
        <v>5</v>
      </c>
      <c r="OD12" s="351" t="n">
        <v>5</v>
      </c>
      <c r="OE12" s="351" t="n">
        <v>3</v>
      </c>
      <c r="OF12" s="352" t="n">
        <v>3</v>
      </c>
      <c r="OG12" s="350" t="n">
        <v>5</v>
      </c>
      <c r="OH12" s="351" t="n">
        <v>5</v>
      </c>
      <c r="OI12" s="351" t="n">
        <v>5</v>
      </c>
      <c r="OJ12" s="351" t="n">
        <v>3</v>
      </c>
      <c r="OK12" s="352" t="n">
        <v>3</v>
      </c>
      <c r="OL12" s="350" t="n">
        <v>5</v>
      </c>
      <c r="OM12" s="351" t="n">
        <v>5</v>
      </c>
      <c r="ON12" s="351" t="n">
        <v>5</v>
      </c>
      <c r="OO12" s="351" t="n">
        <v>3</v>
      </c>
      <c r="OP12" s="352" t="n">
        <v>3</v>
      </c>
      <c r="OQ12" s="350" t="n">
        <v>5</v>
      </c>
      <c r="OR12" s="351" t="n">
        <v>5</v>
      </c>
      <c r="OS12" s="351" t="n">
        <v>5</v>
      </c>
      <c r="OT12" s="351" t="n">
        <v>3</v>
      </c>
      <c r="OU12" s="352" t="n">
        <v>3</v>
      </c>
      <c r="OV12" s="350" t="n">
        <v>5</v>
      </c>
      <c r="OW12" s="351" t="n">
        <v>5</v>
      </c>
      <c r="OX12" s="351" t="n">
        <v>5</v>
      </c>
      <c r="OY12" s="351" t="n">
        <v>3</v>
      </c>
      <c r="OZ12" s="352" t="n">
        <v>3</v>
      </c>
      <c r="PA12" s="350" t="n">
        <v>5</v>
      </c>
      <c r="PB12" s="351" t="n">
        <v>5</v>
      </c>
      <c r="PC12" s="351" t="n">
        <v>5</v>
      </c>
      <c r="PD12" s="351" t="n">
        <v>3</v>
      </c>
      <c r="PE12" s="352" t="n">
        <v>3</v>
      </c>
      <c r="PF12" s="350" t="n">
        <v>5</v>
      </c>
      <c r="PG12" s="351" t="n">
        <v>5</v>
      </c>
      <c r="PH12" s="351" t="n">
        <v>5</v>
      </c>
      <c r="PI12" s="351" t="n">
        <v>3</v>
      </c>
      <c r="PJ12" s="352" t="n">
        <v>3</v>
      </c>
      <c r="PK12" s="350" t="n">
        <v>5</v>
      </c>
      <c r="PL12" s="351" t="n">
        <v>5</v>
      </c>
      <c r="PM12" s="351" t="n">
        <v>5</v>
      </c>
      <c r="PN12" s="351" t="n">
        <v>3</v>
      </c>
      <c r="PO12" s="352" t="n">
        <v>3</v>
      </c>
      <c r="PP12" s="350" t="n">
        <v>5</v>
      </c>
      <c r="PQ12" s="351" t="n">
        <v>5</v>
      </c>
      <c r="PR12" s="351" t="n">
        <v>5</v>
      </c>
      <c r="PS12" s="351" t="n">
        <v>3</v>
      </c>
      <c r="PT12" s="352" t="n">
        <v>3</v>
      </c>
      <c r="PU12" s="350" t="n">
        <v>5</v>
      </c>
      <c r="PV12" s="351" t="n">
        <v>5</v>
      </c>
      <c r="PW12" s="351" t="n">
        <v>5</v>
      </c>
      <c r="PX12" s="351" t="n">
        <v>3</v>
      </c>
      <c r="PY12" s="352" t="n">
        <v>3</v>
      </c>
      <c r="PZ12" s="350" t="n">
        <v>5</v>
      </c>
      <c r="QA12" s="351" t="n">
        <v>5</v>
      </c>
      <c r="QB12" s="351" t="n">
        <v>5</v>
      </c>
      <c r="QC12" s="351" t="n">
        <v>3</v>
      </c>
      <c r="QD12" s="352" t="n">
        <v>3</v>
      </c>
      <c r="QE12" s="350" t="n">
        <v>5</v>
      </c>
      <c r="QF12" s="351" t="n">
        <v>5</v>
      </c>
      <c r="QG12" s="351" t="n">
        <v>5</v>
      </c>
      <c r="QH12" s="351" t="n">
        <v>3</v>
      </c>
      <c r="QI12" s="352" t="n">
        <v>3</v>
      </c>
      <c r="QJ12" s="350" t="n">
        <v>5</v>
      </c>
      <c r="QK12" s="351" t="n">
        <v>5</v>
      </c>
      <c r="QL12" s="351" t="n">
        <v>5</v>
      </c>
      <c r="QM12" s="351" t="n">
        <v>3</v>
      </c>
      <c r="QN12" s="352" t="n">
        <v>3</v>
      </c>
      <c r="QO12" s="350" t="n">
        <v>5</v>
      </c>
      <c r="QP12" s="351" t="n">
        <v>5</v>
      </c>
      <c r="QQ12" s="351" t="n">
        <v>5</v>
      </c>
      <c r="QR12" s="351" t="n">
        <v>3</v>
      </c>
      <c r="QS12" s="352" t="n">
        <v>3</v>
      </c>
      <c r="QT12" s="350" t="n">
        <v>5</v>
      </c>
      <c r="QU12" s="351" t="n">
        <v>5</v>
      </c>
      <c r="QV12" s="351" t="n">
        <v>5</v>
      </c>
      <c r="QW12" s="351" t="n">
        <v>3</v>
      </c>
      <c r="QX12" s="352" t="n">
        <v>3</v>
      </c>
      <c r="QY12" s="350" t="n">
        <v>5</v>
      </c>
      <c r="QZ12" s="351" t="n">
        <v>5</v>
      </c>
      <c r="RA12" s="351" t="n">
        <v>5</v>
      </c>
      <c r="RB12" s="351" t="n">
        <v>3</v>
      </c>
      <c r="RC12" s="352" t="n">
        <v>3</v>
      </c>
      <c r="RD12" s="350" t="n">
        <v>5</v>
      </c>
      <c r="RE12" s="351" t="n">
        <v>5</v>
      </c>
      <c r="RF12" s="351" t="n">
        <v>5</v>
      </c>
      <c r="RG12" s="351" t="n">
        <v>3</v>
      </c>
      <c r="RH12" s="352" t="n">
        <v>3</v>
      </c>
      <c r="RI12" s="350" t="n">
        <v>5</v>
      </c>
      <c r="RJ12" s="351" t="n">
        <v>5</v>
      </c>
      <c r="RK12" s="351" t="n">
        <v>5</v>
      </c>
      <c r="RL12" s="351" t="n">
        <v>3</v>
      </c>
      <c r="RM12" s="352" t="n">
        <v>3</v>
      </c>
      <c r="RN12" s="350" t="n">
        <v>5</v>
      </c>
      <c r="RO12" s="351" t="n">
        <v>5</v>
      </c>
      <c r="RP12" s="351" t="n">
        <v>5</v>
      </c>
      <c r="RQ12" s="351" t="n">
        <v>3</v>
      </c>
      <c r="RR12" s="352" t="n">
        <v>3</v>
      </c>
      <c r="RS12" s="350" t="n">
        <v>5</v>
      </c>
      <c r="RT12" s="351" t="n">
        <v>5</v>
      </c>
      <c r="RU12" s="351" t="n">
        <v>5</v>
      </c>
      <c r="RV12" s="351" t="n">
        <v>3</v>
      </c>
      <c r="RW12" s="352" t="n">
        <v>3</v>
      </c>
      <c r="RX12" s="350" t="n">
        <v>5</v>
      </c>
      <c r="RY12" s="351" t="n">
        <v>5</v>
      </c>
      <c r="RZ12" s="351" t="n">
        <v>5</v>
      </c>
      <c r="SA12" s="351" t="n">
        <v>3</v>
      </c>
      <c r="SB12" s="352" t="n">
        <v>3</v>
      </c>
      <c r="SC12" s="350" t="n">
        <v>5</v>
      </c>
      <c r="SD12" s="351" t="n">
        <v>5</v>
      </c>
      <c r="SE12" s="351" t="n">
        <v>5</v>
      </c>
      <c r="SF12" s="351" t="n">
        <v>3</v>
      </c>
      <c r="SG12" s="352" t="n">
        <v>3</v>
      </c>
      <c r="SH12" s="350" t="n">
        <v>5</v>
      </c>
      <c r="SI12" s="351" t="n">
        <v>5</v>
      </c>
      <c r="SJ12" s="351" t="n">
        <v>5</v>
      </c>
      <c r="SK12" s="351" t="n">
        <v>3</v>
      </c>
      <c r="SL12" s="352" t="n">
        <v>3</v>
      </c>
      <c r="SM12" s="350" t="n">
        <v>5</v>
      </c>
      <c r="SN12" s="351" t="n">
        <v>5</v>
      </c>
      <c r="SO12" s="351" t="n">
        <v>5</v>
      </c>
      <c r="SP12" s="351" t="n">
        <v>3</v>
      </c>
      <c r="SQ12" s="352" t="n">
        <v>3</v>
      </c>
      <c r="SR12" s="350" t="n">
        <v>5</v>
      </c>
      <c r="SS12" s="351" t="n">
        <v>5</v>
      </c>
      <c r="ST12" s="351" t="n">
        <v>5</v>
      </c>
      <c r="SU12" s="351" t="n">
        <v>3</v>
      </c>
      <c r="SV12" s="352" t="n">
        <v>3</v>
      </c>
      <c r="SW12" s="350" t="n">
        <v>3</v>
      </c>
      <c r="SX12" s="351" t="n">
        <v>5</v>
      </c>
      <c r="SY12" s="351" t="n">
        <v>3</v>
      </c>
      <c r="SZ12" s="351" t="n">
        <v>3</v>
      </c>
      <c r="TA12" s="352" t="n">
        <v>1</v>
      </c>
      <c r="TB12" s="354" t="n">
        <f aca="false">+AVERAGE(B12:IB12)</f>
        <v>3.82926829268293</v>
      </c>
    </row>
    <row r="13" customFormat="false" ht="15.5" hidden="false" customHeight="false" outlineLevel="0" collapsed="false">
      <c r="A13" s="349" t="s">
        <v>515</v>
      </c>
      <c r="B13" s="350"/>
      <c r="C13" s="351"/>
      <c r="D13" s="351"/>
      <c r="E13" s="351"/>
      <c r="F13" s="352"/>
      <c r="G13" s="350"/>
      <c r="H13" s="351"/>
      <c r="I13" s="351"/>
      <c r="J13" s="351"/>
      <c r="K13" s="352"/>
      <c r="L13" s="350"/>
      <c r="M13" s="351"/>
      <c r="N13" s="351"/>
      <c r="O13" s="351"/>
      <c r="P13" s="352"/>
      <c r="Q13" s="350"/>
      <c r="R13" s="351"/>
      <c r="S13" s="351"/>
      <c r="T13" s="351"/>
      <c r="U13" s="352"/>
      <c r="V13" s="350"/>
      <c r="W13" s="351"/>
      <c r="X13" s="351"/>
      <c r="Y13" s="351"/>
      <c r="Z13" s="352"/>
      <c r="AA13" s="350"/>
      <c r="AB13" s="351"/>
      <c r="AC13" s="351"/>
      <c r="AD13" s="351"/>
      <c r="AE13" s="352"/>
      <c r="AF13" s="350"/>
      <c r="AG13" s="351"/>
      <c r="AH13" s="351"/>
      <c r="AI13" s="351"/>
      <c r="AJ13" s="352"/>
      <c r="AK13" s="350"/>
      <c r="AL13" s="351"/>
      <c r="AM13" s="351"/>
      <c r="AN13" s="351"/>
      <c r="AO13" s="352"/>
      <c r="AP13" s="350"/>
      <c r="AQ13" s="351"/>
      <c r="AR13" s="351"/>
      <c r="AS13" s="351"/>
      <c r="AT13" s="352"/>
      <c r="AU13" s="350"/>
      <c r="AV13" s="351"/>
      <c r="AW13" s="351"/>
      <c r="AX13" s="351"/>
      <c r="AY13" s="352"/>
      <c r="AZ13" s="350"/>
      <c r="BA13" s="351"/>
      <c r="BB13" s="351"/>
      <c r="BC13" s="351"/>
      <c r="BD13" s="352"/>
      <c r="BE13" s="350"/>
      <c r="BF13" s="351"/>
      <c r="BG13" s="351"/>
      <c r="BH13" s="351"/>
      <c r="BI13" s="352"/>
      <c r="BJ13" s="350"/>
      <c r="BK13" s="351"/>
      <c r="BL13" s="351"/>
      <c r="BM13" s="351"/>
      <c r="BN13" s="351"/>
      <c r="BO13" s="350"/>
      <c r="BP13" s="351"/>
      <c r="BQ13" s="351"/>
      <c r="BR13" s="351"/>
      <c r="BS13" s="352"/>
      <c r="BT13" s="350"/>
      <c r="BU13" s="351"/>
      <c r="BV13" s="351"/>
      <c r="BW13" s="351"/>
      <c r="BX13" s="352"/>
      <c r="BY13" s="350"/>
      <c r="BZ13" s="351"/>
      <c r="CA13" s="351"/>
      <c r="CB13" s="351"/>
      <c r="CC13" s="352"/>
      <c r="CD13" s="350"/>
      <c r="CE13" s="351"/>
      <c r="CF13" s="351"/>
      <c r="CG13" s="351"/>
      <c r="CH13" s="352"/>
      <c r="CI13" s="350"/>
      <c r="CJ13" s="351"/>
      <c r="CK13" s="351"/>
      <c r="CL13" s="351"/>
      <c r="CM13" s="352"/>
      <c r="CN13" s="350"/>
      <c r="CO13" s="351"/>
      <c r="CP13" s="351"/>
      <c r="CQ13" s="351"/>
      <c r="CR13" s="352"/>
      <c r="CS13" s="350" t="n">
        <v>3</v>
      </c>
      <c r="CT13" s="351" t="n">
        <v>5</v>
      </c>
      <c r="CU13" s="351" t="n">
        <v>5</v>
      </c>
      <c r="CV13" s="351" t="n">
        <v>3</v>
      </c>
      <c r="CW13" s="352" t="n">
        <v>3</v>
      </c>
      <c r="CX13" s="350" t="n">
        <v>5</v>
      </c>
      <c r="CY13" s="351" t="n">
        <v>5</v>
      </c>
      <c r="CZ13" s="351" t="n">
        <v>5</v>
      </c>
      <c r="DA13" s="351" t="n">
        <v>3</v>
      </c>
      <c r="DB13" s="352" t="n">
        <v>5</v>
      </c>
      <c r="DC13" s="350"/>
      <c r="DD13" s="351"/>
      <c r="DE13" s="351"/>
      <c r="DF13" s="351"/>
      <c r="DG13" s="352"/>
      <c r="DH13" s="350"/>
      <c r="DI13" s="351"/>
      <c r="DJ13" s="351"/>
      <c r="DK13" s="351"/>
      <c r="DL13" s="352"/>
      <c r="DM13" s="350"/>
      <c r="DN13" s="351" t="n">
        <v>5</v>
      </c>
      <c r="DO13" s="351" t="n">
        <v>5</v>
      </c>
      <c r="DP13" s="351" t="n">
        <v>5</v>
      </c>
      <c r="DQ13" s="352" t="n">
        <v>5</v>
      </c>
      <c r="DR13" s="350" t="n">
        <v>5</v>
      </c>
      <c r="DS13" s="351"/>
      <c r="DT13" s="351" t="n">
        <v>5</v>
      </c>
      <c r="DU13" s="351" t="n">
        <v>5</v>
      </c>
      <c r="DV13" s="352" t="n">
        <v>5</v>
      </c>
      <c r="DW13" s="350"/>
      <c r="DX13" s="351"/>
      <c r="DY13" s="351"/>
      <c r="DZ13" s="351"/>
      <c r="EA13" s="352"/>
      <c r="EB13" s="350"/>
      <c r="EC13" s="351"/>
      <c r="ED13" s="351"/>
      <c r="EE13" s="351"/>
      <c r="EF13" s="352"/>
      <c r="EG13" s="350"/>
      <c r="EH13" s="351"/>
      <c r="EI13" s="351"/>
      <c r="EJ13" s="351"/>
      <c r="EK13" s="352"/>
      <c r="EL13" s="350"/>
      <c r="EM13" s="351"/>
      <c r="EN13" s="351"/>
      <c r="EO13" s="351"/>
      <c r="EP13" s="352"/>
      <c r="EQ13" s="350"/>
      <c r="ER13" s="351"/>
      <c r="ES13" s="351"/>
      <c r="ET13" s="351"/>
      <c r="EU13" s="352"/>
      <c r="EV13" s="350"/>
      <c r="EW13" s="351"/>
      <c r="EX13" s="351"/>
      <c r="EY13" s="351"/>
      <c r="EZ13" s="352"/>
      <c r="FA13" s="350"/>
      <c r="FB13" s="351"/>
      <c r="FC13" s="351"/>
      <c r="FD13" s="351"/>
      <c r="FE13" s="352"/>
      <c r="FF13" s="350"/>
      <c r="FG13" s="351"/>
      <c r="FH13" s="351"/>
      <c r="FI13" s="351"/>
      <c r="FJ13" s="352"/>
      <c r="FK13" s="350"/>
      <c r="FL13" s="351"/>
      <c r="FM13" s="351"/>
      <c r="FN13" s="351"/>
      <c r="FO13" s="352"/>
      <c r="FP13" s="350"/>
      <c r="FQ13" s="351"/>
      <c r="FR13" s="351"/>
      <c r="FS13" s="351"/>
      <c r="FT13" s="352"/>
      <c r="FU13" s="350"/>
      <c r="FV13" s="351"/>
      <c r="FW13" s="351"/>
      <c r="FX13" s="351"/>
      <c r="FY13" s="352"/>
      <c r="FZ13" s="350"/>
      <c r="GA13" s="351"/>
      <c r="GB13" s="351"/>
      <c r="GC13" s="351"/>
      <c r="GD13" s="352"/>
      <c r="GE13" s="350"/>
      <c r="GF13" s="351"/>
      <c r="GG13" s="351"/>
      <c r="GH13" s="351"/>
      <c r="GI13" s="352"/>
      <c r="GJ13" s="350"/>
      <c r="GK13" s="351"/>
      <c r="GL13" s="351"/>
      <c r="GM13" s="351"/>
      <c r="GN13" s="352"/>
      <c r="GO13" s="350"/>
      <c r="GP13" s="351"/>
      <c r="GQ13" s="351"/>
      <c r="GR13" s="351"/>
      <c r="GS13" s="352"/>
      <c r="GT13" s="350"/>
      <c r="GU13" s="351"/>
      <c r="GV13" s="351"/>
      <c r="GW13" s="351"/>
      <c r="GX13" s="352"/>
      <c r="GY13" s="350"/>
      <c r="GZ13" s="351"/>
      <c r="HA13" s="351"/>
      <c r="HB13" s="351"/>
      <c r="HC13" s="352"/>
      <c r="HD13" s="350"/>
      <c r="HE13" s="351"/>
      <c r="HF13" s="351"/>
      <c r="HG13" s="351"/>
      <c r="HH13" s="352"/>
      <c r="HI13" s="350" t="n">
        <v>5</v>
      </c>
      <c r="HJ13" s="351" t="n">
        <v>5</v>
      </c>
      <c r="HK13" s="351" t="n">
        <v>5</v>
      </c>
      <c r="HL13" s="351" t="n">
        <v>5</v>
      </c>
      <c r="HM13" s="352" t="n">
        <v>5</v>
      </c>
      <c r="HN13" s="350" t="n">
        <v>5</v>
      </c>
      <c r="HO13" s="351" t="n">
        <v>5</v>
      </c>
      <c r="HP13" s="351" t="n">
        <v>5</v>
      </c>
      <c r="HQ13" s="351" t="n">
        <v>5</v>
      </c>
      <c r="HR13" s="352" t="n">
        <v>5</v>
      </c>
      <c r="HS13" s="350"/>
      <c r="HT13" s="351"/>
      <c r="HU13" s="351"/>
      <c r="HV13" s="351"/>
      <c r="HW13" s="352"/>
      <c r="HX13" s="350"/>
      <c r="HY13" s="351"/>
      <c r="HZ13" s="351"/>
      <c r="IA13" s="351"/>
      <c r="IB13" s="352"/>
      <c r="IC13" s="350"/>
      <c r="ID13" s="351"/>
      <c r="IE13" s="351"/>
      <c r="IF13" s="351"/>
      <c r="IG13" s="352"/>
      <c r="IH13" s="350"/>
      <c r="II13" s="351"/>
      <c r="IJ13" s="351"/>
      <c r="IK13" s="351"/>
      <c r="IL13" s="352"/>
      <c r="IM13" s="350"/>
      <c r="IN13" s="351"/>
      <c r="IO13" s="351"/>
      <c r="IP13" s="351"/>
      <c r="IQ13" s="352"/>
      <c r="IR13" s="350"/>
      <c r="IS13" s="351"/>
      <c r="IT13" s="351"/>
      <c r="IU13" s="351"/>
      <c r="IV13" s="352"/>
      <c r="IW13" s="350"/>
      <c r="IX13" s="351"/>
      <c r="IY13" s="351"/>
      <c r="IZ13" s="351"/>
      <c r="JA13" s="352"/>
      <c r="JB13" s="350"/>
      <c r="JC13" s="351"/>
      <c r="JD13" s="351"/>
      <c r="JE13" s="351"/>
      <c r="JF13" s="352"/>
      <c r="JG13" s="350"/>
      <c r="JH13" s="351"/>
      <c r="JI13" s="351"/>
      <c r="JJ13" s="351"/>
      <c r="JK13" s="352"/>
      <c r="JL13" s="350"/>
      <c r="JM13" s="351"/>
      <c r="JN13" s="351"/>
      <c r="JO13" s="351"/>
      <c r="JP13" s="352"/>
      <c r="JQ13" s="350"/>
      <c r="JR13" s="351"/>
      <c r="JS13" s="351"/>
      <c r="JT13" s="351"/>
      <c r="JU13" s="352"/>
      <c r="JV13" s="350"/>
      <c r="JW13" s="351"/>
      <c r="JX13" s="351"/>
      <c r="JY13" s="351"/>
      <c r="JZ13" s="352"/>
      <c r="KA13" s="350"/>
      <c r="KB13" s="351"/>
      <c r="KC13" s="351"/>
      <c r="KD13" s="351"/>
      <c r="KE13" s="352"/>
      <c r="KF13" s="350"/>
      <c r="KG13" s="351"/>
      <c r="KH13" s="351"/>
      <c r="KI13" s="351"/>
      <c r="KJ13" s="352"/>
      <c r="KK13" s="350"/>
      <c r="KL13" s="351"/>
      <c r="KM13" s="351"/>
      <c r="KN13" s="351"/>
      <c r="KO13" s="352"/>
      <c r="KP13" s="350"/>
      <c r="KQ13" s="351"/>
      <c r="KR13" s="351"/>
      <c r="KS13" s="351"/>
      <c r="KT13" s="352"/>
      <c r="KU13" s="350"/>
      <c r="KV13" s="351"/>
      <c r="KW13" s="351"/>
      <c r="KX13" s="351"/>
      <c r="KY13" s="352"/>
      <c r="KZ13" s="350"/>
      <c r="LA13" s="351"/>
      <c r="LB13" s="351"/>
      <c r="LC13" s="351"/>
      <c r="LD13" s="352"/>
      <c r="LE13" s="350"/>
      <c r="LF13" s="351"/>
      <c r="LG13" s="351"/>
      <c r="LH13" s="351"/>
      <c r="LI13" s="352"/>
      <c r="LJ13" s="350"/>
      <c r="LK13" s="351"/>
      <c r="LL13" s="351"/>
      <c r="LM13" s="351"/>
      <c r="LN13" s="352"/>
      <c r="LO13" s="350"/>
      <c r="LP13" s="351"/>
      <c r="LQ13" s="351"/>
      <c r="LR13" s="351"/>
      <c r="LS13" s="352"/>
      <c r="LT13" s="350"/>
      <c r="LU13" s="351"/>
      <c r="LV13" s="351"/>
      <c r="LW13" s="351"/>
      <c r="LX13" s="352"/>
      <c r="LY13" s="350"/>
      <c r="LZ13" s="351"/>
      <c r="MA13" s="351"/>
      <c r="MB13" s="351"/>
      <c r="MC13" s="352"/>
      <c r="MD13" s="350"/>
      <c r="ME13" s="351"/>
      <c r="MF13" s="351"/>
      <c r="MG13" s="351"/>
      <c r="MH13" s="352"/>
      <c r="MI13" s="350"/>
      <c r="MJ13" s="351"/>
      <c r="MK13" s="351"/>
      <c r="ML13" s="351"/>
      <c r="MM13" s="352"/>
      <c r="MN13" s="350"/>
      <c r="MO13" s="351"/>
      <c r="MP13" s="351"/>
      <c r="MQ13" s="351"/>
      <c r="MR13" s="352"/>
      <c r="MS13" s="350"/>
      <c r="MT13" s="351"/>
      <c r="MU13" s="351"/>
      <c r="MV13" s="351"/>
      <c r="MW13" s="352"/>
      <c r="MX13" s="350"/>
      <c r="MY13" s="351"/>
      <c r="MZ13" s="351"/>
      <c r="NA13" s="351"/>
      <c r="NB13" s="352"/>
      <c r="NC13" s="350"/>
      <c r="ND13" s="351"/>
      <c r="NE13" s="351"/>
      <c r="NF13" s="351"/>
      <c r="NG13" s="352"/>
      <c r="NH13" s="350"/>
      <c r="NI13" s="351"/>
      <c r="NJ13" s="351"/>
      <c r="NK13" s="351"/>
      <c r="NL13" s="352"/>
      <c r="NM13" s="350"/>
      <c r="NN13" s="351"/>
      <c r="NO13" s="351"/>
      <c r="NP13" s="351"/>
      <c r="NQ13" s="352"/>
      <c r="NR13" s="350"/>
      <c r="NS13" s="351"/>
      <c r="NT13" s="351"/>
      <c r="NU13" s="351"/>
      <c r="NV13" s="352"/>
      <c r="NW13" s="350"/>
      <c r="NX13" s="351"/>
      <c r="NY13" s="351"/>
      <c r="NZ13" s="351"/>
      <c r="OA13" s="352"/>
      <c r="OB13" s="350"/>
      <c r="OC13" s="351"/>
      <c r="OD13" s="351"/>
      <c r="OE13" s="351"/>
      <c r="OF13" s="352"/>
      <c r="OG13" s="350"/>
      <c r="OH13" s="351"/>
      <c r="OI13" s="351"/>
      <c r="OJ13" s="351"/>
      <c r="OK13" s="352"/>
      <c r="OL13" s="350"/>
      <c r="OM13" s="351"/>
      <c r="ON13" s="351"/>
      <c r="OO13" s="351"/>
      <c r="OP13" s="352"/>
      <c r="OQ13" s="350"/>
      <c r="OR13" s="351"/>
      <c r="OS13" s="351"/>
      <c r="OT13" s="351"/>
      <c r="OU13" s="352"/>
      <c r="OV13" s="350"/>
      <c r="OW13" s="351"/>
      <c r="OX13" s="351"/>
      <c r="OY13" s="351"/>
      <c r="OZ13" s="352"/>
      <c r="PA13" s="350"/>
      <c r="PB13" s="351"/>
      <c r="PC13" s="351"/>
      <c r="PD13" s="351"/>
      <c r="PE13" s="352"/>
      <c r="PF13" s="350"/>
      <c r="PG13" s="351"/>
      <c r="PH13" s="351"/>
      <c r="PI13" s="351"/>
      <c r="PJ13" s="352"/>
      <c r="PK13" s="350"/>
      <c r="PL13" s="351"/>
      <c r="PM13" s="351"/>
      <c r="PN13" s="351"/>
      <c r="PO13" s="352"/>
      <c r="PP13" s="350"/>
      <c r="PQ13" s="351"/>
      <c r="PR13" s="351"/>
      <c r="PS13" s="351"/>
      <c r="PT13" s="352"/>
      <c r="PU13" s="350"/>
      <c r="PV13" s="351"/>
      <c r="PW13" s="351"/>
      <c r="PX13" s="351"/>
      <c r="PY13" s="352"/>
      <c r="PZ13" s="350"/>
      <c r="QA13" s="351"/>
      <c r="QB13" s="351"/>
      <c r="QC13" s="351"/>
      <c r="QD13" s="352"/>
      <c r="QE13" s="350"/>
      <c r="QF13" s="351"/>
      <c r="QG13" s="351"/>
      <c r="QH13" s="351"/>
      <c r="QI13" s="352"/>
      <c r="QJ13" s="350"/>
      <c r="QK13" s="351"/>
      <c r="QL13" s="351"/>
      <c r="QM13" s="351"/>
      <c r="QN13" s="352"/>
      <c r="QO13" s="350"/>
      <c r="QP13" s="351"/>
      <c r="QQ13" s="351"/>
      <c r="QR13" s="351"/>
      <c r="QS13" s="352"/>
      <c r="QT13" s="350"/>
      <c r="QU13" s="351"/>
      <c r="QV13" s="351"/>
      <c r="QW13" s="351"/>
      <c r="QX13" s="352"/>
      <c r="QY13" s="350"/>
      <c r="QZ13" s="351"/>
      <c r="RA13" s="351"/>
      <c r="RB13" s="351"/>
      <c r="RC13" s="352"/>
      <c r="RD13" s="350"/>
      <c r="RE13" s="351"/>
      <c r="RF13" s="351"/>
      <c r="RG13" s="351"/>
      <c r="RH13" s="352"/>
      <c r="RI13" s="350"/>
      <c r="RJ13" s="351"/>
      <c r="RK13" s="351"/>
      <c r="RL13" s="351"/>
      <c r="RM13" s="352"/>
      <c r="RN13" s="350"/>
      <c r="RO13" s="351"/>
      <c r="RP13" s="351"/>
      <c r="RQ13" s="351"/>
      <c r="RR13" s="352"/>
      <c r="RS13" s="350"/>
      <c r="RT13" s="351"/>
      <c r="RU13" s="351"/>
      <c r="RV13" s="351"/>
      <c r="RW13" s="352"/>
      <c r="RX13" s="350"/>
      <c r="RY13" s="351"/>
      <c r="RZ13" s="351"/>
      <c r="SA13" s="351"/>
      <c r="SB13" s="352"/>
      <c r="SC13" s="350"/>
      <c r="SD13" s="351"/>
      <c r="SE13" s="351"/>
      <c r="SF13" s="351"/>
      <c r="SG13" s="352"/>
      <c r="SH13" s="350"/>
      <c r="SI13" s="351"/>
      <c r="SJ13" s="351"/>
      <c r="SK13" s="351"/>
      <c r="SL13" s="352"/>
      <c r="SM13" s="350"/>
      <c r="SN13" s="351"/>
      <c r="SO13" s="351"/>
      <c r="SP13" s="351"/>
      <c r="SQ13" s="352"/>
      <c r="SR13" s="350"/>
      <c r="SS13" s="351"/>
      <c r="ST13" s="351"/>
      <c r="SU13" s="351"/>
      <c r="SV13" s="352"/>
      <c r="SW13" s="350"/>
      <c r="SX13" s="351"/>
      <c r="SY13" s="351"/>
      <c r="SZ13" s="351"/>
      <c r="TA13" s="352"/>
      <c r="TB13" s="354" t="n">
        <f aca="false">+AVERAGE(B13:IB13)</f>
        <v>4.71428571428571</v>
      </c>
    </row>
    <row r="14" customFormat="false" ht="15.5" hidden="false" customHeight="false" outlineLevel="0" collapsed="false">
      <c r="A14" s="349" t="s">
        <v>516</v>
      </c>
      <c r="B14" s="350"/>
      <c r="C14" s="351"/>
      <c r="D14" s="351"/>
      <c r="E14" s="351"/>
      <c r="F14" s="352"/>
      <c r="G14" s="350"/>
      <c r="H14" s="351"/>
      <c r="I14" s="351"/>
      <c r="J14" s="351"/>
      <c r="K14" s="352"/>
      <c r="L14" s="350"/>
      <c r="M14" s="351"/>
      <c r="N14" s="351"/>
      <c r="O14" s="351"/>
      <c r="P14" s="352"/>
      <c r="Q14" s="350"/>
      <c r="R14" s="351"/>
      <c r="S14" s="351"/>
      <c r="T14" s="351"/>
      <c r="U14" s="352"/>
      <c r="V14" s="350"/>
      <c r="W14" s="351"/>
      <c r="X14" s="351"/>
      <c r="Y14" s="351"/>
      <c r="Z14" s="352"/>
      <c r="AA14" s="350"/>
      <c r="AB14" s="351"/>
      <c r="AC14" s="351"/>
      <c r="AD14" s="351"/>
      <c r="AE14" s="352"/>
      <c r="AF14" s="350"/>
      <c r="AG14" s="351"/>
      <c r="AH14" s="351"/>
      <c r="AI14" s="351"/>
      <c r="AJ14" s="352"/>
      <c r="AK14" s="350"/>
      <c r="AL14" s="351"/>
      <c r="AM14" s="351"/>
      <c r="AN14" s="351"/>
      <c r="AO14" s="352"/>
      <c r="AP14" s="350"/>
      <c r="AQ14" s="351"/>
      <c r="AR14" s="351"/>
      <c r="AS14" s="351"/>
      <c r="AT14" s="352"/>
      <c r="AU14" s="350"/>
      <c r="AV14" s="351"/>
      <c r="AW14" s="351"/>
      <c r="AX14" s="351"/>
      <c r="AY14" s="352"/>
      <c r="AZ14" s="350"/>
      <c r="BA14" s="351"/>
      <c r="BB14" s="351"/>
      <c r="BC14" s="351"/>
      <c r="BD14" s="352"/>
      <c r="BE14" s="350"/>
      <c r="BF14" s="351"/>
      <c r="BG14" s="351"/>
      <c r="BH14" s="351"/>
      <c r="BI14" s="352"/>
      <c r="BJ14" s="350"/>
      <c r="BK14" s="351"/>
      <c r="BL14" s="351"/>
      <c r="BM14" s="351"/>
      <c r="BN14" s="351"/>
      <c r="BO14" s="350"/>
      <c r="BP14" s="351"/>
      <c r="BQ14" s="351"/>
      <c r="BR14" s="351"/>
      <c r="BS14" s="352"/>
      <c r="BT14" s="350"/>
      <c r="BU14" s="351"/>
      <c r="BV14" s="351"/>
      <c r="BW14" s="351"/>
      <c r="BX14" s="352"/>
      <c r="BY14" s="350"/>
      <c r="BZ14" s="351"/>
      <c r="CA14" s="351"/>
      <c r="CB14" s="351"/>
      <c r="CC14" s="352"/>
      <c r="CD14" s="350"/>
      <c r="CE14" s="351"/>
      <c r="CF14" s="351"/>
      <c r="CG14" s="351"/>
      <c r="CH14" s="352"/>
      <c r="CI14" s="350"/>
      <c r="CJ14" s="351"/>
      <c r="CK14" s="351"/>
      <c r="CL14" s="351"/>
      <c r="CM14" s="352"/>
      <c r="CN14" s="350"/>
      <c r="CO14" s="351"/>
      <c r="CP14" s="351"/>
      <c r="CQ14" s="351"/>
      <c r="CR14" s="352"/>
      <c r="CS14" s="350"/>
      <c r="CT14" s="351"/>
      <c r="CU14" s="351"/>
      <c r="CV14" s="351"/>
      <c r="CW14" s="352"/>
      <c r="CX14" s="350"/>
      <c r="CY14" s="351"/>
      <c r="CZ14" s="351"/>
      <c r="DA14" s="351"/>
      <c r="DB14" s="352"/>
      <c r="DC14" s="350"/>
      <c r="DD14" s="351"/>
      <c r="DE14" s="351"/>
      <c r="DF14" s="351"/>
      <c r="DG14" s="352"/>
      <c r="DH14" s="350"/>
      <c r="DI14" s="351"/>
      <c r="DJ14" s="351"/>
      <c r="DK14" s="351"/>
      <c r="DL14" s="352"/>
      <c r="DM14" s="350"/>
      <c r="DN14" s="351"/>
      <c r="DO14" s="351"/>
      <c r="DP14" s="351"/>
      <c r="DQ14" s="352"/>
      <c r="DR14" s="350"/>
      <c r="DS14" s="351"/>
      <c r="DT14" s="351"/>
      <c r="DU14" s="351"/>
      <c r="DV14" s="352"/>
      <c r="DW14" s="350"/>
      <c r="DX14" s="351"/>
      <c r="DY14" s="351"/>
      <c r="DZ14" s="351"/>
      <c r="EA14" s="352"/>
      <c r="EB14" s="350"/>
      <c r="EC14" s="351"/>
      <c r="ED14" s="351"/>
      <c r="EE14" s="351"/>
      <c r="EF14" s="352"/>
      <c r="EG14" s="350"/>
      <c r="EH14" s="351"/>
      <c r="EI14" s="351"/>
      <c r="EJ14" s="351"/>
      <c r="EK14" s="352"/>
      <c r="EL14" s="350"/>
      <c r="EM14" s="351"/>
      <c r="EN14" s="351"/>
      <c r="EO14" s="351"/>
      <c r="EP14" s="352"/>
      <c r="EQ14" s="350"/>
      <c r="ER14" s="351"/>
      <c r="ES14" s="351"/>
      <c r="ET14" s="351"/>
      <c r="EU14" s="352"/>
      <c r="EV14" s="350"/>
      <c r="EW14" s="351"/>
      <c r="EX14" s="351"/>
      <c r="EY14" s="351"/>
      <c r="EZ14" s="352"/>
      <c r="FA14" s="350"/>
      <c r="FB14" s="351"/>
      <c r="FC14" s="351"/>
      <c r="FD14" s="351"/>
      <c r="FE14" s="352"/>
      <c r="FF14" s="350"/>
      <c r="FG14" s="351"/>
      <c r="FH14" s="351"/>
      <c r="FI14" s="351"/>
      <c r="FJ14" s="352"/>
      <c r="FK14" s="350"/>
      <c r="FL14" s="351"/>
      <c r="FM14" s="351"/>
      <c r="FN14" s="351"/>
      <c r="FO14" s="352"/>
      <c r="FP14" s="350" t="n">
        <v>5</v>
      </c>
      <c r="FQ14" s="350" t="n">
        <v>5</v>
      </c>
      <c r="FR14" s="350" t="n">
        <v>5</v>
      </c>
      <c r="FS14" s="351" t="n">
        <v>3</v>
      </c>
      <c r="FT14" s="352" t="n">
        <v>5</v>
      </c>
      <c r="FU14" s="350" t="n">
        <v>5</v>
      </c>
      <c r="FV14" s="351" t="n">
        <v>5</v>
      </c>
      <c r="FW14" s="351" t="n">
        <v>5</v>
      </c>
      <c r="FX14" s="351" t="n">
        <v>5</v>
      </c>
      <c r="FY14" s="352" t="n">
        <v>5</v>
      </c>
      <c r="FZ14" s="350"/>
      <c r="GA14" s="351"/>
      <c r="GB14" s="351"/>
      <c r="GC14" s="351"/>
      <c r="GD14" s="352"/>
      <c r="GE14" s="350" t="n">
        <v>3</v>
      </c>
      <c r="GF14" s="351" t="n">
        <v>5</v>
      </c>
      <c r="GG14" s="351"/>
      <c r="GH14" s="351" t="n">
        <v>5</v>
      </c>
      <c r="GI14" s="352" t="n">
        <v>5</v>
      </c>
      <c r="GJ14" s="350" t="n">
        <v>5</v>
      </c>
      <c r="GK14" s="351" t="n">
        <v>5</v>
      </c>
      <c r="GL14" s="351" t="n">
        <v>3</v>
      </c>
      <c r="GM14" s="351" t="n">
        <v>5</v>
      </c>
      <c r="GN14" s="352" t="n">
        <v>3</v>
      </c>
      <c r="GO14" s="350"/>
      <c r="GP14" s="351"/>
      <c r="GQ14" s="351"/>
      <c r="GR14" s="351"/>
      <c r="GS14" s="352"/>
      <c r="GT14" s="350"/>
      <c r="GU14" s="351"/>
      <c r="GV14" s="351"/>
      <c r="GW14" s="351"/>
      <c r="GX14" s="352"/>
      <c r="GY14" s="350"/>
      <c r="GZ14" s="351"/>
      <c r="HA14" s="351"/>
      <c r="HB14" s="351"/>
      <c r="HC14" s="352"/>
      <c r="HD14" s="350" t="n">
        <v>3</v>
      </c>
      <c r="HE14" s="351" t="n">
        <v>5</v>
      </c>
      <c r="HF14" s="351" t="n">
        <v>3</v>
      </c>
      <c r="HG14" s="351" t="n">
        <v>5</v>
      </c>
      <c r="HH14" s="352" t="n">
        <v>5</v>
      </c>
      <c r="HI14" s="350"/>
      <c r="HJ14" s="351"/>
      <c r="HK14" s="351"/>
      <c r="HL14" s="351"/>
      <c r="HM14" s="352"/>
      <c r="HN14" s="350"/>
      <c r="HO14" s="351"/>
      <c r="HP14" s="351"/>
      <c r="HQ14" s="351"/>
      <c r="HR14" s="352"/>
      <c r="HS14" s="350"/>
      <c r="HT14" s="351"/>
      <c r="HU14" s="351"/>
      <c r="HV14" s="351"/>
      <c r="HW14" s="352"/>
      <c r="HX14" s="350"/>
      <c r="HY14" s="351"/>
      <c r="HZ14" s="351"/>
      <c r="IA14" s="351"/>
      <c r="IB14" s="352"/>
      <c r="IC14" s="350"/>
      <c r="ID14" s="351"/>
      <c r="IE14" s="351"/>
      <c r="IF14" s="351"/>
      <c r="IG14" s="352"/>
      <c r="IH14" s="350"/>
      <c r="II14" s="351"/>
      <c r="IJ14" s="351"/>
      <c r="IK14" s="351"/>
      <c r="IL14" s="352"/>
      <c r="IM14" s="350"/>
      <c r="IN14" s="351"/>
      <c r="IO14" s="351"/>
      <c r="IP14" s="351"/>
      <c r="IQ14" s="352"/>
      <c r="IR14" s="350"/>
      <c r="IS14" s="351"/>
      <c r="IT14" s="351"/>
      <c r="IU14" s="351"/>
      <c r="IV14" s="352"/>
      <c r="IW14" s="350"/>
      <c r="IX14" s="351"/>
      <c r="IY14" s="351"/>
      <c r="IZ14" s="351"/>
      <c r="JA14" s="352"/>
      <c r="JB14" s="350"/>
      <c r="JC14" s="351"/>
      <c r="JD14" s="351"/>
      <c r="JE14" s="351"/>
      <c r="JF14" s="352"/>
      <c r="JG14" s="350"/>
      <c r="JH14" s="351"/>
      <c r="JI14" s="351"/>
      <c r="JJ14" s="351"/>
      <c r="JK14" s="352"/>
      <c r="JL14" s="350"/>
      <c r="JM14" s="351"/>
      <c r="JN14" s="351"/>
      <c r="JO14" s="351"/>
      <c r="JP14" s="352"/>
      <c r="JQ14" s="350"/>
      <c r="JR14" s="351"/>
      <c r="JS14" s="351"/>
      <c r="JT14" s="351"/>
      <c r="JU14" s="352"/>
      <c r="JV14" s="350"/>
      <c r="JW14" s="351"/>
      <c r="JX14" s="351"/>
      <c r="JY14" s="351"/>
      <c r="JZ14" s="352"/>
      <c r="KA14" s="350"/>
      <c r="KB14" s="351"/>
      <c r="KC14" s="351"/>
      <c r="KD14" s="351"/>
      <c r="KE14" s="352"/>
      <c r="KF14" s="350"/>
      <c r="KG14" s="351"/>
      <c r="KH14" s="351"/>
      <c r="KI14" s="351"/>
      <c r="KJ14" s="352"/>
      <c r="KK14" s="350"/>
      <c r="KL14" s="351"/>
      <c r="KM14" s="351"/>
      <c r="KN14" s="351"/>
      <c r="KO14" s="352"/>
      <c r="KP14" s="350"/>
      <c r="KQ14" s="351"/>
      <c r="KR14" s="351"/>
      <c r="KS14" s="351"/>
      <c r="KT14" s="352"/>
      <c r="KU14" s="350"/>
      <c r="KV14" s="351"/>
      <c r="KW14" s="351"/>
      <c r="KX14" s="351"/>
      <c r="KY14" s="352"/>
      <c r="KZ14" s="350"/>
      <c r="LA14" s="351"/>
      <c r="LB14" s="351"/>
      <c r="LC14" s="351"/>
      <c r="LD14" s="352"/>
      <c r="LE14" s="350"/>
      <c r="LF14" s="351"/>
      <c r="LG14" s="351"/>
      <c r="LH14" s="351"/>
      <c r="LI14" s="352"/>
      <c r="LJ14" s="350"/>
      <c r="LK14" s="351"/>
      <c r="LL14" s="351"/>
      <c r="LM14" s="351"/>
      <c r="LN14" s="352"/>
      <c r="LO14" s="350"/>
      <c r="LP14" s="351"/>
      <c r="LQ14" s="351"/>
      <c r="LR14" s="351"/>
      <c r="LS14" s="352"/>
      <c r="LT14" s="350"/>
      <c r="LU14" s="351"/>
      <c r="LV14" s="351"/>
      <c r="LW14" s="351"/>
      <c r="LX14" s="352"/>
      <c r="LY14" s="350"/>
      <c r="LZ14" s="351"/>
      <c r="MA14" s="351"/>
      <c r="MB14" s="351"/>
      <c r="MC14" s="352"/>
      <c r="MD14" s="350"/>
      <c r="ME14" s="351"/>
      <c r="MF14" s="351"/>
      <c r="MG14" s="351"/>
      <c r="MH14" s="352"/>
      <c r="MI14" s="350"/>
      <c r="MJ14" s="351"/>
      <c r="MK14" s="351"/>
      <c r="ML14" s="351"/>
      <c r="MM14" s="352"/>
      <c r="MN14" s="350"/>
      <c r="MO14" s="351"/>
      <c r="MP14" s="351"/>
      <c r="MQ14" s="351"/>
      <c r="MR14" s="352"/>
      <c r="MS14" s="350"/>
      <c r="MT14" s="351"/>
      <c r="MU14" s="351"/>
      <c r="MV14" s="351"/>
      <c r="MW14" s="352"/>
      <c r="MX14" s="350"/>
      <c r="MY14" s="351"/>
      <c r="MZ14" s="351"/>
      <c r="NA14" s="351"/>
      <c r="NB14" s="352"/>
      <c r="NC14" s="350"/>
      <c r="ND14" s="351"/>
      <c r="NE14" s="351"/>
      <c r="NF14" s="351"/>
      <c r="NG14" s="352"/>
      <c r="NH14" s="350"/>
      <c r="NI14" s="351"/>
      <c r="NJ14" s="351"/>
      <c r="NK14" s="351"/>
      <c r="NL14" s="352"/>
      <c r="NM14" s="350"/>
      <c r="NN14" s="351"/>
      <c r="NO14" s="351"/>
      <c r="NP14" s="351"/>
      <c r="NQ14" s="352"/>
      <c r="NR14" s="350"/>
      <c r="NS14" s="351"/>
      <c r="NT14" s="351"/>
      <c r="NU14" s="351"/>
      <c r="NV14" s="352"/>
      <c r="NW14" s="350"/>
      <c r="NX14" s="351"/>
      <c r="NY14" s="351"/>
      <c r="NZ14" s="351"/>
      <c r="OA14" s="352"/>
      <c r="OB14" s="350"/>
      <c r="OC14" s="351"/>
      <c r="OD14" s="351"/>
      <c r="OE14" s="351"/>
      <c r="OF14" s="352"/>
      <c r="OG14" s="350"/>
      <c r="OH14" s="351"/>
      <c r="OI14" s="351"/>
      <c r="OJ14" s="351"/>
      <c r="OK14" s="352"/>
      <c r="OL14" s="350"/>
      <c r="OM14" s="351"/>
      <c r="ON14" s="351"/>
      <c r="OO14" s="351"/>
      <c r="OP14" s="352"/>
      <c r="OQ14" s="350"/>
      <c r="OR14" s="351"/>
      <c r="OS14" s="351"/>
      <c r="OT14" s="351"/>
      <c r="OU14" s="352"/>
      <c r="OV14" s="350"/>
      <c r="OW14" s="351"/>
      <c r="OX14" s="351"/>
      <c r="OY14" s="351"/>
      <c r="OZ14" s="352"/>
      <c r="PA14" s="350"/>
      <c r="PB14" s="351"/>
      <c r="PC14" s="351"/>
      <c r="PD14" s="351"/>
      <c r="PE14" s="352"/>
      <c r="PF14" s="350"/>
      <c r="PG14" s="351"/>
      <c r="PH14" s="351"/>
      <c r="PI14" s="351"/>
      <c r="PJ14" s="352"/>
      <c r="PK14" s="350"/>
      <c r="PL14" s="351"/>
      <c r="PM14" s="351"/>
      <c r="PN14" s="351"/>
      <c r="PO14" s="352"/>
      <c r="PP14" s="350"/>
      <c r="PQ14" s="351"/>
      <c r="PR14" s="351"/>
      <c r="PS14" s="351"/>
      <c r="PT14" s="352"/>
      <c r="PU14" s="350"/>
      <c r="PV14" s="351"/>
      <c r="PW14" s="351"/>
      <c r="PX14" s="351"/>
      <c r="PY14" s="352"/>
      <c r="PZ14" s="350"/>
      <c r="QA14" s="351"/>
      <c r="QB14" s="351"/>
      <c r="QC14" s="351"/>
      <c r="QD14" s="352"/>
      <c r="QE14" s="350"/>
      <c r="QF14" s="351"/>
      <c r="QG14" s="351"/>
      <c r="QH14" s="351"/>
      <c r="QI14" s="352"/>
      <c r="QJ14" s="350"/>
      <c r="QK14" s="351"/>
      <c r="QL14" s="351"/>
      <c r="QM14" s="351"/>
      <c r="QN14" s="352"/>
      <c r="QO14" s="350"/>
      <c r="QP14" s="351"/>
      <c r="QQ14" s="351"/>
      <c r="QR14" s="351"/>
      <c r="QS14" s="352"/>
      <c r="QT14" s="350"/>
      <c r="QU14" s="351"/>
      <c r="QV14" s="351"/>
      <c r="QW14" s="351"/>
      <c r="QX14" s="352"/>
      <c r="QY14" s="350"/>
      <c r="QZ14" s="351"/>
      <c r="RA14" s="351"/>
      <c r="RB14" s="351"/>
      <c r="RC14" s="352"/>
      <c r="RD14" s="350"/>
      <c r="RE14" s="351"/>
      <c r="RF14" s="351"/>
      <c r="RG14" s="351"/>
      <c r="RH14" s="352"/>
      <c r="RI14" s="350"/>
      <c r="RJ14" s="351"/>
      <c r="RK14" s="351"/>
      <c r="RL14" s="351"/>
      <c r="RM14" s="352"/>
      <c r="RN14" s="350"/>
      <c r="RO14" s="351"/>
      <c r="RP14" s="351"/>
      <c r="RQ14" s="351"/>
      <c r="RR14" s="352"/>
      <c r="RS14" s="350"/>
      <c r="RT14" s="351"/>
      <c r="RU14" s="351"/>
      <c r="RV14" s="351"/>
      <c r="RW14" s="352"/>
      <c r="RX14" s="350"/>
      <c r="RY14" s="351"/>
      <c r="RZ14" s="351"/>
      <c r="SA14" s="351"/>
      <c r="SB14" s="352"/>
      <c r="SC14" s="350"/>
      <c r="SD14" s="351"/>
      <c r="SE14" s="351"/>
      <c r="SF14" s="351"/>
      <c r="SG14" s="352"/>
      <c r="SH14" s="350"/>
      <c r="SI14" s="351"/>
      <c r="SJ14" s="351"/>
      <c r="SK14" s="351"/>
      <c r="SL14" s="352"/>
      <c r="SM14" s="350"/>
      <c r="SN14" s="351"/>
      <c r="SO14" s="351"/>
      <c r="SP14" s="351"/>
      <c r="SQ14" s="352"/>
      <c r="SR14" s="350"/>
      <c r="SS14" s="351"/>
      <c r="ST14" s="351"/>
      <c r="SU14" s="351"/>
      <c r="SV14" s="352"/>
      <c r="SW14" s="350"/>
      <c r="SX14" s="351"/>
      <c r="SY14" s="351"/>
      <c r="SZ14" s="351"/>
      <c r="TA14" s="352"/>
      <c r="TB14" s="354" t="n">
        <f aca="false">+AVERAGE(B14:IB14)</f>
        <v>4.5</v>
      </c>
    </row>
    <row r="15" customFormat="false" ht="15.5" hidden="false" customHeight="false" outlineLevel="0" collapsed="false">
      <c r="A15" s="349" t="s">
        <v>517</v>
      </c>
      <c r="B15" s="350"/>
      <c r="C15" s="351"/>
      <c r="D15" s="351"/>
      <c r="E15" s="351"/>
      <c r="F15" s="352"/>
      <c r="G15" s="350"/>
      <c r="H15" s="351"/>
      <c r="I15" s="351"/>
      <c r="J15" s="351"/>
      <c r="K15" s="352"/>
      <c r="L15" s="350"/>
      <c r="M15" s="351"/>
      <c r="N15" s="351"/>
      <c r="O15" s="351"/>
      <c r="P15" s="352"/>
      <c r="Q15" s="350"/>
      <c r="R15" s="351"/>
      <c r="S15" s="351"/>
      <c r="T15" s="351"/>
      <c r="U15" s="352"/>
      <c r="V15" s="350"/>
      <c r="W15" s="351"/>
      <c r="X15" s="351"/>
      <c r="Y15" s="351"/>
      <c r="Z15" s="352"/>
      <c r="AA15" s="350"/>
      <c r="AB15" s="351"/>
      <c r="AC15" s="351"/>
      <c r="AD15" s="351"/>
      <c r="AE15" s="352"/>
      <c r="AF15" s="350"/>
      <c r="AG15" s="351"/>
      <c r="AH15" s="351"/>
      <c r="AI15" s="351"/>
      <c r="AJ15" s="352"/>
      <c r="AK15" s="350"/>
      <c r="AL15" s="351"/>
      <c r="AM15" s="351"/>
      <c r="AN15" s="351"/>
      <c r="AO15" s="352"/>
      <c r="AP15" s="350"/>
      <c r="AQ15" s="351"/>
      <c r="AR15" s="351"/>
      <c r="AS15" s="351"/>
      <c r="AT15" s="352"/>
      <c r="AU15" s="350"/>
      <c r="AV15" s="351"/>
      <c r="AW15" s="351"/>
      <c r="AX15" s="351"/>
      <c r="AY15" s="352"/>
      <c r="AZ15" s="350"/>
      <c r="BA15" s="351"/>
      <c r="BB15" s="351"/>
      <c r="BC15" s="351"/>
      <c r="BD15" s="352"/>
      <c r="BE15" s="350"/>
      <c r="BF15" s="351"/>
      <c r="BG15" s="351"/>
      <c r="BH15" s="351"/>
      <c r="BI15" s="352"/>
      <c r="BJ15" s="350"/>
      <c r="BK15" s="351"/>
      <c r="BL15" s="351"/>
      <c r="BM15" s="351"/>
      <c r="BN15" s="351"/>
      <c r="BO15" s="350"/>
      <c r="BP15" s="351"/>
      <c r="BQ15" s="351"/>
      <c r="BR15" s="351"/>
      <c r="BS15" s="352"/>
      <c r="BT15" s="350"/>
      <c r="BU15" s="351"/>
      <c r="BV15" s="351"/>
      <c r="BW15" s="351"/>
      <c r="BX15" s="352"/>
      <c r="BY15" s="350"/>
      <c r="BZ15" s="351" t="n">
        <v>5</v>
      </c>
      <c r="CA15" s="351" t="n">
        <v>5</v>
      </c>
      <c r="CB15" s="351" t="n">
        <v>3</v>
      </c>
      <c r="CC15" s="352" t="n">
        <v>5</v>
      </c>
      <c r="CD15" s="350" t="n">
        <v>5</v>
      </c>
      <c r="CE15" s="351" t="n">
        <v>5</v>
      </c>
      <c r="CF15" s="351" t="n">
        <v>5</v>
      </c>
      <c r="CG15" s="351" t="n">
        <v>5</v>
      </c>
      <c r="CH15" s="352" t="n">
        <v>5</v>
      </c>
      <c r="CI15" s="350"/>
      <c r="CJ15" s="351"/>
      <c r="CK15" s="351"/>
      <c r="CL15" s="351"/>
      <c r="CM15" s="352"/>
      <c r="CN15" s="350" t="n">
        <v>3</v>
      </c>
      <c r="CO15" s="351"/>
      <c r="CP15" s="351" t="n">
        <v>5</v>
      </c>
      <c r="CQ15" s="351" t="n">
        <v>1</v>
      </c>
      <c r="CR15" s="352" t="n">
        <v>3</v>
      </c>
      <c r="CS15" s="350"/>
      <c r="CT15" s="351"/>
      <c r="CU15" s="351"/>
      <c r="CV15" s="351"/>
      <c r="CW15" s="352"/>
      <c r="CX15" s="350"/>
      <c r="CY15" s="351"/>
      <c r="CZ15" s="351"/>
      <c r="DA15" s="351"/>
      <c r="DB15" s="352"/>
      <c r="DC15" s="350"/>
      <c r="DD15" s="351"/>
      <c r="DE15" s="351"/>
      <c r="DF15" s="351"/>
      <c r="DG15" s="352"/>
      <c r="DH15" s="350" t="n">
        <v>1</v>
      </c>
      <c r="DI15" s="351" t="n">
        <v>5</v>
      </c>
      <c r="DJ15" s="351" t="n">
        <v>5</v>
      </c>
      <c r="DK15" s="351" t="n">
        <v>5</v>
      </c>
      <c r="DL15" s="352" t="n">
        <v>5</v>
      </c>
      <c r="DM15" s="350" t="n">
        <v>3</v>
      </c>
      <c r="DN15" s="351" t="n">
        <v>5</v>
      </c>
      <c r="DO15" s="351" t="n">
        <v>5</v>
      </c>
      <c r="DP15" s="351" t="n">
        <v>5</v>
      </c>
      <c r="DQ15" s="352" t="n">
        <v>5</v>
      </c>
      <c r="DR15" s="350" t="n">
        <v>3</v>
      </c>
      <c r="DS15" s="351"/>
      <c r="DT15" s="351" t="n">
        <v>5</v>
      </c>
      <c r="DU15" s="351" t="n">
        <v>5</v>
      </c>
      <c r="DV15" s="352" t="n">
        <v>5</v>
      </c>
      <c r="DW15" s="350"/>
      <c r="DX15" s="351"/>
      <c r="DY15" s="351"/>
      <c r="DZ15" s="351"/>
      <c r="EA15" s="352"/>
      <c r="EB15" s="350" t="n">
        <v>5</v>
      </c>
      <c r="EC15" s="351" t="n">
        <v>5</v>
      </c>
      <c r="ED15" s="351" t="n">
        <v>5</v>
      </c>
      <c r="EE15" s="351" t="n">
        <v>5</v>
      </c>
      <c r="EF15" s="352" t="n">
        <v>5</v>
      </c>
      <c r="EG15" s="350"/>
      <c r="EH15" s="351"/>
      <c r="EI15" s="351"/>
      <c r="EJ15" s="351"/>
      <c r="EK15" s="352"/>
      <c r="EL15" s="350"/>
      <c r="EM15" s="351"/>
      <c r="EN15" s="351"/>
      <c r="EO15" s="351"/>
      <c r="EP15" s="352"/>
      <c r="EQ15" s="350"/>
      <c r="ER15" s="351"/>
      <c r="ES15" s="351"/>
      <c r="ET15" s="351"/>
      <c r="EU15" s="352"/>
      <c r="EV15" s="350"/>
      <c r="EW15" s="351"/>
      <c r="EX15" s="351"/>
      <c r="EY15" s="351"/>
      <c r="EZ15" s="352"/>
      <c r="FA15" s="350"/>
      <c r="FB15" s="351"/>
      <c r="FC15" s="351"/>
      <c r="FD15" s="351"/>
      <c r="FE15" s="352"/>
      <c r="FF15" s="350"/>
      <c r="FG15" s="351"/>
      <c r="FH15" s="351"/>
      <c r="FI15" s="351"/>
      <c r="FJ15" s="352"/>
      <c r="FK15" s="350"/>
      <c r="FL15" s="351"/>
      <c r="FM15" s="351"/>
      <c r="FN15" s="351"/>
      <c r="FO15" s="352"/>
      <c r="FP15" s="350" t="n">
        <v>5</v>
      </c>
      <c r="FQ15" s="350" t="n">
        <v>5</v>
      </c>
      <c r="FR15" s="350" t="n">
        <v>5</v>
      </c>
      <c r="FS15" s="351" t="n">
        <v>3</v>
      </c>
      <c r="FT15" s="352" t="n">
        <v>5</v>
      </c>
      <c r="FU15" s="350" t="n">
        <v>3</v>
      </c>
      <c r="FV15" s="351" t="n">
        <v>5</v>
      </c>
      <c r="FW15" s="351" t="n">
        <v>3</v>
      </c>
      <c r="FX15" s="351" t="n">
        <v>5</v>
      </c>
      <c r="FY15" s="352" t="n">
        <v>5</v>
      </c>
      <c r="FZ15" s="350"/>
      <c r="GA15" s="351"/>
      <c r="GB15" s="351"/>
      <c r="GC15" s="351"/>
      <c r="GD15" s="352"/>
      <c r="GE15" s="350"/>
      <c r="GF15" s="351"/>
      <c r="GG15" s="351"/>
      <c r="GH15" s="351"/>
      <c r="GI15" s="352"/>
      <c r="GJ15" s="350"/>
      <c r="GK15" s="351"/>
      <c r="GL15" s="351" t="n">
        <v>3</v>
      </c>
      <c r="GM15" s="351"/>
      <c r="GN15" s="352"/>
      <c r="GO15" s="350"/>
      <c r="GP15" s="351"/>
      <c r="GQ15" s="351"/>
      <c r="GR15" s="351"/>
      <c r="GS15" s="352"/>
      <c r="GT15" s="350"/>
      <c r="GU15" s="351"/>
      <c r="GV15" s="351"/>
      <c r="GW15" s="351"/>
      <c r="GX15" s="352"/>
      <c r="GY15" s="350"/>
      <c r="GZ15" s="351"/>
      <c r="HA15" s="351"/>
      <c r="HB15" s="351"/>
      <c r="HC15" s="352"/>
      <c r="HD15" s="350"/>
      <c r="HE15" s="351"/>
      <c r="HF15" s="351"/>
      <c r="HG15" s="351"/>
      <c r="HH15" s="352"/>
      <c r="HI15" s="350"/>
      <c r="HJ15" s="351"/>
      <c r="HK15" s="351"/>
      <c r="HL15" s="351"/>
      <c r="HM15" s="352"/>
      <c r="HN15" s="350"/>
      <c r="HO15" s="351"/>
      <c r="HP15" s="351"/>
      <c r="HQ15" s="351"/>
      <c r="HR15" s="352"/>
      <c r="HS15" s="350"/>
      <c r="HT15" s="351"/>
      <c r="HU15" s="351"/>
      <c r="HV15" s="351"/>
      <c r="HW15" s="352"/>
      <c r="HX15" s="350"/>
      <c r="HY15" s="351"/>
      <c r="HZ15" s="351"/>
      <c r="IA15" s="351"/>
      <c r="IB15" s="352"/>
      <c r="IC15" s="350"/>
      <c r="ID15" s="351"/>
      <c r="IE15" s="351"/>
      <c r="IF15" s="351"/>
      <c r="IG15" s="352"/>
      <c r="IH15" s="350"/>
      <c r="II15" s="351"/>
      <c r="IJ15" s="351"/>
      <c r="IK15" s="351"/>
      <c r="IL15" s="352"/>
      <c r="IM15" s="350"/>
      <c r="IN15" s="351"/>
      <c r="IO15" s="351"/>
      <c r="IP15" s="351"/>
      <c r="IQ15" s="352"/>
      <c r="IR15" s="350"/>
      <c r="IS15" s="351"/>
      <c r="IT15" s="351"/>
      <c r="IU15" s="351"/>
      <c r="IV15" s="352"/>
      <c r="IW15" s="350"/>
      <c r="IX15" s="351"/>
      <c r="IY15" s="351"/>
      <c r="IZ15" s="351"/>
      <c r="JA15" s="352"/>
      <c r="JB15" s="350"/>
      <c r="JC15" s="351"/>
      <c r="JD15" s="351"/>
      <c r="JE15" s="351"/>
      <c r="JF15" s="352"/>
      <c r="JG15" s="350"/>
      <c r="JH15" s="351"/>
      <c r="JI15" s="351"/>
      <c r="JJ15" s="351"/>
      <c r="JK15" s="352"/>
      <c r="JL15" s="350"/>
      <c r="JM15" s="351"/>
      <c r="JN15" s="351"/>
      <c r="JO15" s="351"/>
      <c r="JP15" s="352"/>
      <c r="JQ15" s="350"/>
      <c r="JR15" s="351"/>
      <c r="JS15" s="351"/>
      <c r="JT15" s="351"/>
      <c r="JU15" s="352"/>
      <c r="JV15" s="350"/>
      <c r="JW15" s="351"/>
      <c r="JX15" s="351"/>
      <c r="JY15" s="351"/>
      <c r="JZ15" s="352"/>
      <c r="KA15" s="350"/>
      <c r="KB15" s="351"/>
      <c r="KC15" s="351"/>
      <c r="KD15" s="351"/>
      <c r="KE15" s="352"/>
      <c r="KF15" s="350"/>
      <c r="KG15" s="351"/>
      <c r="KH15" s="351"/>
      <c r="KI15" s="351"/>
      <c r="KJ15" s="352"/>
      <c r="KK15" s="350"/>
      <c r="KL15" s="351"/>
      <c r="KM15" s="351"/>
      <c r="KN15" s="351"/>
      <c r="KO15" s="352"/>
      <c r="KP15" s="350"/>
      <c r="KQ15" s="351"/>
      <c r="KR15" s="351"/>
      <c r="KS15" s="351"/>
      <c r="KT15" s="352"/>
      <c r="KU15" s="350"/>
      <c r="KV15" s="351"/>
      <c r="KW15" s="351"/>
      <c r="KX15" s="351"/>
      <c r="KY15" s="352"/>
      <c r="KZ15" s="350"/>
      <c r="LA15" s="351"/>
      <c r="LB15" s="351"/>
      <c r="LC15" s="351"/>
      <c r="LD15" s="352"/>
      <c r="LE15" s="350"/>
      <c r="LF15" s="351"/>
      <c r="LG15" s="351"/>
      <c r="LH15" s="351"/>
      <c r="LI15" s="352"/>
      <c r="LJ15" s="350"/>
      <c r="LK15" s="351"/>
      <c r="LL15" s="351"/>
      <c r="LM15" s="351"/>
      <c r="LN15" s="352"/>
      <c r="LO15" s="350"/>
      <c r="LP15" s="351"/>
      <c r="LQ15" s="351"/>
      <c r="LR15" s="351"/>
      <c r="LS15" s="352"/>
      <c r="LT15" s="350"/>
      <c r="LU15" s="351"/>
      <c r="LV15" s="351"/>
      <c r="LW15" s="351"/>
      <c r="LX15" s="352"/>
      <c r="LY15" s="350"/>
      <c r="LZ15" s="351"/>
      <c r="MA15" s="351"/>
      <c r="MB15" s="351"/>
      <c r="MC15" s="352"/>
      <c r="MD15" s="350"/>
      <c r="ME15" s="351"/>
      <c r="MF15" s="351"/>
      <c r="MG15" s="351"/>
      <c r="MH15" s="352"/>
      <c r="MI15" s="350"/>
      <c r="MJ15" s="351"/>
      <c r="MK15" s="351"/>
      <c r="ML15" s="351"/>
      <c r="MM15" s="352"/>
      <c r="MN15" s="350"/>
      <c r="MO15" s="351"/>
      <c r="MP15" s="351"/>
      <c r="MQ15" s="351"/>
      <c r="MR15" s="352"/>
      <c r="MS15" s="350"/>
      <c r="MT15" s="351"/>
      <c r="MU15" s="351"/>
      <c r="MV15" s="351"/>
      <c r="MW15" s="352"/>
      <c r="MX15" s="350"/>
      <c r="MY15" s="351"/>
      <c r="MZ15" s="351"/>
      <c r="NA15" s="351"/>
      <c r="NB15" s="352"/>
      <c r="NC15" s="350"/>
      <c r="ND15" s="351"/>
      <c r="NE15" s="351"/>
      <c r="NF15" s="351"/>
      <c r="NG15" s="352"/>
      <c r="NH15" s="350"/>
      <c r="NI15" s="351"/>
      <c r="NJ15" s="351"/>
      <c r="NK15" s="351"/>
      <c r="NL15" s="352"/>
      <c r="NM15" s="350"/>
      <c r="NN15" s="351"/>
      <c r="NO15" s="351"/>
      <c r="NP15" s="351"/>
      <c r="NQ15" s="352"/>
      <c r="NR15" s="350"/>
      <c r="NS15" s="351"/>
      <c r="NT15" s="351"/>
      <c r="NU15" s="351"/>
      <c r="NV15" s="352"/>
      <c r="NW15" s="350"/>
      <c r="NX15" s="351"/>
      <c r="NY15" s="351"/>
      <c r="NZ15" s="351"/>
      <c r="OA15" s="352"/>
      <c r="OB15" s="350"/>
      <c r="OC15" s="351"/>
      <c r="OD15" s="351"/>
      <c r="OE15" s="351"/>
      <c r="OF15" s="352"/>
      <c r="OG15" s="350"/>
      <c r="OH15" s="351"/>
      <c r="OI15" s="351"/>
      <c r="OJ15" s="351"/>
      <c r="OK15" s="352"/>
      <c r="OL15" s="350"/>
      <c r="OM15" s="351"/>
      <c r="ON15" s="351"/>
      <c r="OO15" s="351"/>
      <c r="OP15" s="352"/>
      <c r="OQ15" s="350"/>
      <c r="OR15" s="351"/>
      <c r="OS15" s="351"/>
      <c r="OT15" s="351"/>
      <c r="OU15" s="352"/>
      <c r="OV15" s="350"/>
      <c r="OW15" s="351"/>
      <c r="OX15" s="351"/>
      <c r="OY15" s="351"/>
      <c r="OZ15" s="352"/>
      <c r="PA15" s="350"/>
      <c r="PB15" s="351"/>
      <c r="PC15" s="351"/>
      <c r="PD15" s="351"/>
      <c r="PE15" s="352"/>
      <c r="PF15" s="350"/>
      <c r="PG15" s="351"/>
      <c r="PH15" s="351"/>
      <c r="PI15" s="351"/>
      <c r="PJ15" s="352"/>
      <c r="PK15" s="350"/>
      <c r="PL15" s="351"/>
      <c r="PM15" s="351"/>
      <c r="PN15" s="351"/>
      <c r="PO15" s="352"/>
      <c r="PP15" s="350"/>
      <c r="PQ15" s="351"/>
      <c r="PR15" s="351"/>
      <c r="PS15" s="351"/>
      <c r="PT15" s="352"/>
      <c r="PU15" s="350"/>
      <c r="PV15" s="351"/>
      <c r="PW15" s="351"/>
      <c r="PX15" s="351"/>
      <c r="PY15" s="352"/>
      <c r="PZ15" s="350"/>
      <c r="QA15" s="351"/>
      <c r="QB15" s="351"/>
      <c r="QC15" s="351"/>
      <c r="QD15" s="352"/>
      <c r="QE15" s="350"/>
      <c r="QF15" s="351"/>
      <c r="QG15" s="351"/>
      <c r="QH15" s="351"/>
      <c r="QI15" s="352"/>
      <c r="QJ15" s="350"/>
      <c r="QK15" s="351"/>
      <c r="QL15" s="351"/>
      <c r="QM15" s="351"/>
      <c r="QN15" s="352"/>
      <c r="QO15" s="350"/>
      <c r="QP15" s="351"/>
      <c r="QQ15" s="351"/>
      <c r="QR15" s="351"/>
      <c r="QS15" s="352"/>
      <c r="QT15" s="350"/>
      <c r="QU15" s="351"/>
      <c r="QV15" s="351"/>
      <c r="QW15" s="351"/>
      <c r="QX15" s="352"/>
      <c r="QY15" s="350"/>
      <c r="QZ15" s="351"/>
      <c r="RA15" s="351"/>
      <c r="RB15" s="351"/>
      <c r="RC15" s="352"/>
      <c r="RD15" s="350"/>
      <c r="RE15" s="351"/>
      <c r="RF15" s="351"/>
      <c r="RG15" s="351"/>
      <c r="RH15" s="352"/>
      <c r="RI15" s="350"/>
      <c r="RJ15" s="351"/>
      <c r="RK15" s="351"/>
      <c r="RL15" s="351"/>
      <c r="RM15" s="352"/>
      <c r="RN15" s="350"/>
      <c r="RO15" s="351"/>
      <c r="RP15" s="351"/>
      <c r="RQ15" s="351"/>
      <c r="RR15" s="352"/>
      <c r="RS15" s="350"/>
      <c r="RT15" s="351"/>
      <c r="RU15" s="351"/>
      <c r="RV15" s="351"/>
      <c r="RW15" s="352"/>
      <c r="RX15" s="350"/>
      <c r="RY15" s="351"/>
      <c r="RZ15" s="351"/>
      <c r="SA15" s="351"/>
      <c r="SB15" s="352"/>
      <c r="SC15" s="350"/>
      <c r="SD15" s="351"/>
      <c r="SE15" s="351"/>
      <c r="SF15" s="351"/>
      <c r="SG15" s="352"/>
      <c r="SH15" s="350"/>
      <c r="SI15" s="351"/>
      <c r="SJ15" s="351"/>
      <c r="SK15" s="351"/>
      <c r="SL15" s="352"/>
      <c r="SM15" s="350"/>
      <c r="SN15" s="351"/>
      <c r="SO15" s="351"/>
      <c r="SP15" s="351"/>
      <c r="SQ15" s="352"/>
      <c r="SR15" s="350"/>
      <c r="SS15" s="351"/>
      <c r="ST15" s="351"/>
      <c r="SU15" s="351"/>
      <c r="SV15" s="352"/>
      <c r="SW15" s="350"/>
      <c r="SX15" s="351"/>
      <c r="SY15" s="351"/>
      <c r="SZ15" s="351"/>
      <c r="TA15" s="352"/>
      <c r="TB15" s="354" t="n">
        <f aca="false">+AVERAGE(B15:IB15)</f>
        <v>4.3953488372093</v>
      </c>
    </row>
    <row r="16" customFormat="false" ht="15.5" hidden="false" customHeight="false" outlineLevel="0" collapsed="false">
      <c r="A16" s="349" t="s">
        <v>518</v>
      </c>
      <c r="B16" s="350"/>
      <c r="C16" s="351"/>
      <c r="D16" s="351"/>
      <c r="E16" s="351"/>
      <c r="F16" s="352"/>
      <c r="G16" s="350"/>
      <c r="H16" s="351"/>
      <c r="I16" s="351"/>
      <c r="J16" s="351"/>
      <c r="K16" s="352"/>
      <c r="L16" s="350"/>
      <c r="M16" s="351"/>
      <c r="N16" s="351"/>
      <c r="O16" s="351"/>
      <c r="P16" s="352"/>
      <c r="Q16" s="350"/>
      <c r="R16" s="351"/>
      <c r="S16" s="351"/>
      <c r="T16" s="351"/>
      <c r="U16" s="352"/>
      <c r="V16" s="350"/>
      <c r="W16" s="351"/>
      <c r="X16" s="351"/>
      <c r="Y16" s="351"/>
      <c r="Z16" s="352"/>
      <c r="AA16" s="350"/>
      <c r="AB16" s="351"/>
      <c r="AC16" s="351"/>
      <c r="AD16" s="351"/>
      <c r="AE16" s="352"/>
      <c r="AF16" s="350"/>
      <c r="AG16" s="351"/>
      <c r="AH16" s="351"/>
      <c r="AI16" s="351"/>
      <c r="AJ16" s="352"/>
      <c r="AK16" s="350"/>
      <c r="AL16" s="351"/>
      <c r="AM16" s="351"/>
      <c r="AN16" s="351"/>
      <c r="AO16" s="352"/>
      <c r="AP16" s="350"/>
      <c r="AQ16" s="351"/>
      <c r="AR16" s="351"/>
      <c r="AS16" s="351"/>
      <c r="AT16" s="352"/>
      <c r="AU16" s="350"/>
      <c r="AV16" s="351"/>
      <c r="AW16" s="351"/>
      <c r="AX16" s="351"/>
      <c r="AY16" s="352"/>
      <c r="AZ16" s="350"/>
      <c r="BA16" s="351"/>
      <c r="BB16" s="351"/>
      <c r="BC16" s="351"/>
      <c r="BD16" s="352"/>
      <c r="BE16" s="350"/>
      <c r="BF16" s="351"/>
      <c r="BG16" s="351"/>
      <c r="BH16" s="351"/>
      <c r="BI16" s="352"/>
      <c r="BJ16" s="350"/>
      <c r="BK16" s="351"/>
      <c r="BL16" s="351"/>
      <c r="BM16" s="351"/>
      <c r="BN16" s="351"/>
      <c r="BO16" s="350"/>
      <c r="BP16" s="351"/>
      <c r="BQ16" s="351"/>
      <c r="BR16" s="351"/>
      <c r="BS16" s="352"/>
      <c r="BT16" s="350"/>
      <c r="BU16" s="351"/>
      <c r="BV16" s="351"/>
      <c r="BW16" s="351"/>
      <c r="BX16" s="352"/>
      <c r="BY16" s="350"/>
      <c r="BZ16" s="351"/>
      <c r="CA16" s="351" t="n">
        <v>5</v>
      </c>
      <c r="CB16" s="351" t="n">
        <v>3</v>
      </c>
      <c r="CC16" s="352"/>
      <c r="CD16" s="350"/>
      <c r="CE16" s="351"/>
      <c r="CF16" s="351"/>
      <c r="CG16" s="351"/>
      <c r="CH16" s="352"/>
      <c r="CI16" s="350"/>
      <c r="CJ16" s="351"/>
      <c r="CK16" s="351"/>
      <c r="CL16" s="351"/>
      <c r="CM16" s="352"/>
      <c r="CN16" s="350"/>
      <c r="CO16" s="351"/>
      <c r="CP16" s="351"/>
      <c r="CQ16" s="351"/>
      <c r="CR16" s="352"/>
      <c r="CS16" s="350"/>
      <c r="CT16" s="351"/>
      <c r="CU16" s="351"/>
      <c r="CV16" s="351"/>
      <c r="CW16" s="352"/>
      <c r="CX16" s="350"/>
      <c r="CY16" s="351"/>
      <c r="CZ16" s="351"/>
      <c r="DA16" s="351"/>
      <c r="DB16" s="352"/>
      <c r="DC16" s="350"/>
      <c r="DD16" s="351"/>
      <c r="DE16" s="351"/>
      <c r="DF16" s="351"/>
      <c r="DG16" s="352"/>
      <c r="DH16" s="350"/>
      <c r="DI16" s="351"/>
      <c r="DJ16" s="351"/>
      <c r="DK16" s="351"/>
      <c r="DL16" s="352"/>
      <c r="DM16" s="350"/>
      <c r="DN16" s="351" t="n">
        <v>5</v>
      </c>
      <c r="DO16" s="351" t="n">
        <v>5</v>
      </c>
      <c r="DP16" s="351" t="n">
        <v>5</v>
      </c>
      <c r="DQ16" s="352" t="n">
        <v>5</v>
      </c>
      <c r="DR16" s="350" t="n">
        <v>5</v>
      </c>
      <c r="DS16" s="351"/>
      <c r="DT16" s="351" t="n">
        <v>5</v>
      </c>
      <c r="DU16" s="351" t="n">
        <v>5</v>
      </c>
      <c r="DV16" s="352" t="n">
        <v>5</v>
      </c>
      <c r="DW16" s="350"/>
      <c r="DX16" s="351"/>
      <c r="DY16" s="351"/>
      <c r="DZ16" s="351"/>
      <c r="EA16" s="352"/>
      <c r="EB16" s="350" t="n">
        <v>3</v>
      </c>
      <c r="EC16" s="351" t="n">
        <v>5</v>
      </c>
      <c r="ED16" s="351" t="n">
        <v>5</v>
      </c>
      <c r="EE16" s="351" t="n">
        <v>5</v>
      </c>
      <c r="EF16" s="352" t="n">
        <v>5</v>
      </c>
      <c r="EG16" s="350"/>
      <c r="EH16" s="351"/>
      <c r="EI16" s="351"/>
      <c r="EJ16" s="351"/>
      <c r="EK16" s="352"/>
      <c r="EL16" s="350"/>
      <c r="EM16" s="351" t="n">
        <v>5</v>
      </c>
      <c r="EN16" s="351" t="n">
        <v>5</v>
      </c>
      <c r="EO16" s="351" t="n">
        <v>3</v>
      </c>
      <c r="EP16" s="352" t="n">
        <v>5</v>
      </c>
      <c r="EQ16" s="350" t="n">
        <v>3</v>
      </c>
      <c r="ER16" s="351" t="n">
        <v>5</v>
      </c>
      <c r="ES16" s="351" t="n">
        <v>5</v>
      </c>
      <c r="ET16" s="351" t="n">
        <v>1</v>
      </c>
      <c r="EU16" s="352" t="n">
        <v>3</v>
      </c>
      <c r="EV16" s="350"/>
      <c r="EW16" s="351"/>
      <c r="EX16" s="351"/>
      <c r="EY16" s="351"/>
      <c r="EZ16" s="352"/>
      <c r="FA16" s="350" t="n">
        <v>5</v>
      </c>
      <c r="FB16" s="351" t="n">
        <v>5</v>
      </c>
      <c r="FC16" s="351" t="n">
        <v>5</v>
      </c>
      <c r="FD16" s="351" t="n">
        <v>5</v>
      </c>
      <c r="FE16" s="352" t="n">
        <v>5</v>
      </c>
      <c r="FF16" s="350"/>
      <c r="FG16" s="351"/>
      <c r="FH16" s="351"/>
      <c r="FI16" s="351"/>
      <c r="FJ16" s="352"/>
      <c r="FK16" s="350"/>
      <c r="FL16" s="351"/>
      <c r="FM16" s="351"/>
      <c r="FN16" s="351"/>
      <c r="FO16" s="352"/>
      <c r="FP16" s="350"/>
      <c r="FQ16" s="351"/>
      <c r="FR16" s="351"/>
      <c r="FS16" s="351"/>
      <c r="FT16" s="352"/>
      <c r="FU16" s="350" t="n">
        <v>1</v>
      </c>
      <c r="FV16" s="351" t="n">
        <v>5</v>
      </c>
      <c r="FW16" s="351" t="n">
        <v>3</v>
      </c>
      <c r="FX16" s="351" t="n">
        <v>5</v>
      </c>
      <c r="FY16" s="352" t="n">
        <v>3</v>
      </c>
      <c r="FZ16" s="350"/>
      <c r="GA16" s="351"/>
      <c r="GB16" s="351"/>
      <c r="GC16" s="351"/>
      <c r="GD16" s="352"/>
      <c r="GE16" s="350" t="n">
        <v>5</v>
      </c>
      <c r="GF16" s="351" t="n">
        <v>5</v>
      </c>
      <c r="GG16" s="351"/>
      <c r="GH16" s="351" t="n">
        <v>5</v>
      </c>
      <c r="GI16" s="352" t="n">
        <v>5</v>
      </c>
      <c r="GJ16" s="350"/>
      <c r="GK16" s="351"/>
      <c r="GL16" s="351"/>
      <c r="GM16" s="351"/>
      <c r="GN16" s="352"/>
      <c r="GO16" s="350"/>
      <c r="GP16" s="351"/>
      <c r="GQ16" s="351"/>
      <c r="GR16" s="351"/>
      <c r="GS16" s="352"/>
      <c r="GT16" s="350"/>
      <c r="GU16" s="351"/>
      <c r="GV16" s="351"/>
      <c r="GW16" s="351"/>
      <c r="GX16" s="352"/>
      <c r="GY16" s="350"/>
      <c r="GZ16" s="351"/>
      <c r="HA16" s="351"/>
      <c r="HB16" s="351"/>
      <c r="HC16" s="352"/>
      <c r="HD16" s="350"/>
      <c r="HE16" s="351"/>
      <c r="HF16" s="351"/>
      <c r="HG16" s="351"/>
      <c r="HH16" s="352"/>
      <c r="HI16" s="350"/>
      <c r="HJ16" s="351"/>
      <c r="HK16" s="351"/>
      <c r="HL16" s="351"/>
      <c r="HM16" s="352"/>
      <c r="HN16" s="350"/>
      <c r="HO16" s="351"/>
      <c r="HP16" s="351"/>
      <c r="HQ16" s="351"/>
      <c r="HR16" s="352"/>
      <c r="HS16" s="350"/>
      <c r="HT16" s="351"/>
      <c r="HU16" s="351"/>
      <c r="HV16" s="351"/>
      <c r="HW16" s="352"/>
      <c r="HX16" s="350"/>
      <c r="HY16" s="351"/>
      <c r="HZ16" s="351"/>
      <c r="IA16" s="351"/>
      <c r="IB16" s="352"/>
      <c r="IC16" s="350"/>
      <c r="ID16" s="351"/>
      <c r="IE16" s="351"/>
      <c r="IF16" s="351"/>
      <c r="IG16" s="352"/>
      <c r="IH16" s="350"/>
      <c r="II16" s="351"/>
      <c r="IJ16" s="351"/>
      <c r="IK16" s="351"/>
      <c r="IL16" s="352"/>
      <c r="IM16" s="350"/>
      <c r="IN16" s="351"/>
      <c r="IO16" s="351"/>
      <c r="IP16" s="351"/>
      <c r="IQ16" s="352"/>
      <c r="IR16" s="350"/>
      <c r="IS16" s="351"/>
      <c r="IT16" s="351"/>
      <c r="IU16" s="351"/>
      <c r="IV16" s="352"/>
      <c r="IW16" s="350"/>
      <c r="IX16" s="351"/>
      <c r="IY16" s="351"/>
      <c r="IZ16" s="351"/>
      <c r="JA16" s="352"/>
      <c r="JB16" s="350"/>
      <c r="JC16" s="351"/>
      <c r="JD16" s="351"/>
      <c r="JE16" s="351"/>
      <c r="JF16" s="352"/>
      <c r="JG16" s="350"/>
      <c r="JH16" s="351"/>
      <c r="JI16" s="351"/>
      <c r="JJ16" s="351"/>
      <c r="JK16" s="352"/>
      <c r="JL16" s="350"/>
      <c r="JM16" s="351"/>
      <c r="JN16" s="351"/>
      <c r="JO16" s="351"/>
      <c r="JP16" s="352"/>
      <c r="JQ16" s="350"/>
      <c r="JR16" s="351"/>
      <c r="JS16" s="351"/>
      <c r="JT16" s="351"/>
      <c r="JU16" s="352"/>
      <c r="JV16" s="350"/>
      <c r="JW16" s="351"/>
      <c r="JX16" s="351"/>
      <c r="JY16" s="351"/>
      <c r="JZ16" s="352"/>
      <c r="KA16" s="350"/>
      <c r="KB16" s="351"/>
      <c r="KC16" s="351"/>
      <c r="KD16" s="351"/>
      <c r="KE16" s="352"/>
      <c r="KF16" s="350"/>
      <c r="KG16" s="351"/>
      <c r="KH16" s="351"/>
      <c r="KI16" s="351"/>
      <c r="KJ16" s="352"/>
      <c r="KK16" s="350"/>
      <c r="KL16" s="351"/>
      <c r="KM16" s="351"/>
      <c r="KN16" s="351"/>
      <c r="KO16" s="352"/>
      <c r="KP16" s="350"/>
      <c r="KQ16" s="351"/>
      <c r="KR16" s="351"/>
      <c r="KS16" s="351"/>
      <c r="KT16" s="352"/>
      <c r="KU16" s="350"/>
      <c r="KV16" s="351"/>
      <c r="KW16" s="351"/>
      <c r="KX16" s="351"/>
      <c r="KY16" s="352"/>
      <c r="KZ16" s="350"/>
      <c r="LA16" s="351"/>
      <c r="LB16" s="351"/>
      <c r="LC16" s="351"/>
      <c r="LD16" s="352"/>
      <c r="LE16" s="350"/>
      <c r="LF16" s="351"/>
      <c r="LG16" s="351"/>
      <c r="LH16" s="351"/>
      <c r="LI16" s="352"/>
      <c r="LJ16" s="350"/>
      <c r="LK16" s="351"/>
      <c r="LL16" s="351"/>
      <c r="LM16" s="351"/>
      <c r="LN16" s="352"/>
      <c r="LO16" s="350"/>
      <c r="LP16" s="351"/>
      <c r="LQ16" s="351"/>
      <c r="LR16" s="351"/>
      <c r="LS16" s="352"/>
      <c r="LT16" s="350"/>
      <c r="LU16" s="351"/>
      <c r="LV16" s="351"/>
      <c r="LW16" s="351"/>
      <c r="LX16" s="352"/>
      <c r="LY16" s="350"/>
      <c r="LZ16" s="351"/>
      <c r="MA16" s="351"/>
      <c r="MB16" s="351"/>
      <c r="MC16" s="352"/>
      <c r="MD16" s="350"/>
      <c r="ME16" s="351"/>
      <c r="MF16" s="351"/>
      <c r="MG16" s="351"/>
      <c r="MH16" s="352"/>
      <c r="MI16" s="350"/>
      <c r="MJ16" s="351"/>
      <c r="MK16" s="351"/>
      <c r="ML16" s="351"/>
      <c r="MM16" s="352"/>
      <c r="MN16" s="350"/>
      <c r="MO16" s="351"/>
      <c r="MP16" s="351"/>
      <c r="MQ16" s="351"/>
      <c r="MR16" s="352"/>
      <c r="MS16" s="350"/>
      <c r="MT16" s="351"/>
      <c r="MU16" s="351"/>
      <c r="MV16" s="351"/>
      <c r="MW16" s="352"/>
      <c r="MX16" s="350"/>
      <c r="MY16" s="351"/>
      <c r="MZ16" s="351"/>
      <c r="NA16" s="351"/>
      <c r="NB16" s="352"/>
      <c r="NC16" s="350"/>
      <c r="ND16" s="351"/>
      <c r="NE16" s="351"/>
      <c r="NF16" s="351"/>
      <c r="NG16" s="352"/>
      <c r="NH16" s="350"/>
      <c r="NI16" s="351"/>
      <c r="NJ16" s="351"/>
      <c r="NK16" s="351"/>
      <c r="NL16" s="352"/>
      <c r="NM16" s="350"/>
      <c r="NN16" s="351"/>
      <c r="NO16" s="351"/>
      <c r="NP16" s="351"/>
      <c r="NQ16" s="352"/>
      <c r="NR16" s="350"/>
      <c r="NS16" s="351"/>
      <c r="NT16" s="351"/>
      <c r="NU16" s="351"/>
      <c r="NV16" s="352"/>
      <c r="NW16" s="350"/>
      <c r="NX16" s="351"/>
      <c r="NY16" s="351"/>
      <c r="NZ16" s="351"/>
      <c r="OA16" s="352"/>
      <c r="OB16" s="350"/>
      <c r="OC16" s="351"/>
      <c r="OD16" s="351"/>
      <c r="OE16" s="351"/>
      <c r="OF16" s="352"/>
      <c r="OG16" s="350"/>
      <c r="OH16" s="351"/>
      <c r="OI16" s="351"/>
      <c r="OJ16" s="351"/>
      <c r="OK16" s="352"/>
      <c r="OL16" s="350"/>
      <c r="OM16" s="351"/>
      <c r="ON16" s="351"/>
      <c r="OO16" s="351"/>
      <c r="OP16" s="352"/>
      <c r="OQ16" s="350"/>
      <c r="OR16" s="351"/>
      <c r="OS16" s="351"/>
      <c r="OT16" s="351"/>
      <c r="OU16" s="352"/>
      <c r="OV16" s="350"/>
      <c r="OW16" s="351"/>
      <c r="OX16" s="351"/>
      <c r="OY16" s="351"/>
      <c r="OZ16" s="352"/>
      <c r="PA16" s="350"/>
      <c r="PB16" s="351"/>
      <c r="PC16" s="351"/>
      <c r="PD16" s="351"/>
      <c r="PE16" s="352"/>
      <c r="PF16" s="350"/>
      <c r="PG16" s="351"/>
      <c r="PH16" s="351"/>
      <c r="PI16" s="351"/>
      <c r="PJ16" s="352"/>
      <c r="PK16" s="350"/>
      <c r="PL16" s="351"/>
      <c r="PM16" s="351"/>
      <c r="PN16" s="351"/>
      <c r="PO16" s="352"/>
      <c r="PP16" s="350"/>
      <c r="PQ16" s="351"/>
      <c r="PR16" s="351"/>
      <c r="PS16" s="351"/>
      <c r="PT16" s="352"/>
      <c r="PU16" s="350"/>
      <c r="PV16" s="351"/>
      <c r="PW16" s="351"/>
      <c r="PX16" s="351"/>
      <c r="PY16" s="352"/>
      <c r="PZ16" s="350"/>
      <c r="QA16" s="351"/>
      <c r="QB16" s="351"/>
      <c r="QC16" s="351"/>
      <c r="QD16" s="352"/>
      <c r="QE16" s="350"/>
      <c r="QF16" s="351"/>
      <c r="QG16" s="351"/>
      <c r="QH16" s="351"/>
      <c r="QI16" s="352"/>
      <c r="QJ16" s="350"/>
      <c r="QK16" s="351"/>
      <c r="QL16" s="351"/>
      <c r="QM16" s="351"/>
      <c r="QN16" s="352"/>
      <c r="QO16" s="350"/>
      <c r="QP16" s="351"/>
      <c r="QQ16" s="351"/>
      <c r="QR16" s="351"/>
      <c r="QS16" s="352"/>
      <c r="QT16" s="350"/>
      <c r="QU16" s="351"/>
      <c r="QV16" s="351"/>
      <c r="QW16" s="351"/>
      <c r="QX16" s="352"/>
      <c r="QY16" s="350"/>
      <c r="QZ16" s="351"/>
      <c r="RA16" s="351"/>
      <c r="RB16" s="351"/>
      <c r="RC16" s="352"/>
      <c r="RD16" s="350"/>
      <c r="RE16" s="351"/>
      <c r="RF16" s="351"/>
      <c r="RG16" s="351"/>
      <c r="RH16" s="352"/>
      <c r="RI16" s="350"/>
      <c r="RJ16" s="351"/>
      <c r="RK16" s="351"/>
      <c r="RL16" s="351"/>
      <c r="RM16" s="352"/>
      <c r="RN16" s="350"/>
      <c r="RO16" s="351"/>
      <c r="RP16" s="351"/>
      <c r="RQ16" s="351"/>
      <c r="RR16" s="352"/>
      <c r="RS16" s="350"/>
      <c r="RT16" s="351"/>
      <c r="RU16" s="351"/>
      <c r="RV16" s="351"/>
      <c r="RW16" s="352"/>
      <c r="RX16" s="350"/>
      <c r="RY16" s="351"/>
      <c r="RZ16" s="351"/>
      <c r="SA16" s="351"/>
      <c r="SB16" s="352"/>
      <c r="SC16" s="350"/>
      <c r="SD16" s="351"/>
      <c r="SE16" s="351"/>
      <c r="SF16" s="351"/>
      <c r="SG16" s="352"/>
      <c r="SH16" s="350"/>
      <c r="SI16" s="351"/>
      <c r="SJ16" s="351"/>
      <c r="SK16" s="351"/>
      <c r="SL16" s="352"/>
      <c r="SM16" s="350"/>
      <c r="SN16" s="351"/>
      <c r="SO16" s="351"/>
      <c r="SP16" s="351"/>
      <c r="SQ16" s="352"/>
      <c r="SR16" s="350"/>
      <c r="SS16" s="351"/>
      <c r="ST16" s="351"/>
      <c r="SU16" s="351"/>
      <c r="SV16" s="352"/>
      <c r="SW16" s="350"/>
      <c r="SX16" s="351"/>
      <c r="SY16" s="351"/>
      <c r="SZ16" s="351"/>
      <c r="TA16" s="352"/>
      <c r="TB16" s="354" t="n">
        <f aca="false">+AVERAGE(B16:IB16)</f>
        <v>4.42105263157895</v>
      </c>
    </row>
    <row r="17" customFormat="false" ht="15.5" hidden="false" customHeight="false" outlineLevel="0" collapsed="false">
      <c r="A17" s="349" t="s">
        <v>519</v>
      </c>
      <c r="B17" s="350"/>
      <c r="C17" s="351"/>
      <c r="D17" s="351"/>
      <c r="E17" s="351"/>
      <c r="F17" s="352"/>
      <c r="G17" s="350"/>
      <c r="H17" s="351"/>
      <c r="I17" s="351"/>
      <c r="J17" s="351"/>
      <c r="K17" s="352"/>
      <c r="L17" s="350"/>
      <c r="M17" s="351"/>
      <c r="N17" s="351"/>
      <c r="O17" s="351"/>
      <c r="P17" s="352"/>
      <c r="Q17" s="350"/>
      <c r="R17" s="351"/>
      <c r="S17" s="351"/>
      <c r="T17" s="351"/>
      <c r="U17" s="352"/>
      <c r="V17" s="350"/>
      <c r="W17" s="351"/>
      <c r="X17" s="351"/>
      <c r="Y17" s="351"/>
      <c r="Z17" s="352"/>
      <c r="AA17" s="350"/>
      <c r="AB17" s="351"/>
      <c r="AC17" s="351"/>
      <c r="AD17" s="351"/>
      <c r="AE17" s="352"/>
      <c r="AF17" s="350"/>
      <c r="AG17" s="351"/>
      <c r="AH17" s="351"/>
      <c r="AI17" s="351"/>
      <c r="AJ17" s="352"/>
      <c r="AK17" s="350"/>
      <c r="AL17" s="351"/>
      <c r="AM17" s="351"/>
      <c r="AN17" s="351"/>
      <c r="AO17" s="352"/>
      <c r="AP17" s="350"/>
      <c r="AQ17" s="351"/>
      <c r="AR17" s="351"/>
      <c r="AS17" s="351"/>
      <c r="AT17" s="352"/>
      <c r="AU17" s="350"/>
      <c r="AV17" s="351"/>
      <c r="AW17" s="351"/>
      <c r="AX17" s="351"/>
      <c r="AY17" s="352"/>
      <c r="AZ17" s="350"/>
      <c r="BA17" s="351"/>
      <c r="BB17" s="351"/>
      <c r="BC17" s="351"/>
      <c r="BD17" s="352"/>
      <c r="BE17" s="350"/>
      <c r="BF17" s="351"/>
      <c r="BG17" s="351"/>
      <c r="BH17" s="351"/>
      <c r="BI17" s="352"/>
      <c r="BJ17" s="350"/>
      <c r="BK17" s="351"/>
      <c r="BL17" s="351"/>
      <c r="BM17" s="351"/>
      <c r="BN17" s="351"/>
      <c r="BO17" s="350"/>
      <c r="BP17" s="351"/>
      <c r="BQ17" s="351"/>
      <c r="BR17" s="351"/>
      <c r="BS17" s="352"/>
      <c r="BT17" s="350"/>
      <c r="BU17" s="351"/>
      <c r="BV17" s="351"/>
      <c r="BW17" s="351"/>
      <c r="BX17" s="352"/>
      <c r="BY17" s="350"/>
      <c r="BZ17" s="351"/>
      <c r="CA17" s="351"/>
      <c r="CB17" s="351"/>
      <c r="CC17" s="352"/>
      <c r="CD17" s="350"/>
      <c r="CE17" s="351"/>
      <c r="CF17" s="351"/>
      <c r="CG17" s="351"/>
      <c r="CH17" s="352"/>
      <c r="CI17" s="350"/>
      <c r="CJ17" s="351"/>
      <c r="CK17" s="351"/>
      <c r="CL17" s="351"/>
      <c r="CM17" s="352"/>
      <c r="CN17" s="350"/>
      <c r="CO17" s="351"/>
      <c r="CP17" s="351"/>
      <c r="CQ17" s="351"/>
      <c r="CR17" s="352"/>
      <c r="CS17" s="350"/>
      <c r="CT17" s="351"/>
      <c r="CU17" s="351"/>
      <c r="CV17" s="351"/>
      <c r="CW17" s="352"/>
      <c r="CX17" s="350"/>
      <c r="CY17" s="351"/>
      <c r="CZ17" s="351"/>
      <c r="DA17" s="351"/>
      <c r="DB17" s="352"/>
      <c r="DC17" s="350"/>
      <c r="DD17" s="351"/>
      <c r="DE17" s="351"/>
      <c r="DF17" s="351"/>
      <c r="DG17" s="352"/>
      <c r="DH17" s="350"/>
      <c r="DI17" s="351"/>
      <c r="DJ17" s="351"/>
      <c r="DK17" s="351"/>
      <c r="DL17" s="352"/>
      <c r="DM17" s="350"/>
      <c r="DN17" s="351"/>
      <c r="DO17" s="351"/>
      <c r="DP17" s="351"/>
      <c r="DQ17" s="352"/>
      <c r="DR17" s="350"/>
      <c r="DS17" s="351"/>
      <c r="DT17" s="351"/>
      <c r="DU17" s="351"/>
      <c r="DV17" s="352"/>
      <c r="DW17" s="350"/>
      <c r="DX17" s="351"/>
      <c r="DY17" s="351"/>
      <c r="DZ17" s="351"/>
      <c r="EA17" s="352"/>
      <c r="EB17" s="350"/>
      <c r="EC17" s="351"/>
      <c r="ED17" s="351"/>
      <c r="EE17" s="351"/>
      <c r="EF17" s="352"/>
      <c r="EG17" s="350"/>
      <c r="EH17" s="351"/>
      <c r="EI17" s="351"/>
      <c r="EJ17" s="351"/>
      <c r="EK17" s="352"/>
      <c r="EL17" s="350"/>
      <c r="EM17" s="351"/>
      <c r="EN17" s="351"/>
      <c r="EO17" s="351"/>
      <c r="EP17" s="352"/>
      <c r="EQ17" s="350"/>
      <c r="ER17" s="351"/>
      <c r="ES17" s="351"/>
      <c r="ET17" s="351"/>
      <c r="EU17" s="352"/>
      <c r="EV17" s="350" t="n">
        <v>5</v>
      </c>
      <c r="EW17" s="351" t="n">
        <v>5</v>
      </c>
      <c r="EX17" s="351" t="n">
        <v>5</v>
      </c>
      <c r="EY17" s="351" t="n">
        <v>5</v>
      </c>
      <c r="EZ17" s="352" t="n">
        <v>5</v>
      </c>
      <c r="FA17" s="350" t="n">
        <v>5</v>
      </c>
      <c r="FB17" s="351" t="n">
        <v>5</v>
      </c>
      <c r="FC17" s="351" t="n">
        <v>5</v>
      </c>
      <c r="FD17" s="351" t="n">
        <v>5</v>
      </c>
      <c r="FE17" s="352" t="n">
        <v>3</v>
      </c>
      <c r="FF17" s="350" t="n">
        <v>5</v>
      </c>
      <c r="FG17" s="351" t="n">
        <v>5</v>
      </c>
      <c r="FH17" s="351" t="n">
        <v>5</v>
      </c>
      <c r="FI17" s="351" t="n">
        <v>5</v>
      </c>
      <c r="FJ17" s="352" t="n">
        <v>3</v>
      </c>
      <c r="FK17" s="350"/>
      <c r="FL17" s="351"/>
      <c r="FM17" s="351"/>
      <c r="FN17" s="351"/>
      <c r="FO17" s="352"/>
      <c r="FP17" s="350" t="n">
        <v>5</v>
      </c>
      <c r="FQ17" s="350" t="n">
        <v>5</v>
      </c>
      <c r="FR17" s="350" t="n">
        <v>5</v>
      </c>
      <c r="FS17" s="351" t="n">
        <v>5</v>
      </c>
      <c r="FT17" s="352" t="n">
        <v>5</v>
      </c>
      <c r="FU17" s="350" t="n">
        <v>5</v>
      </c>
      <c r="FV17" s="351" t="n">
        <v>5</v>
      </c>
      <c r="FW17" s="351" t="n">
        <v>5</v>
      </c>
      <c r="FX17" s="351" t="n">
        <v>5</v>
      </c>
      <c r="FY17" s="352" t="n">
        <v>5</v>
      </c>
      <c r="FZ17" s="350"/>
      <c r="GA17" s="351"/>
      <c r="GB17" s="351"/>
      <c r="GC17" s="351"/>
      <c r="GD17" s="352"/>
      <c r="GE17" s="350"/>
      <c r="GF17" s="351"/>
      <c r="GG17" s="351"/>
      <c r="GH17" s="351"/>
      <c r="GI17" s="352"/>
      <c r="GJ17" s="350"/>
      <c r="GK17" s="351"/>
      <c r="GL17" s="351"/>
      <c r="GM17" s="351"/>
      <c r="GN17" s="352"/>
      <c r="GO17" s="350"/>
      <c r="GP17" s="351"/>
      <c r="GQ17" s="351"/>
      <c r="GR17" s="351"/>
      <c r="GS17" s="352"/>
      <c r="GT17" s="350"/>
      <c r="GU17" s="351"/>
      <c r="GV17" s="351"/>
      <c r="GW17" s="351"/>
      <c r="GX17" s="352"/>
      <c r="GY17" s="350"/>
      <c r="GZ17" s="351"/>
      <c r="HA17" s="351"/>
      <c r="HB17" s="351"/>
      <c r="HC17" s="352"/>
      <c r="HD17" s="350"/>
      <c r="HE17" s="351"/>
      <c r="HF17" s="351"/>
      <c r="HG17" s="351"/>
      <c r="HH17" s="352"/>
      <c r="HI17" s="350"/>
      <c r="HJ17" s="351"/>
      <c r="HK17" s="351"/>
      <c r="HL17" s="351"/>
      <c r="HM17" s="352"/>
      <c r="HN17" s="350"/>
      <c r="HO17" s="351"/>
      <c r="HP17" s="351"/>
      <c r="HQ17" s="351"/>
      <c r="HR17" s="352"/>
      <c r="HS17" s="350"/>
      <c r="HT17" s="351"/>
      <c r="HU17" s="351"/>
      <c r="HV17" s="351"/>
      <c r="HW17" s="352"/>
      <c r="HX17" s="350"/>
      <c r="HY17" s="351"/>
      <c r="HZ17" s="351"/>
      <c r="IA17" s="351"/>
      <c r="IB17" s="352"/>
      <c r="IC17" s="350"/>
      <c r="ID17" s="351"/>
      <c r="IE17" s="351"/>
      <c r="IF17" s="351"/>
      <c r="IG17" s="352"/>
      <c r="IH17" s="350"/>
      <c r="II17" s="351"/>
      <c r="IJ17" s="351"/>
      <c r="IK17" s="351"/>
      <c r="IL17" s="352"/>
      <c r="IM17" s="350"/>
      <c r="IN17" s="351"/>
      <c r="IO17" s="351"/>
      <c r="IP17" s="351"/>
      <c r="IQ17" s="352"/>
      <c r="IR17" s="350"/>
      <c r="IS17" s="351"/>
      <c r="IT17" s="351"/>
      <c r="IU17" s="351"/>
      <c r="IV17" s="352"/>
      <c r="IW17" s="350"/>
      <c r="IX17" s="351"/>
      <c r="IY17" s="351"/>
      <c r="IZ17" s="351"/>
      <c r="JA17" s="352"/>
      <c r="JB17" s="350"/>
      <c r="JC17" s="351"/>
      <c r="JD17" s="351"/>
      <c r="JE17" s="351"/>
      <c r="JF17" s="352"/>
      <c r="JG17" s="350"/>
      <c r="JH17" s="351"/>
      <c r="JI17" s="351"/>
      <c r="JJ17" s="351"/>
      <c r="JK17" s="352"/>
      <c r="JL17" s="350"/>
      <c r="JM17" s="351"/>
      <c r="JN17" s="351"/>
      <c r="JO17" s="351"/>
      <c r="JP17" s="352"/>
      <c r="JQ17" s="350"/>
      <c r="JR17" s="351"/>
      <c r="JS17" s="351"/>
      <c r="JT17" s="351"/>
      <c r="JU17" s="352"/>
      <c r="JV17" s="350"/>
      <c r="JW17" s="351"/>
      <c r="JX17" s="351"/>
      <c r="JY17" s="351"/>
      <c r="JZ17" s="352"/>
      <c r="KA17" s="350"/>
      <c r="KB17" s="351"/>
      <c r="KC17" s="351"/>
      <c r="KD17" s="351"/>
      <c r="KE17" s="352"/>
      <c r="KF17" s="350"/>
      <c r="KG17" s="351"/>
      <c r="KH17" s="351"/>
      <c r="KI17" s="351"/>
      <c r="KJ17" s="352"/>
      <c r="KK17" s="350"/>
      <c r="KL17" s="351"/>
      <c r="KM17" s="351"/>
      <c r="KN17" s="351"/>
      <c r="KO17" s="352"/>
      <c r="KP17" s="350"/>
      <c r="KQ17" s="351"/>
      <c r="KR17" s="351"/>
      <c r="KS17" s="351"/>
      <c r="KT17" s="352"/>
      <c r="KU17" s="350"/>
      <c r="KV17" s="351"/>
      <c r="KW17" s="351"/>
      <c r="KX17" s="351"/>
      <c r="KY17" s="352"/>
      <c r="KZ17" s="350"/>
      <c r="LA17" s="351"/>
      <c r="LB17" s="351"/>
      <c r="LC17" s="351"/>
      <c r="LD17" s="352"/>
      <c r="LE17" s="350"/>
      <c r="LF17" s="351"/>
      <c r="LG17" s="351"/>
      <c r="LH17" s="351"/>
      <c r="LI17" s="352"/>
      <c r="LJ17" s="350"/>
      <c r="LK17" s="351"/>
      <c r="LL17" s="351"/>
      <c r="LM17" s="351"/>
      <c r="LN17" s="352"/>
      <c r="LO17" s="350"/>
      <c r="LP17" s="351"/>
      <c r="LQ17" s="351"/>
      <c r="LR17" s="351"/>
      <c r="LS17" s="352"/>
      <c r="LT17" s="350"/>
      <c r="LU17" s="351"/>
      <c r="LV17" s="351"/>
      <c r="LW17" s="351"/>
      <c r="LX17" s="352"/>
      <c r="LY17" s="350"/>
      <c r="LZ17" s="351"/>
      <c r="MA17" s="351"/>
      <c r="MB17" s="351"/>
      <c r="MC17" s="352"/>
      <c r="MD17" s="350"/>
      <c r="ME17" s="351"/>
      <c r="MF17" s="351"/>
      <c r="MG17" s="351"/>
      <c r="MH17" s="352"/>
      <c r="MI17" s="350"/>
      <c r="MJ17" s="351"/>
      <c r="MK17" s="351"/>
      <c r="ML17" s="351"/>
      <c r="MM17" s="352"/>
      <c r="MN17" s="350"/>
      <c r="MO17" s="351"/>
      <c r="MP17" s="351"/>
      <c r="MQ17" s="351"/>
      <c r="MR17" s="352"/>
      <c r="MS17" s="350"/>
      <c r="MT17" s="351"/>
      <c r="MU17" s="351"/>
      <c r="MV17" s="351"/>
      <c r="MW17" s="352"/>
      <c r="MX17" s="350"/>
      <c r="MY17" s="351"/>
      <c r="MZ17" s="351"/>
      <c r="NA17" s="351"/>
      <c r="NB17" s="352"/>
      <c r="NC17" s="350"/>
      <c r="ND17" s="351"/>
      <c r="NE17" s="351"/>
      <c r="NF17" s="351"/>
      <c r="NG17" s="352"/>
      <c r="NH17" s="350"/>
      <c r="NI17" s="351"/>
      <c r="NJ17" s="351"/>
      <c r="NK17" s="351"/>
      <c r="NL17" s="352"/>
      <c r="NM17" s="350"/>
      <c r="NN17" s="351"/>
      <c r="NO17" s="351"/>
      <c r="NP17" s="351"/>
      <c r="NQ17" s="352"/>
      <c r="NR17" s="350"/>
      <c r="NS17" s="351"/>
      <c r="NT17" s="351"/>
      <c r="NU17" s="351"/>
      <c r="NV17" s="352"/>
      <c r="NW17" s="350"/>
      <c r="NX17" s="351"/>
      <c r="NY17" s="351"/>
      <c r="NZ17" s="351"/>
      <c r="OA17" s="352"/>
      <c r="OB17" s="350"/>
      <c r="OC17" s="351"/>
      <c r="OD17" s="351"/>
      <c r="OE17" s="351"/>
      <c r="OF17" s="352"/>
      <c r="OG17" s="350"/>
      <c r="OH17" s="351"/>
      <c r="OI17" s="351"/>
      <c r="OJ17" s="351"/>
      <c r="OK17" s="352"/>
      <c r="OL17" s="350"/>
      <c r="OM17" s="351"/>
      <c r="ON17" s="351"/>
      <c r="OO17" s="351"/>
      <c r="OP17" s="352"/>
      <c r="OQ17" s="350"/>
      <c r="OR17" s="351"/>
      <c r="OS17" s="351"/>
      <c r="OT17" s="351"/>
      <c r="OU17" s="352"/>
      <c r="OV17" s="350"/>
      <c r="OW17" s="351"/>
      <c r="OX17" s="351"/>
      <c r="OY17" s="351"/>
      <c r="OZ17" s="352"/>
      <c r="PA17" s="350"/>
      <c r="PB17" s="351"/>
      <c r="PC17" s="351"/>
      <c r="PD17" s="351"/>
      <c r="PE17" s="352"/>
      <c r="PF17" s="350"/>
      <c r="PG17" s="351"/>
      <c r="PH17" s="351"/>
      <c r="PI17" s="351"/>
      <c r="PJ17" s="352"/>
      <c r="PK17" s="350"/>
      <c r="PL17" s="351"/>
      <c r="PM17" s="351"/>
      <c r="PN17" s="351"/>
      <c r="PO17" s="352"/>
      <c r="PP17" s="350"/>
      <c r="PQ17" s="351"/>
      <c r="PR17" s="351"/>
      <c r="PS17" s="351"/>
      <c r="PT17" s="352"/>
      <c r="PU17" s="350"/>
      <c r="PV17" s="351"/>
      <c r="PW17" s="351"/>
      <c r="PX17" s="351"/>
      <c r="PY17" s="352"/>
      <c r="PZ17" s="350"/>
      <c r="QA17" s="351"/>
      <c r="QB17" s="351"/>
      <c r="QC17" s="351"/>
      <c r="QD17" s="352"/>
      <c r="QE17" s="350"/>
      <c r="QF17" s="351"/>
      <c r="QG17" s="351"/>
      <c r="QH17" s="351"/>
      <c r="QI17" s="352"/>
      <c r="QJ17" s="350"/>
      <c r="QK17" s="351"/>
      <c r="QL17" s="351"/>
      <c r="QM17" s="351"/>
      <c r="QN17" s="352"/>
      <c r="QO17" s="350"/>
      <c r="QP17" s="351"/>
      <c r="QQ17" s="351"/>
      <c r="QR17" s="351"/>
      <c r="QS17" s="352"/>
      <c r="QT17" s="350"/>
      <c r="QU17" s="351"/>
      <c r="QV17" s="351"/>
      <c r="QW17" s="351"/>
      <c r="QX17" s="352"/>
      <c r="QY17" s="350"/>
      <c r="QZ17" s="351"/>
      <c r="RA17" s="351"/>
      <c r="RB17" s="351"/>
      <c r="RC17" s="352"/>
      <c r="RD17" s="350"/>
      <c r="RE17" s="351"/>
      <c r="RF17" s="351"/>
      <c r="RG17" s="351"/>
      <c r="RH17" s="352"/>
      <c r="RI17" s="350"/>
      <c r="RJ17" s="351"/>
      <c r="RK17" s="351"/>
      <c r="RL17" s="351"/>
      <c r="RM17" s="352"/>
      <c r="RN17" s="350"/>
      <c r="RO17" s="351"/>
      <c r="RP17" s="351"/>
      <c r="RQ17" s="351"/>
      <c r="RR17" s="352"/>
      <c r="RS17" s="350"/>
      <c r="RT17" s="351"/>
      <c r="RU17" s="351"/>
      <c r="RV17" s="351"/>
      <c r="RW17" s="352"/>
      <c r="RX17" s="350"/>
      <c r="RY17" s="351"/>
      <c r="RZ17" s="351"/>
      <c r="SA17" s="351"/>
      <c r="SB17" s="352"/>
      <c r="SC17" s="350"/>
      <c r="SD17" s="351"/>
      <c r="SE17" s="351"/>
      <c r="SF17" s="351"/>
      <c r="SG17" s="352"/>
      <c r="SH17" s="350"/>
      <c r="SI17" s="351"/>
      <c r="SJ17" s="351"/>
      <c r="SK17" s="351"/>
      <c r="SL17" s="352"/>
      <c r="SM17" s="350"/>
      <c r="SN17" s="351"/>
      <c r="SO17" s="351"/>
      <c r="SP17" s="351"/>
      <c r="SQ17" s="352"/>
      <c r="SR17" s="350"/>
      <c r="SS17" s="351"/>
      <c r="ST17" s="351"/>
      <c r="SU17" s="351"/>
      <c r="SV17" s="352"/>
      <c r="SW17" s="350"/>
      <c r="SX17" s="351"/>
      <c r="SY17" s="351"/>
      <c r="SZ17" s="351"/>
      <c r="TA17" s="352"/>
      <c r="TB17" s="354" t="n">
        <f aca="false">+AVERAGE(B17:IB17)</f>
        <v>4.84</v>
      </c>
    </row>
    <row r="18" customFormat="false" ht="15.5" hidden="false" customHeight="false" outlineLevel="0" collapsed="false">
      <c r="A18" s="349" t="s">
        <v>520</v>
      </c>
      <c r="B18" s="350" t="n">
        <v>5</v>
      </c>
      <c r="C18" s="351" t="n">
        <v>5</v>
      </c>
      <c r="D18" s="351" t="n">
        <v>5</v>
      </c>
      <c r="E18" s="351" t="n">
        <v>5</v>
      </c>
      <c r="F18" s="352" t="n">
        <v>5</v>
      </c>
      <c r="G18" s="350" t="n">
        <v>3</v>
      </c>
      <c r="H18" s="351" t="n">
        <v>5</v>
      </c>
      <c r="I18" s="351" t="n">
        <v>5</v>
      </c>
      <c r="J18" s="351" t="n">
        <v>5</v>
      </c>
      <c r="K18" s="352" t="n">
        <v>5</v>
      </c>
      <c r="L18" s="350" t="n">
        <v>5</v>
      </c>
      <c r="M18" s="351" t="n">
        <v>5</v>
      </c>
      <c r="N18" s="351" t="n">
        <v>5</v>
      </c>
      <c r="O18" s="351" t="n">
        <v>5</v>
      </c>
      <c r="P18" s="352" t="n">
        <v>5</v>
      </c>
      <c r="Q18" s="350" t="n">
        <v>5</v>
      </c>
      <c r="R18" s="351" t="n">
        <v>5</v>
      </c>
      <c r="S18" s="351" t="n">
        <v>5</v>
      </c>
      <c r="T18" s="351" t="n">
        <v>5</v>
      </c>
      <c r="U18" s="352" t="n">
        <v>5</v>
      </c>
      <c r="V18" s="350" t="n">
        <v>5</v>
      </c>
      <c r="W18" s="351" t="n">
        <v>6</v>
      </c>
      <c r="X18" s="351" t="n">
        <v>5</v>
      </c>
      <c r="Y18" s="351" t="n">
        <v>5</v>
      </c>
      <c r="Z18" s="352" t="n">
        <v>5</v>
      </c>
      <c r="AA18" s="350" t="n">
        <v>5</v>
      </c>
      <c r="AB18" s="351" t="n">
        <v>5</v>
      </c>
      <c r="AC18" s="351" t="n">
        <v>5</v>
      </c>
      <c r="AD18" s="351" t="n">
        <v>5</v>
      </c>
      <c r="AE18" s="352" t="n">
        <v>5</v>
      </c>
      <c r="AF18" s="350" t="n">
        <v>1</v>
      </c>
      <c r="AG18" s="351" t="n">
        <v>5</v>
      </c>
      <c r="AH18" s="351" t="n">
        <v>5</v>
      </c>
      <c r="AI18" s="351" t="n">
        <v>5</v>
      </c>
      <c r="AJ18" s="352" t="n">
        <v>5</v>
      </c>
      <c r="AK18" s="350" t="n">
        <v>1</v>
      </c>
      <c r="AL18" s="351" t="n">
        <v>5</v>
      </c>
      <c r="AM18" s="351" t="n">
        <v>5</v>
      </c>
      <c r="AN18" s="351" t="n">
        <v>5</v>
      </c>
      <c r="AO18" s="352" t="n">
        <v>5</v>
      </c>
      <c r="AP18" s="350" t="n">
        <v>5</v>
      </c>
      <c r="AQ18" s="351" t="n">
        <v>5</v>
      </c>
      <c r="AR18" s="351" t="n">
        <v>5</v>
      </c>
      <c r="AS18" s="351" t="n">
        <v>5</v>
      </c>
      <c r="AT18" s="352" t="n">
        <v>5</v>
      </c>
      <c r="AU18" s="350" t="n">
        <v>5</v>
      </c>
      <c r="AV18" s="351"/>
      <c r="AW18" s="351" t="n">
        <v>5</v>
      </c>
      <c r="AX18" s="351" t="n">
        <v>5</v>
      </c>
      <c r="AY18" s="352" t="n">
        <v>5</v>
      </c>
      <c r="AZ18" s="350" t="n">
        <v>5</v>
      </c>
      <c r="BA18" s="351"/>
      <c r="BB18" s="351" t="n">
        <v>5</v>
      </c>
      <c r="BC18" s="351" t="n">
        <v>5</v>
      </c>
      <c r="BD18" s="352" t="n">
        <v>5</v>
      </c>
      <c r="BE18" s="350" t="n">
        <v>5</v>
      </c>
      <c r="BF18" s="351" t="n">
        <v>5</v>
      </c>
      <c r="BG18" s="351" t="n">
        <v>5</v>
      </c>
      <c r="BH18" s="351" t="n">
        <v>5</v>
      </c>
      <c r="BI18" s="352" t="n">
        <v>5</v>
      </c>
      <c r="BJ18" s="350" t="n">
        <v>3</v>
      </c>
      <c r="BK18" s="351" t="n">
        <v>5</v>
      </c>
      <c r="BL18" s="351"/>
      <c r="BM18" s="351" t="n">
        <v>5</v>
      </c>
      <c r="BN18" s="351" t="n">
        <v>5</v>
      </c>
      <c r="BO18" s="350" t="n">
        <v>5</v>
      </c>
      <c r="BP18" s="351"/>
      <c r="BQ18" s="351" t="n">
        <v>5</v>
      </c>
      <c r="BR18" s="351" t="n">
        <v>5</v>
      </c>
      <c r="BS18" s="352" t="n">
        <v>5</v>
      </c>
      <c r="BT18" s="350" t="n">
        <v>5</v>
      </c>
      <c r="BU18" s="351" t="n">
        <v>5</v>
      </c>
      <c r="BV18" s="351" t="n">
        <v>5</v>
      </c>
      <c r="BW18" s="351" t="n">
        <v>5</v>
      </c>
      <c r="BX18" s="352" t="n">
        <v>5</v>
      </c>
      <c r="BY18" s="350" t="n">
        <v>5</v>
      </c>
      <c r="BZ18" s="350" t="n">
        <v>5</v>
      </c>
      <c r="CA18" s="351" t="n">
        <v>5</v>
      </c>
      <c r="CB18" s="351" t="n">
        <v>5</v>
      </c>
      <c r="CC18" s="352" t="n">
        <v>5</v>
      </c>
      <c r="CD18" s="350" t="n">
        <v>5</v>
      </c>
      <c r="CE18" s="351" t="n">
        <v>5</v>
      </c>
      <c r="CF18" s="351" t="n">
        <v>5</v>
      </c>
      <c r="CG18" s="351" t="n">
        <v>5</v>
      </c>
      <c r="CH18" s="352" t="n">
        <v>5</v>
      </c>
      <c r="CI18" s="350"/>
      <c r="CJ18" s="351"/>
      <c r="CK18" s="351"/>
      <c r="CL18" s="351"/>
      <c r="CM18" s="352"/>
      <c r="CN18" s="350" t="n">
        <v>5</v>
      </c>
      <c r="CO18" s="351"/>
      <c r="CP18" s="351" t="n">
        <v>5</v>
      </c>
      <c r="CQ18" s="351" t="n">
        <v>5</v>
      </c>
      <c r="CR18" s="352" t="n">
        <v>5</v>
      </c>
      <c r="CS18" s="350" t="n">
        <v>5</v>
      </c>
      <c r="CT18" s="351" t="n">
        <v>5</v>
      </c>
      <c r="CU18" s="351" t="n">
        <v>5</v>
      </c>
      <c r="CV18" s="351" t="n">
        <v>5</v>
      </c>
      <c r="CW18" s="352" t="n">
        <v>3</v>
      </c>
      <c r="CX18" s="350" t="n">
        <v>5</v>
      </c>
      <c r="CY18" s="351" t="n">
        <v>5</v>
      </c>
      <c r="CZ18" s="351" t="n">
        <v>5</v>
      </c>
      <c r="DA18" s="351" t="n">
        <v>5</v>
      </c>
      <c r="DB18" s="352" t="n">
        <v>5</v>
      </c>
      <c r="DC18" s="350" t="n">
        <v>5</v>
      </c>
      <c r="DD18" s="351" t="n">
        <v>5</v>
      </c>
      <c r="DE18" s="351" t="n">
        <v>5</v>
      </c>
      <c r="DF18" s="351" t="n">
        <v>5</v>
      </c>
      <c r="DG18" s="352" t="n">
        <v>5</v>
      </c>
      <c r="DH18" s="350"/>
      <c r="DI18" s="351"/>
      <c r="DJ18" s="351"/>
      <c r="DK18" s="351"/>
      <c r="DL18" s="352"/>
      <c r="DM18" s="350"/>
      <c r="DN18" s="351"/>
      <c r="DO18" s="351"/>
      <c r="DP18" s="351"/>
      <c r="DQ18" s="352"/>
      <c r="DR18" s="350"/>
      <c r="DS18" s="351"/>
      <c r="DT18" s="351"/>
      <c r="DU18" s="351"/>
      <c r="DV18" s="352"/>
      <c r="DW18" s="350"/>
      <c r="DX18" s="351"/>
      <c r="DY18" s="351"/>
      <c r="DZ18" s="351"/>
      <c r="EA18" s="352"/>
      <c r="EB18" s="350"/>
      <c r="EC18" s="351"/>
      <c r="ED18" s="351"/>
      <c r="EE18" s="351"/>
      <c r="EF18" s="352"/>
      <c r="EG18" s="350"/>
      <c r="EH18" s="351"/>
      <c r="EI18" s="351"/>
      <c r="EJ18" s="351"/>
      <c r="EK18" s="352"/>
      <c r="EL18" s="350"/>
      <c r="EM18" s="351"/>
      <c r="EN18" s="351"/>
      <c r="EO18" s="351"/>
      <c r="EP18" s="352"/>
      <c r="EQ18" s="350"/>
      <c r="ER18" s="351"/>
      <c r="ES18" s="351"/>
      <c r="ET18" s="351"/>
      <c r="EU18" s="352"/>
      <c r="EV18" s="350"/>
      <c r="EW18" s="351"/>
      <c r="EX18" s="351"/>
      <c r="EY18" s="351"/>
      <c r="EZ18" s="352"/>
      <c r="FA18" s="350"/>
      <c r="FB18" s="351"/>
      <c r="FC18" s="351"/>
      <c r="FD18" s="351"/>
      <c r="FE18" s="352"/>
      <c r="FF18" s="350"/>
      <c r="FG18" s="351"/>
      <c r="FH18" s="351"/>
      <c r="FI18" s="351"/>
      <c r="FJ18" s="352"/>
      <c r="FK18" s="350"/>
      <c r="FL18" s="351"/>
      <c r="FM18" s="351"/>
      <c r="FN18" s="351"/>
      <c r="FO18" s="352"/>
      <c r="FP18" s="350"/>
      <c r="FQ18" s="351"/>
      <c r="FR18" s="351"/>
      <c r="FS18" s="351"/>
      <c r="FT18" s="352"/>
      <c r="FU18" s="350"/>
      <c r="FV18" s="351"/>
      <c r="FW18" s="351"/>
      <c r="FX18" s="351"/>
      <c r="FY18" s="352"/>
      <c r="FZ18" s="350"/>
      <c r="GA18" s="351"/>
      <c r="GB18" s="351"/>
      <c r="GC18" s="351"/>
      <c r="GD18" s="352"/>
      <c r="GE18" s="350"/>
      <c r="GF18" s="351"/>
      <c r="GG18" s="351"/>
      <c r="GH18" s="351"/>
      <c r="GI18" s="352"/>
      <c r="GJ18" s="350"/>
      <c r="GK18" s="351"/>
      <c r="GL18" s="351"/>
      <c r="GM18" s="351"/>
      <c r="GN18" s="352"/>
      <c r="GO18" s="350"/>
      <c r="GP18" s="351"/>
      <c r="GQ18" s="351"/>
      <c r="GR18" s="351"/>
      <c r="GS18" s="352"/>
      <c r="GT18" s="350"/>
      <c r="GU18" s="351"/>
      <c r="GV18" s="351"/>
      <c r="GW18" s="351"/>
      <c r="GX18" s="352"/>
      <c r="GY18" s="350"/>
      <c r="GZ18" s="351"/>
      <c r="HA18" s="351"/>
      <c r="HB18" s="351"/>
      <c r="HC18" s="352"/>
      <c r="HD18" s="350"/>
      <c r="HE18" s="351"/>
      <c r="HF18" s="351"/>
      <c r="HG18" s="351"/>
      <c r="HH18" s="352"/>
      <c r="HI18" s="350"/>
      <c r="HJ18" s="351"/>
      <c r="HK18" s="351"/>
      <c r="HL18" s="351"/>
      <c r="HM18" s="352"/>
      <c r="HN18" s="350"/>
      <c r="HO18" s="351"/>
      <c r="HP18" s="351"/>
      <c r="HQ18" s="351"/>
      <c r="HR18" s="352"/>
      <c r="HS18" s="350"/>
      <c r="HT18" s="351"/>
      <c r="HU18" s="351"/>
      <c r="HV18" s="351"/>
      <c r="HW18" s="352"/>
      <c r="HX18" s="350"/>
      <c r="HY18" s="351"/>
      <c r="HZ18" s="351"/>
      <c r="IA18" s="351"/>
      <c r="IB18" s="352"/>
      <c r="IC18" s="350"/>
      <c r="ID18" s="351"/>
      <c r="IE18" s="351"/>
      <c r="IF18" s="351"/>
      <c r="IG18" s="352"/>
      <c r="IH18" s="350"/>
      <c r="II18" s="351"/>
      <c r="IJ18" s="351"/>
      <c r="IK18" s="351"/>
      <c r="IL18" s="352"/>
      <c r="IM18" s="350"/>
      <c r="IN18" s="351"/>
      <c r="IO18" s="351"/>
      <c r="IP18" s="351"/>
      <c r="IQ18" s="352"/>
      <c r="IR18" s="350"/>
      <c r="IS18" s="351"/>
      <c r="IT18" s="351"/>
      <c r="IU18" s="351"/>
      <c r="IV18" s="352"/>
      <c r="IW18" s="350"/>
      <c r="IX18" s="351"/>
      <c r="IY18" s="351"/>
      <c r="IZ18" s="351"/>
      <c r="JA18" s="352"/>
      <c r="JB18" s="350"/>
      <c r="JC18" s="351"/>
      <c r="JD18" s="351"/>
      <c r="JE18" s="351"/>
      <c r="JF18" s="352"/>
      <c r="JG18" s="350"/>
      <c r="JH18" s="351"/>
      <c r="JI18" s="351"/>
      <c r="JJ18" s="351"/>
      <c r="JK18" s="352"/>
      <c r="JL18" s="350"/>
      <c r="JM18" s="351"/>
      <c r="JN18" s="351"/>
      <c r="JO18" s="351"/>
      <c r="JP18" s="352"/>
      <c r="JQ18" s="350"/>
      <c r="JR18" s="351"/>
      <c r="JS18" s="351"/>
      <c r="JT18" s="351"/>
      <c r="JU18" s="352"/>
      <c r="JV18" s="350"/>
      <c r="JW18" s="351"/>
      <c r="JX18" s="351"/>
      <c r="JY18" s="351"/>
      <c r="JZ18" s="352"/>
      <c r="KA18" s="350"/>
      <c r="KB18" s="351"/>
      <c r="KC18" s="351"/>
      <c r="KD18" s="351"/>
      <c r="KE18" s="352"/>
      <c r="KF18" s="350"/>
      <c r="KG18" s="351"/>
      <c r="KH18" s="351"/>
      <c r="KI18" s="351"/>
      <c r="KJ18" s="352"/>
      <c r="KK18" s="350"/>
      <c r="KL18" s="351"/>
      <c r="KM18" s="351"/>
      <c r="KN18" s="351"/>
      <c r="KO18" s="352"/>
      <c r="KP18" s="350"/>
      <c r="KQ18" s="351"/>
      <c r="KR18" s="351"/>
      <c r="KS18" s="351"/>
      <c r="KT18" s="352"/>
      <c r="KU18" s="350"/>
      <c r="KV18" s="351"/>
      <c r="KW18" s="351"/>
      <c r="KX18" s="351"/>
      <c r="KY18" s="352"/>
      <c r="KZ18" s="350"/>
      <c r="LA18" s="351"/>
      <c r="LB18" s="351"/>
      <c r="LC18" s="351"/>
      <c r="LD18" s="352"/>
      <c r="LE18" s="350"/>
      <c r="LF18" s="351"/>
      <c r="LG18" s="351"/>
      <c r="LH18" s="351"/>
      <c r="LI18" s="352"/>
      <c r="LJ18" s="350"/>
      <c r="LK18" s="351"/>
      <c r="LL18" s="351"/>
      <c r="LM18" s="351"/>
      <c r="LN18" s="352"/>
      <c r="LO18" s="350"/>
      <c r="LP18" s="351"/>
      <c r="LQ18" s="351"/>
      <c r="LR18" s="351"/>
      <c r="LS18" s="352"/>
      <c r="LT18" s="350"/>
      <c r="LU18" s="351"/>
      <c r="LV18" s="351"/>
      <c r="LW18" s="351"/>
      <c r="LX18" s="352"/>
      <c r="LY18" s="350"/>
      <c r="LZ18" s="351"/>
      <c r="MA18" s="351"/>
      <c r="MB18" s="351"/>
      <c r="MC18" s="352"/>
      <c r="MD18" s="350"/>
      <c r="ME18" s="351"/>
      <c r="MF18" s="351"/>
      <c r="MG18" s="351"/>
      <c r="MH18" s="352"/>
      <c r="MI18" s="350"/>
      <c r="MJ18" s="351"/>
      <c r="MK18" s="351"/>
      <c r="ML18" s="351"/>
      <c r="MM18" s="352"/>
      <c r="MN18" s="350"/>
      <c r="MO18" s="351"/>
      <c r="MP18" s="351"/>
      <c r="MQ18" s="351"/>
      <c r="MR18" s="352"/>
      <c r="MS18" s="350"/>
      <c r="MT18" s="351"/>
      <c r="MU18" s="351"/>
      <c r="MV18" s="351"/>
      <c r="MW18" s="352"/>
      <c r="MX18" s="350"/>
      <c r="MY18" s="351"/>
      <c r="MZ18" s="351"/>
      <c r="NA18" s="351"/>
      <c r="NB18" s="352"/>
      <c r="NC18" s="350"/>
      <c r="ND18" s="351"/>
      <c r="NE18" s="351"/>
      <c r="NF18" s="351"/>
      <c r="NG18" s="352"/>
      <c r="NH18" s="350"/>
      <c r="NI18" s="351"/>
      <c r="NJ18" s="351"/>
      <c r="NK18" s="351"/>
      <c r="NL18" s="352"/>
      <c r="NM18" s="350"/>
      <c r="NN18" s="351"/>
      <c r="NO18" s="351"/>
      <c r="NP18" s="351"/>
      <c r="NQ18" s="352"/>
      <c r="NR18" s="350"/>
      <c r="NS18" s="351"/>
      <c r="NT18" s="351"/>
      <c r="NU18" s="351"/>
      <c r="NV18" s="352"/>
      <c r="NW18" s="350"/>
      <c r="NX18" s="351"/>
      <c r="NY18" s="351"/>
      <c r="NZ18" s="351"/>
      <c r="OA18" s="352"/>
      <c r="OB18" s="350"/>
      <c r="OC18" s="351"/>
      <c r="OD18" s="351"/>
      <c r="OE18" s="351"/>
      <c r="OF18" s="352"/>
      <c r="OG18" s="350"/>
      <c r="OH18" s="351"/>
      <c r="OI18" s="351"/>
      <c r="OJ18" s="351"/>
      <c r="OK18" s="352"/>
      <c r="OL18" s="350"/>
      <c r="OM18" s="351"/>
      <c r="ON18" s="351"/>
      <c r="OO18" s="351"/>
      <c r="OP18" s="352"/>
      <c r="OQ18" s="350"/>
      <c r="OR18" s="351"/>
      <c r="OS18" s="351"/>
      <c r="OT18" s="351"/>
      <c r="OU18" s="352"/>
      <c r="OV18" s="350"/>
      <c r="OW18" s="351"/>
      <c r="OX18" s="351"/>
      <c r="OY18" s="351"/>
      <c r="OZ18" s="352"/>
      <c r="PA18" s="350"/>
      <c r="PB18" s="351"/>
      <c r="PC18" s="351"/>
      <c r="PD18" s="351"/>
      <c r="PE18" s="352"/>
      <c r="PF18" s="350"/>
      <c r="PG18" s="351"/>
      <c r="PH18" s="351"/>
      <c r="PI18" s="351"/>
      <c r="PJ18" s="352"/>
      <c r="PK18" s="350"/>
      <c r="PL18" s="351"/>
      <c r="PM18" s="351"/>
      <c r="PN18" s="351"/>
      <c r="PO18" s="352"/>
      <c r="PP18" s="350"/>
      <c r="PQ18" s="351"/>
      <c r="PR18" s="351"/>
      <c r="PS18" s="351"/>
      <c r="PT18" s="352"/>
      <c r="PU18" s="350"/>
      <c r="PV18" s="351"/>
      <c r="PW18" s="351"/>
      <c r="PX18" s="351"/>
      <c r="PY18" s="352"/>
      <c r="PZ18" s="350"/>
      <c r="QA18" s="351"/>
      <c r="QB18" s="351"/>
      <c r="QC18" s="351"/>
      <c r="QD18" s="352"/>
      <c r="QE18" s="350"/>
      <c r="QF18" s="351"/>
      <c r="QG18" s="351"/>
      <c r="QH18" s="351"/>
      <c r="QI18" s="352"/>
      <c r="QJ18" s="350"/>
      <c r="QK18" s="351"/>
      <c r="QL18" s="351"/>
      <c r="QM18" s="351"/>
      <c r="QN18" s="352"/>
      <c r="QO18" s="350"/>
      <c r="QP18" s="351"/>
      <c r="QQ18" s="351"/>
      <c r="QR18" s="351"/>
      <c r="QS18" s="352"/>
      <c r="QT18" s="350"/>
      <c r="QU18" s="351"/>
      <c r="QV18" s="351"/>
      <c r="QW18" s="351"/>
      <c r="QX18" s="352"/>
      <c r="QY18" s="350"/>
      <c r="QZ18" s="351"/>
      <c r="RA18" s="351"/>
      <c r="RB18" s="351"/>
      <c r="RC18" s="352"/>
      <c r="RD18" s="350"/>
      <c r="RE18" s="351"/>
      <c r="RF18" s="351"/>
      <c r="RG18" s="351"/>
      <c r="RH18" s="352"/>
      <c r="RI18" s="350"/>
      <c r="RJ18" s="351"/>
      <c r="RK18" s="351"/>
      <c r="RL18" s="351"/>
      <c r="RM18" s="352"/>
      <c r="RN18" s="350"/>
      <c r="RO18" s="351"/>
      <c r="RP18" s="351"/>
      <c r="RQ18" s="351"/>
      <c r="RR18" s="352"/>
      <c r="RS18" s="350"/>
      <c r="RT18" s="351"/>
      <c r="RU18" s="351"/>
      <c r="RV18" s="351"/>
      <c r="RW18" s="352"/>
      <c r="RX18" s="350"/>
      <c r="RY18" s="351"/>
      <c r="RZ18" s="351"/>
      <c r="SA18" s="351"/>
      <c r="SB18" s="352"/>
      <c r="SC18" s="350"/>
      <c r="SD18" s="351"/>
      <c r="SE18" s="351"/>
      <c r="SF18" s="351"/>
      <c r="SG18" s="352"/>
      <c r="SH18" s="350"/>
      <c r="SI18" s="351"/>
      <c r="SJ18" s="351"/>
      <c r="SK18" s="351"/>
      <c r="SL18" s="352"/>
      <c r="SM18" s="350"/>
      <c r="SN18" s="351"/>
      <c r="SO18" s="351"/>
      <c r="SP18" s="351"/>
      <c r="SQ18" s="352"/>
      <c r="SR18" s="350"/>
      <c r="SS18" s="351"/>
      <c r="ST18" s="351"/>
      <c r="SU18" s="351"/>
      <c r="SV18" s="352"/>
      <c r="SW18" s="350"/>
      <c r="SX18" s="351"/>
      <c r="SY18" s="351"/>
      <c r="SZ18" s="351"/>
      <c r="TA18" s="352"/>
      <c r="TB18" s="354" t="n">
        <f aca="false">+AVERAGE(B18:IB18)</f>
        <v>4.87</v>
      </c>
    </row>
    <row r="19" customFormat="false" ht="15.5" hidden="false" customHeight="false" outlineLevel="0" collapsed="false">
      <c r="A19" s="356" t="s">
        <v>521</v>
      </c>
      <c r="B19" s="358" t="n">
        <v>3</v>
      </c>
      <c r="C19" s="359" t="n">
        <v>3</v>
      </c>
      <c r="D19" s="359" t="n">
        <v>5</v>
      </c>
      <c r="E19" s="359" t="n">
        <v>3</v>
      </c>
      <c r="F19" s="359" t="n">
        <v>3</v>
      </c>
      <c r="G19" s="358" t="n">
        <v>1</v>
      </c>
      <c r="H19" s="359" t="n">
        <v>3</v>
      </c>
      <c r="I19" s="359" t="n">
        <v>5</v>
      </c>
      <c r="J19" s="359" t="n">
        <v>1</v>
      </c>
      <c r="K19" s="359" t="n">
        <v>1</v>
      </c>
      <c r="L19" s="358" t="n">
        <v>1</v>
      </c>
      <c r="M19" s="359" t="n">
        <v>3</v>
      </c>
      <c r="N19" s="359" t="n">
        <v>3</v>
      </c>
      <c r="O19" s="359" t="n">
        <v>1</v>
      </c>
      <c r="P19" s="359" t="n">
        <v>1</v>
      </c>
      <c r="Q19" s="358" t="n">
        <v>1</v>
      </c>
      <c r="R19" s="359" t="n">
        <v>3</v>
      </c>
      <c r="S19" s="359" t="n">
        <v>5</v>
      </c>
      <c r="T19" s="359" t="n">
        <v>1</v>
      </c>
      <c r="U19" s="359" t="n">
        <v>3</v>
      </c>
      <c r="V19" s="358" t="n">
        <v>1</v>
      </c>
      <c r="W19" s="359" t="n">
        <v>5</v>
      </c>
      <c r="X19" s="359" t="n">
        <v>5</v>
      </c>
      <c r="Y19" s="359" t="n">
        <v>3</v>
      </c>
      <c r="Z19" s="359" t="n">
        <v>3</v>
      </c>
      <c r="AA19" s="358" t="n">
        <v>3</v>
      </c>
      <c r="AB19" s="359" t="n">
        <v>5</v>
      </c>
      <c r="AC19" s="359" t="n">
        <v>5</v>
      </c>
      <c r="AD19" s="359" t="n">
        <v>3</v>
      </c>
      <c r="AE19" s="359" t="n">
        <v>5</v>
      </c>
      <c r="AF19" s="358" t="n">
        <v>3</v>
      </c>
      <c r="AG19" s="359" t="n">
        <v>5</v>
      </c>
      <c r="AH19" s="359" t="n">
        <v>5</v>
      </c>
      <c r="AI19" s="359" t="n">
        <v>5</v>
      </c>
      <c r="AJ19" s="359" t="n">
        <v>5</v>
      </c>
      <c r="AK19" s="358" t="n">
        <v>3</v>
      </c>
      <c r="AL19" s="359" t="n">
        <v>5</v>
      </c>
      <c r="AM19" s="359" t="n">
        <v>5</v>
      </c>
      <c r="AN19" s="359" t="n">
        <v>5</v>
      </c>
      <c r="AO19" s="359" t="n">
        <v>5</v>
      </c>
      <c r="AP19" s="358" t="n">
        <v>1</v>
      </c>
      <c r="AQ19" s="359" t="n">
        <v>5</v>
      </c>
      <c r="AR19" s="359" t="n">
        <v>5</v>
      </c>
      <c r="AS19" s="359" t="n">
        <v>3</v>
      </c>
      <c r="AT19" s="359" t="n">
        <v>1</v>
      </c>
      <c r="AU19" s="358" t="n">
        <v>3</v>
      </c>
      <c r="AV19" s="359"/>
      <c r="AW19" s="359" t="n">
        <v>5</v>
      </c>
      <c r="AX19" s="359" t="n">
        <v>3</v>
      </c>
      <c r="AY19" s="359" t="n">
        <v>3</v>
      </c>
      <c r="AZ19" s="358" t="n">
        <v>1</v>
      </c>
      <c r="BA19" s="359"/>
      <c r="BB19" s="359" t="n">
        <v>5</v>
      </c>
      <c r="BC19" s="359" t="n">
        <v>1</v>
      </c>
      <c r="BD19" s="359" t="n">
        <v>1</v>
      </c>
      <c r="BE19" s="358" t="n">
        <v>1</v>
      </c>
      <c r="BF19" s="359" t="n">
        <v>5</v>
      </c>
      <c r="BG19" s="359" t="n">
        <v>5</v>
      </c>
      <c r="BH19" s="359" t="n">
        <v>1</v>
      </c>
      <c r="BI19" s="359" t="n">
        <v>1</v>
      </c>
      <c r="BJ19" s="358" t="n">
        <v>3</v>
      </c>
      <c r="BK19" s="359" t="n">
        <v>5</v>
      </c>
      <c r="BL19" s="359" t="n">
        <v>3</v>
      </c>
      <c r="BM19" s="359" t="n">
        <v>3</v>
      </c>
      <c r="BN19" s="359" t="n">
        <v>3</v>
      </c>
      <c r="BO19" s="358" t="n">
        <v>5</v>
      </c>
      <c r="BP19" s="359"/>
      <c r="BQ19" s="359" t="n">
        <v>5</v>
      </c>
      <c r="BR19" s="359" t="n">
        <v>3</v>
      </c>
      <c r="BS19" s="359" t="n">
        <v>5</v>
      </c>
      <c r="BT19" s="358" t="n">
        <v>3</v>
      </c>
      <c r="BU19" s="359" t="n">
        <v>5</v>
      </c>
      <c r="BV19" s="359" t="n">
        <v>5</v>
      </c>
      <c r="BW19" s="359" t="n">
        <v>3</v>
      </c>
      <c r="BX19" s="359" t="n">
        <v>5</v>
      </c>
      <c r="BY19" s="358" t="n">
        <v>5</v>
      </c>
      <c r="BZ19" s="358" t="n">
        <v>5</v>
      </c>
      <c r="CA19" s="359" t="n">
        <v>5</v>
      </c>
      <c r="CB19" s="359" t="n">
        <v>3</v>
      </c>
      <c r="CC19" s="359" t="n">
        <v>5</v>
      </c>
      <c r="CD19" s="358"/>
      <c r="CE19" s="359"/>
      <c r="CF19" s="359"/>
      <c r="CG19" s="359"/>
      <c r="CH19" s="359"/>
      <c r="CI19" s="358"/>
      <c r="CJ19" s="359"/>
      <c r="CK19" s="359"/>
      <c r="CL19" s="359"/>
      <c r="CM19" s="359"/>
      <c r="CN19" s="358"/>
      <c r="CO19" s="359"/>
      <c r="CP19" s="359"/>
      <c r="CQ19" s="359"/>
      <c r="CR19" s="359"/>
      <c r="CS19" s="358"/>
      <c r="CT19" s="359"/>
      <c r="CU19" s="359"/>
      <c r="CV19" s="359"/>
      <c r="CW19" s="359"/>
      <c r="CX19" s="358"/>
      <c r="CY19" s="359"/>
      <c r="CZ19" s="359"/>
      <c r="DA19" s="359"/>
      <c r="DB19" s="359"/>
      <c r="DC19" s="358"/>
      <c r="DD19" s="359"/>
      <c r="DE19" s="359"/>
      <c r="DF19" s="359"/>
      <c r="DG19" s="359"/>
      <c r="DH19" s="358"/>
      <c r="DI19" s="359"/>
      <c r="DJ19" s="359"/>
      <c r="DK19" s="359"/>
      <c r="DL19" s="359"/>
      <c r="DM19" s="358"/>
      <c r="DN19" s="359"/>
      <c r="DO19" s="359"/>
      <c r="DP19" s="359"/>
      <c r="DQ19" s="359"/>
      <c r="DR19" s="358"/>
      <c r="DS19" s="359"/>
      <c r="DT19" s="359"/>
      <c r="DU19" s="359"/>
      <c r="DV19" s="359"/>
      <c r="DW19" s="358"/>
      <c r="DX19" s="359"/>
      <c r="DY19" s="359"/>
      <c r="DZ19" s="359"/>
      <c r="EA19" s="359"/>
      <c r="EB19" s="358"/>
      <c r="EC19" s="359"/>
      <c r="ED19" s="359"/>
      <c r="EE19" s="359"/>
      <c r="EF19" s="359"/>
      <c r="EG19" s="358"/>
      <c r="EH19" s="359"/>
      <c r="EI19" s="359"/>
      <c r="EJ19" s="359"/>
      <c r="EK19" s="359"/>
      <c r="EL19" s="358"/>
      <c r="EM19" s="359"/>
      <c r="EN19" s="359"/>
      <c r="EO19" s="359"/>
      <c r="EP19" s="359"/>
      <c r="EQ19" s="358"/>
      <c r="ER19" s="359"/>
      <c r="ES19" s="359"/>
      <c r="ET19" s="359"/>
      <c r="EU19" s="359"/>
      <c r="EV19" s="358"/>
      <c r="EW19" s="359"/>
      <c r="EX19" s="359"/>
      <c r="EY19" s="359"/>
      <c r="EZ19" s="359"/>
      <c r="FA19" s="358"/>
      <c r="FB19" s="359"/>
      <c r="FC19" s="359"/>
      <c r="FD19" s="359"/>
      <c r="FE19" s="359"/>
      <c r="FF19" s="358"/>
      <c r="FG19" s="359"/>
      <c r="FH19" s="359"/>
      <c r="FI19" s="359"/>
      <c r="FJ19" s="359"/>
      <c r="FK19" s="358"/>
      <c r="FL19" s="359"/>
      <c r="FM19" s="359"/>
      <c r="FN19" s="359"/>
      <c r="FO19" s="359"/>
      <c r="FP19" s="358"/>
      <c r="FQ19" s="359"/>
      <c r="FR19" s="359"/>
      <c r="FS19" s="359"/>
      <c r="FT19" s="359"/>
      <c r="FU19" s="358"/>
      <c r="FV19" s="359"/>
      <c r="FW19" s="359"/>
      <c r="FX19" s="359"/>
      <c r="FY19" s="359"/>
      <c r="FZ19" s="358"/>
      <c r="GA19" s="359"/>
      <c r="GB19" s="359"/>
      <c r="GC19" s="359"/>
      <c r="GD19" s="359"/>
      <c r="GE19" s="358"/>
      <c r="GF19" s="359"/>
      <c r="GG19" s="359"/>
      <c r="GH19" s="359"/>
      <c r="GI19" s="359"/>
      <c r="GJ19" s="358"/>
      <c r="GK19" s="359"/>
      <c r="GL19" s="359"/>
      <c r="GM19" s="359"/>
      <c r="GN19" s="359"/>
      <c r="GO19" s="358"/>
      <c r="GP19" s="359"/>
      <c r="GQ19" s="359"/>
      <c r="GR19" s="359"/>
      <c r="GS19" s="359"/>
      <c r="GT19" s="358"/>
      <c r="GU19" s="359"/>
      <c r="GV19" s="359"/>
      <c r="GW19" s="359"/>
      <c r="GX19" s="359"/>
      <c r="GY19" s="358"/>
      <c r="GZ19" s="359"/>
      <c r="HA19" s="359"/>
      <c r="HB19" s="359"/>
      <c r="HC19" s="359"/>
      <c r="HD19" s="358"/>
      <c r="HE19" s="359"/>
      <c r="HF19" s="359"/>
      <c r="HG19" s="359"/>
      <c r="HH19" s="359"/>
      <c r="HI19" s="358"/>
      <c r="HJ19" s="359"/>
      <c r="HK19" s="359"/>
      <c r="HL19" s="359"/>
      <c r="HM19" s="359"/>
      <c r="HN19" s="358"/>
      <c r="HO19" s="359"/>
      <c r="HP19" s="359"/>
      <c r="HQ19" s="359"/>
      <c r="HR19" s="359"/>
      <c r="HS19" s="358"/>
      <c r="HT19" s="359"/>
      <c r="HU19" s="359"/>
      <c r="HV19" s="359"/>
      <c r="HW19" s="359"/>
      <c r="HX19" s="358"/>
      <c r="HY19" s="359"/>
      <c r="HZ19" s="359"/>
      <c r="IA19" s="359"/>
      <c r="IB19" s="359"/>
      <c r="IC19" s="358"/>
      <c r="ID19" s="359"/>
      <c r="IE19" s="359"/>
      <c r="IF19" s="359"/>
      <c r="IG19" s="359"/>
      <c r="IH19" s="358"/>
      <c r="II19" s="359"/>
      <c r="IJ19" s="359"/>
      <c r="IK19" s="359"/>
      <c r="IL19" s="359"/>
      <c r="IM19" s="358"/>
      <c r="IN19" s="359"/>
      <c r="IO19" s="359"/>
      <c r="IP19" s="359"/>
      <c r="IQ19" s="359"/>
      <c r="IR19" s="358"/>
      <c r="IS19" s="359"/>
      <c r="IT19" s="359"/>
      <c r="IU19" s="359"/>
      <c r="IV19" s="359"/>
      <c r="IW19" s="358"/>
      <c r="IX19" s="359"/>
      <c r="IY19" s="359"/>
      <c r="IZ19" s="359"/>
      <c r="JA19" s="359"/>
      <c r="JB19" s="358"/>
      <c r="JC19" s="359"/>
      <c r="JD19" s="359"/>
      <c r="JE19" s="359"/>
      <c r="JF19" s="359"/>
      <c r="JG19" s="358"/>
      <c r="JH19" s="359"/>
      <c r="JI19" s="359"/>
      <c r="JJ19" s="359"/>
      <c r="JK19" s="359"/>
      <c r="JL19" s="358"/>
      <c r="JM19" s="359"/>
      <c r="JN19" s="359"/>
      <c r="JO19" s="359"/>
      <c r="JP19" s="359"/>
      <c r="JQ19" s="358"/>
      <c r="JR19" s="359"/>
      <c r="JS19" s="359"/>
      <c r="JT19" s="359"/>
      <c r="JU19" s="359"/>
      <c r="JV19" s="358"/>
      <c r="JW19" s="359"/>
      <c r="JX19" s="359"/>
      <c r="JY19" s="359"/>
      <c r="JZ19" s="359"/>
      <c r="KA19" s="358"/>
      <c r="KB19" s="359"/>
      <c r="KC19" s="359"/>
      <c r="KD19" s="359"/>
      <c r="KE19" s="359"/>
      <c r="KF19" s="358"/>
      <c r="KG19" s="359"/>
      <c r="KH19" s="359"/>
      <c r="KI19" s="359"/>
      <c r="KJ19" s="359"/>
      <c r="KK19" s="358"/>
      <c r="KL19" s="359"/>
      <c r="KM19" s="359"/>
      <c r="KN19" s="359"/>
      <c r="KO19" s="359"/>
      <c r="KP19" s="358"/>
      <c r="KQ19" s="359"/>
      <c r="KR19" s="359"/>
      <c r="KS19" s="359"/>
      <c r="KT19" s="359"/>
      <c r="KU19" s="358"/>
      <c r="KV19" s="359"/>
      <c r="KW19" s="359"/>
      <c r="KX19" s="359"/>
      <c r="KY19" s="359"/>
      <c r="KZ19" s="358"/>
      <c r="LA19" s="359"/>
      <c r="LB19" s="359"/>
      <c r="LC19" s="359"/>
      <c r="LD19" s="359"/>
      <c r="LE19" s="358"/>
      <c r="LF19" s="359"/>
      <c r="LG19" s="359"/>
      <c r="LH19" s="359"/>
      <c r="LI19" s="359"/>
      <c r="LJ19" s="358"/>
      <c r="LK19" s="359"/>
      <c r="LL19" s="359"/>
      <c r="LM19" s="359"/>
      <c r="LN19" s="359"/>
      <c r="LO19" s="358"/>
      <c r="LP19" s="359"/>
      <c r="LQ19" s="359"/>
      <c r="LR19" s="359"/>
      <c r="LS19" s="359"/>
      <c r="LT19" s="358"/>
      <c r="LU19" s="359"/>
      <c r="LV19" s="359"/>
      <c r="LW19" s="359"/>
      <c r="LX19" s="359"/>
      <c r="LY19" s="358"/>
      <c r="LZ19" s="359"/>
      <c r="MA19" s="359"/>
      <c r="MB19" s="359"/>
      <c r="MC19" s="359"/>
      <c r="MD19" s="358"/>
      <c r="ME19" s="359"/>
      <c r="MF19" s="359"/>
      <c r="MG19" s="359"/>
      <c r="MH19" s="359"/>
      <c r="MI19" s="358"/>
      <c r="MJ19" s="359"/>
      <c r="MK19" s="359"/>
      <c r="ML19" s="359"/>
      <c r="MM19" s="359"/>
      <c r="MN19" s="358"/>
      <c r="MO19" s="359"/>
      <c r="MP19" s="359"/>
      <c r="MQ19" s="359"/>
      <c r="MR19" s="359"/>
      <c r="MS19" s="358"/>
      <c r="MT19" s="359"/>
      <c r="MU19" s="359"/>
      <c r="MV19" s="359"/>
      <c r="MW19" s="359"/>
      <c r="MX19" s="358"/>
      <c r="MY19" s="359"/>
      <c r="MZ19" s="359"/>
      <c r="NA19" s="359"/>
      <c r="NB19" s="359"/>
      <c r="NC19" s="358"/>
      <c r="ND19" s="359"/>
      <c r="NE19" s="359"/>
      <c r="NF19" s="359"/>
      <c r="NG19" s="359"/>
      <c r="NH19" s="358"/>
      <c r="NI19" s="359"/>
      <c r="NJ19" s="359"/>
      <c r="NK19" s="359"/>
      <c r="NL19" s="359"/>
      <c r="NM19" s="358"/>
      <c r="NN19" s="359"/>
      <c r="NO19" s="359"/>
      <c r="NP19" s="359"/>
      <c r="NQ19" s="359"/>
      <c r="NR19" s="358"/>
      <c r="NS19" s="359"/>
      <c r="NT19" s="359"/>
      <c r="NU19" s="359"/>
      <c r="NV19" s="359"/>
      <c r="NW19" s="358"/>
      <c r="NX19" s="359"/>
      <c r="NY19" s="359"/>
      <c r="NZ19" s="359"/>
      <c r="OA19" s="359"/>
      <c r="OB19" s="358"/>
      <c r="OC19" s="359"/>
      <c r="OD19" s="359"/>
      <c r="OE19" s="359"/>
      <c r="OF19" s="359"/>
      <c r="OG19" s="358"/>
      <c r="OH19" s="359"/>
      <c r="OI19" s="359"/>
      <c r="OJ19" s="359"/>
      <c r="OK19" s="359"/>
      <c r="OL19" s="358"/>
      <c r="OM19" s="359"/>
      <c r="ON19" s="359"/>
      <c r="OO19" s="359"/>
      <c r="OP19" s="359"/>
      <c r="OQ19" s="358"/>
      <c r="OR19" s="359"/>
      <c r="OS19" s="359"/>
      <c r="OT19" s="359"/>
      <c r="OU19" s="359"/>
      <c r="OV19" s="358"/>
      <c r="OW19" s="359"/>
      <c r="OX19" s="359"/>
      <c r="OY19" s="359"/>
      <c r="OZ19" s="359"/>
      <c r="PA19" s="358"/>
      <c r="PB19" s="359"/>
      <c r="PC19" s="359"/>
      <c r="PD19" s="359"/>
      <c r="PE19" s="359"/>
      <c r="PF19" s="358"/>
      <c r="PG19" s="359"/>
      <c r="PH19" s="359"/>
      <c r="PI19" s="359"/>
      <c r="PJ19" s="359"/>
      <c r="PK19" s="358"/>
      <c r="PL19" s="359"/>
      <c r="PM19" s="359"/>
      <c r="PN19" s="359"/>
      <c r="PO19" s="359"/>
      <c r="PP19" s="358"/>
      <c r="PQ19" s="359"/>
      <c r="PR19" s="359"/>
      <c r="PS19" s="359"/>
      <c r="PT19" s="359"/>
      <c r="PU19" s="358"/>
      <c r="PV19" s="359"/>
      <c r="PW19" s="359"/>
      <c r="PX19" s="359"/>
      <c r="PY19" s="359"/>
      <c r="PZ19" s="358"/>
      <c r="QA19" s="359"/>
      <c r="QB19" s="359"/>
      <c r="QC19" s="359"/>
      <c r="QD19" s="359"/>
      <c r="QE19" s="358"/>
      <c r="QF19" s="359"/>
      <c r="QG19" s="359"/>
      <c r="QH19" s="359"/>
      <c r="QI19" s="359"/>
      <c r="QJ19" s="358"/>
      <c r="QK19" s="359"/>
      <c r="QL19" s="359"/>
      <c r="QM19" s="359"/>
      <c r="QN19" s="359"/>
      <c r="QO19" s="358"/>
      <c r="QP19" s="359"/>
      <c r="QQ19" s="359"/>
      <c r="QR19" s="359"/>
      <c r="QS19" s="359"/>
      <c r="QT19" s="358"/>
      <c r="QU19" s="359"/>
      <c r="QV19" s="359"/>
      <c r="QW19" s="359"/>
      <c r="QX19" s="359"/>
      <c r="QY19" s="358"/>
      <c r="QZ19" s="359"/>
      <c r="RA19" s="359"/>
      <c r="RB19" s="359"/>
      <c r="RC19" s="359"/>
      <c r="RD19" s="358"/>
      <c r="RE19" s="359"/>
      <c r="RF19" s="359"/>
      <c r="RG19" s="359"/>
      <c r="RH19" s="359"/>
      <c r="RI19" s="358"/>
      <c r="RJ19" s="359"/>
      <c r="RK19" s="359"/>
      <c r="RL19" s="359"/>
      <c r="RM19" s="359"/>
      <c r="RN19" s="358"/>
      <c r="RO19" s="359"/>
      <c r="RP19" s="359"/>
      <c r="RQ19" s="359"/>
      <c r="RR19" s="359"/>
      <c r="RS19" s="358"/>
      <c r="RT19" s="359"/>
      <c r="RU19" s="359"/>
      <c r="RV19" s="359"/>
      <c r="RW19" s="359"/>
      <c r="RX19" s="358"/>
      <c r="RY19" s="359"/>
      <c r="RZ19" s="359"/>
      <c r="SA19" s="359"/>
      <c r="SB19" s="359"/>
      <c r="SC19" s="358"/>
      <c r="SD19" s="359"/>
      <c r="SE19" s="359"/>
      <c r="SF19" s="359"/>
      <c r="SG19" s="359"/>
      <c r="SH19" s="358"/>
      <c r="SI19" s="359"/>
      <c r="SJ19" s="359"/>
      <c r="SK19" s="359"/>
      <c r="SL19" s="359"/>
      <c r="SM19" s="358"/>
      <c r="SN19" s="359"/>
      <c r="SO19" s="359"/>
      <c r="SP19" s="359"/>
      <c r="SQ19" s="359"/>
      <c r="SR19" s="358"/>
      <c r="SS19" s="359"/>
      <c r="ST19" s="359"/>
      <c r="SU19" s="359"/>
      <c r="SV19" s="359"/>
      <c r="SW19" s="358"/>
      <c r="SX19" s="359"/>
      <c r="SY19" s="359"/>
      <c r="SZ19" s="359"/>
      <c r="TA19" s="359"/>
      <c r="TB19" s="354" t="n">
        <f aca="false">+AVERAGE(B19:IB19)</f>
        <v>3.41558441558442</v>
      </c>
    </row>
    <row r="20" customFormat="false" ht="15.5" hidden="false" customHeight="false" outlineLevel="0" collapsed="false">
      <c r="A20" s="356" t="s">
        <v>521</v>
      </c>
      <c r="B20" s="358" t="n">
        <v>3</v>
      </c>
      <c r="C20" s="359" t="n">
        <v>3</v>
      </c>
      <c r="D20" s="359" t="n">
        <v>5</v>
      </c>
      <c r="E20" s="359" t="n">
        <v>3</v>
      </c>
      <c r="F20" s="359" t="n">
        <v>3</v>
      </c>
      <c r="G20" s="358" t="n">
        <v>1</v>
      </c>
      <c r="H20" s="359" t="n">
        <v>3</v>
      </c>
      <c r="I20" s="359" t="n">
        <v>5</v>
      </c>
      <c r="J20" s="359" t="n">
        <v>1</v>
      </c>
      <c r="K20" s="359" t="n">
        <v>1</v>
      </c>
      <c r="L20" s="358" t="n">
        <v>1</v>
      </c>
      <c r="M20" s="359" t="n">
        <v>3</v>
      </c>
      <c r="N20" s="359" t="n">
        <v>3</v>
      </c>
      <c r="O20" s="359" t="n">
        <v>1</v>
      </c>
      <c r="P20" s="359" t="n">
        <v>1</v>
      </c>
      <c r="Q20" s="358" t="n">
        <v>1</v>
      </c>
      <c r="R20" s="359" t="n">
        <v>3</v>
      </c>
      <c r="S20" s="359" t="n">
        <v>5</v>
      </c>
      <c r="T20" s="359" t="n">
        <v>1</v>
      </c>
      <c r="U20" s="359" t="n">
        <v>3</v>
      </c>
      <c r="V20" s="358" t="n">
        <v>1</v>
      </c>
      <c r="W20" s="359" t="n">
        <v>5</v>
      </c>
      <c r="X20" s="359" t="n">
        <v>5</v>
      </c>
      <c r="Y20" s="359" t="n">
        <v>3</v>
      </c>
      <c r="Z20" s="359" t="n">
        <v>3</v>
      </c>
      <c r="AA20" s="358" t="n">
        <v>3</v>
      </c>
      <c r="AB20" s="359" t="n">
        <v>5</v>
      </c>
      <c r="AC20" s="359" t="n">
        <v>5</v>
      </c>
      <c r="AD20" s="359" t="n">
        <v>3</v>
      </c>
      <c r="AE20" s="359" t="n">
        <v>5</v>
      </c>
      <c r="AF20" s="358" t="n">
        <v>3</v>
      </c>
      <c r="AG20" s="359" t="n">
        <v>5</v>
      </c>
      <c r="AH20" s="359" t="n">
        <v>5</v>
      </c>
      <c r="AI20" s="359" t="n">
        <v>5</v>
      </c>
      <c r="AJ20" s="359" t="n">
        <v>5</v>
      </c>
      <c r="AK20" s="358" t="n">
        <v>3</v>
      </c>
      <c r="AL20" s="359" t="n">
        <v>5</v>
      </c>
      <c r="AM20" s="359" t="n">
        <v>5</v>
      </c>
      <c r="AN20" s="359" t="n">
        <v>5</v>
      </c>
      <c r="AO20" s="359" t="n">
        <v>5</v>
      </c>
      <c r="AP20" s="358" t="n">
        <v>1</v>
      </c>
      <c r="AQ20" s="359" t="n">
        <v>5</v>
      </c>
      <c r="AR20" s="359" t="n">
        <v>5</v>
      </c>
      <c r="AS20" s="359" t="n">
        <v>3</v>
      </c>
      <c r="AT20" s="359" t="n">
        <v>1</v>
      </c>
      <c r="AU20" s="358" t="n">
        <v>3</v>
      </c>
      <c r="AV20" s="359"/>
      <c r="AW20" s="359" t="n">
        <v>5</v>
      </c>
      <c r="AX20" s="359" t="n">
        <v>3</v>
      </c>
      <c r="AY20" s="359" t="n">
        <v>3</v>
      </c>
      <c r="AZ20" s="358" t="n">
        <v>1</v>
      </c>
      <c r="BA20" s="359"/>
      <c r="BB20" s="359" t="n">
        <v>5</v>
      </c>
      <c r="BC20" s="359" t="n">
        <v>1</v>
      </c>
      <c r="BD20" s="359" t="n">
        <v>1</v>
      </c>
      <c r="BE20" s="358" t="n">
        <v>1</v>
      </c>
      <c r="BF20" s="359" t="n">
        <v>5</v>
      </c>
      <c r="BG20" s="359" t="n">
        <v>5</v>
      </c>
      <c r="BH20" s="359" t="n">
        <v>1</v>
      </c>
      <c r="BI20" s="359" t="n">
        <v>1</v>
      </c>
      <c r="BJ20" s="358" t="n">
        <v>3</v>
      </c>
      <c r="BK20" s="359" t="n">
        <v>5</v>
      </c>
      <c r="BL20" s="359" t="n">
        <v>3</v>
      </c>
      <c r="BM20" s="359" t="n">
        <v>3</v>
      </c>
      <c r="BN20" s="359" t="n">
        <v>3</v>
      </c>
      <c r="BO20" s="358" t="n">
        <v>5</v>
      </c>
      <c r="BP20" s="359"/>
      <c r="BQ20" s="359" t="n">
        <v>5</v>
      </c>
      <c r="BR20" s="359" t="n">
        <v>3</v>
      </c>
      <c r="BS20" s="359" t="n">
        <v>5</v>
      </c>
      <c r="BT20" s="358" t="n">
        <v>3</v>
      </c>
      <c r="BU20" s="359" t="n">
        <v>5</v>
      </c>
      <c r="BV20" s="359" t="n">
        <v>5</v>
      </c>
      <c r="BW20" s="359" t="n">
        <v>3</v>
      </c>
      <c r="BX20" s="359" t="n">
        <v>5</v>
      </c>
      <c r="BY20" s="358" t="n">
        <v>5</v>
      </c>
      <c r="BZ20" s="358" t="n">
        <v>5</v>
      </c>
      <c r="CA20" s="359" t="n">
        <v>5</v>
      </c>
      <c r="CB20" s="359" t="n">
        <v>3</v>
      </c>
      <c r="CC20" s="359" t="n">
        <v>5</v>
      </c>
      <c r="CD20" s="358"/>
      <c r="CE20" s="359"/>
      <c r="CF20" s="359"/>
      <c r="CG20" s="359"/>
      <c r="CH20" s="359"/>
      <c r="CI20" s="358"/>
      <c r="CJ20" s="359"/>
      <c r="CK20" s="359"/>
      <c r="CL20" s="359"/>
      <c r="CM20" s="359"/>
      <c r="CN20" s="358"/>
      <c r="CO20" s="359"/>
      <c r="CP20" s="359"/>
      <c r="CQ20" s="359"/>
      <c r="CR20" s="359"/>
      <c r="CS20" s="358"/>
      <c r="CT20" s="359"/>
      <c r="CU20" s="359"/>
      <c r="CV20" s="359"/>
      <c r="CW20" s="359"/>
      <c r="CX20" s="358"/>
      <c r="CY20" s="359"/>
      <c r="CZ20" s="359"/>
      <c r="DA20" s="359"/>
      <c r="DB20" s="359"/>
      <c r="DC20" s="358"/>
      <c r="DD20" s="359"/>
      <c r="DE20" s="359"/>
      <c r="DF20" s="359"/>
      <c r="DG20" s="359"/>
      <c r="DH20" s="358"/>
      <c r="DI20" s="359"/>
      <c r="DJ20" s="359"/>
      <c r="DK20" s="359"/>
      <c r="DL20" s="359"/>
      <c r="DM20" s="358"/>
      <c r="DN20" s="359"/>
      <c r="DO20" s="359"/>
      <c r="DP20" s="359"/>
      <c r="DQ20" s="359"/>
      <c r="DR20" s="358"/>
      <c r="DS20" s="359"/>
      <c r="DT20" s="359"/>
      <c r="DU20" s="359"/>
      <c r="DV20" s="359"/>
      <c r="DW20" s="358"/>
      <c r="DX20" s="359"/>
      <c r="DY20" s="359"/>
      <c r="DZ20" s="359"/>
      <c r="EA20" s="359"/>
      <c r="EB20" s="358"/>
      <c r="EC20" s="359"/>
      <c r="ED20" s="359"/>
      <c r="EE20" s="359"/>
      <c r="EF20" s="359"/>
      <c r="EG20" s="358"/>
      <c r="EH20" s="359"/>
      <c r="EI20" s="359"/>
      <c r="EJ20" s="359"/>
      <c r="EK20" s="359"/>
      <c r="EL20" s="358"/>
      <c r="EM20" s="359"/>
      <c r="EN20" s="359"/>
      <c r="EO20" s="359"/>
      <c r="EP20" s="359"/>
      <c r="EQ20" s="358"/>
      <c r="ER20" s="359"/>
      <c r="ES20" s="359"/>
      <c r="ET20" s="359"/>
      <c r="EU20" s="359"/>
      <c r="EV20" s="358"/>
      <c r="EW20" s="359"/>
      <c r="EX20" s="359"/>
      <c r="EY20" s="359"/>
      <c r="EZ20" s="359"/>
      <c r="FA20" s="358"/>
      <c r="FB20" s="359"/>
      <c r="FC20" s="359"/>
      <c r="FD20" s="359"/>
      <c r="FE20" s="359"/>
      <c r="FF20" s="358"/>
      <c r="FG20" s="359"/>
      <c r="FH20" s="359"/>
      <c r="FI20" s="359"/>
      <c r="FJ20" s="359"/>
      <c r="FK20" s="358"/>
      <c r="FL20" s="359"/>
      <c r="FM20" s="359"/>
      <c r="FN20" s="359"/>
      <c r="FO20" s="359"/>
      <c r="FP20" s="358"/>
      <c r="FQ20" s="359"/>
      <c r="FR20" s="359"/>
      <c r="FS20" s="359"/>
      <c r="FT20" s="359"/>
      <c r="FU20" s="358"/>
      <c r="FV20" s="359"/>
      <c r="FW20" s="359"/>
      <c r="FX20" s="359"/>
      <c r="FY20" s="359"/>
      <c r="FZ20" s="358"/>
      <c r="GA20" s="359"/>
      <c r="GB20" s="359"/>
      <c r="GC20" s="359"/>
      <c r="GD20" s="359"/>
      <c r="GE20" s="358"/>
      <c r="GF20" s="359"/>
      <c r="GG20" s="359"/>
      <c r="GH20" s="359"/>
      <c r="GI20" s="359"/>
      <c r="GJ20" s="358"/>
      <c r="GK20" s="359"/>
      <c r="GL20" s="359"/>
      <c r="GM20" s="359"/>
      <c r="GN20" s="359"/>
      <c r="GO20" s="358"/>
      <c r="GP20" s="359"/>
      <c r="GQ20" s="359"/>
      <c r="GR20" s="359"/>
      <c r="GS20" s="359"/>
      <c r="GT20" s="358"/>
      <c r="GU20" s="359"/>
      <c r="GV20" s="359"/>
      <c r="GW20" s="359"/>
      <c r="GX20" s="359"/>
      <c r="GY20" s="358"/>
      <c r="GZ20" s="359"/>
      <c r="HA20" s="359"/>
      <c r="HB20" s="359"/>
      <c r="HC20" s="359"/>
      <c r="HD20" s="358"/>
      <c r="HE20" s="359"/>
      <c r="HF20" s="359"/>
      <c r="HG20" s="359"/>
      <c r="HH20" s="359"/>
      <c r="HI20" s="358"/>
      <c r="HJ20" s="359"/>
      <c r="HK20" s="359"/>
      <c r="HL20" s="359"/>
      <c r="HM20" s="359"/>
      <c r="HN20" s="358"/>
      <c r="HO20" s="359"/>
      <c r="HP20" s="359"/>
      <c r="HQ20" s="359"/>
      <c r="HR20" s="359"/>
      <c r="HS20" s="358"/>
      <c r="HT20" s="359"/>
      <c r="HU20" s="359"/>
      <c r="HV20" s="359"/>
      <c r="HW20" s="359"/>
      <c r="HX20" s="358"/>
      <c r="HY20" s="359"/>
      <c r="HZ20" s="359"/>
      <c r="IA20" s="359"/>
      <c r="IB20" s="359"/>
      <c r="IC20" s="358"/>
      <c r="ID20" s="359"/>
      <c r="IE20" s="359"/>
      <c r="IF20" s="359"/>
      <c r="IG20" s="359"/>
      <c r="IH20" s="358"/>
      <c r="II20" s="359"/>
      <c r="IJ20" s="359"/>
      <c r="IK20" s="359"/>
      <c r="IL20" s="359"/>
      <c r="IM20" s="358"/>
      <c r="IN20" s="359"/>
      <c r="IO20" s="359"/>
      <c r="IP20" s="359"/>
      <c r="IQ20" s="359"/>
      <c r="IR20" s="358"/>
      <c r="IS20" s="359"/>
      <c r="IT20" s="359"/>
      <c r="IU20" s="359"/>
      <c r="IV20" s="359"/>
      <c r="IW20" s="358"/>
      <c r="IX20" s="359"/>
      <c r="IY20" s="359"/>
      <c r="IZ20" s="359"/>
      <c r="JA20" s="359"/>
      <c r="JB20" s="358"/>
      <c r="JC20" s="359"/>
      <c r="JD20" s="359"/>
      <c r="JE20" s="359"/>
      <c r="JF20" s="359"/>
      <c r="JG20" s="358"/>
      <c r="JH20" s="359"/>
      <c r="JI20" s="359"/>
      <c r="JJ20" s="359"/>
      <c r="JK20" s="359"/>
      <c r="JL20" s="358"/>
      <c r="JM20" s="359"/>
      <c r="JN20" s="359"/>
      <c r="JO20" s="359"/>
      <c r="JP20" s="359"/>
      <c r="JQ20" s="358"/>
      <c r="JR20" s="359"/>
      <c r="JS20" s="359"/>
      <c r="JT20" s="359"/>
      <c r="JU20" s="359"/>
      <c r="JV20" s="358"/>
      <c r="JW20" s="359"/>
      <c r="JX20" s="359"/>
      <c r="JY20" s="359"/>
      <c r="JZ20" s="359"/>
      <c r="KA20" s="358"/>
      <c r="KB20" s="359"/>
      <c r="KC20" s="359"/>
      <c r="KD20" s="359"/>
      <c r="KE20" s="359"/>
      <c r="KF20" s="358"/>
      <c r="KG20" s="359"/>
      <c r="KH20" s="359"/>
      <c r="KI20" s="359"/>
      <c r="KJ20" s="359"/>
      <c r="KK20" s="358"/>
      <c r="KL20" s="359"/>
      <c r="KM20" s="359"/>
      <c r="KN20" s="359"/>
      <c r="KO20" s="359"/>
      <c r="KP20" s="358"/>
      <c r="KQ20" s="359"/>
      <c r="KR20" s="359"/>
      <c r="KS20" s="359"/>
      <c r="KT20" s="359"/>
      <c r="KU20" s="358"/>
      <c r="KV20" s="359"/>
      <c r="KW20" s="359"/>
      <c r="KX20" s="359"/>
      <c r="KY20" s="359"/>
      <c r="KZ20" s="358"/>
      <c r="LA20" s="359"/>
      <c r="LB20" s="359"/>
      <c r="LC20" s="359"/>
      <c r="LD20" s="359"/>
      <c r="LE20" s="358"/>
      <c r="LF20" s="359"/>
      <c r="LG20" s="359"/>
      <c r="LH20" s="359"/>
      <c r="LI20" s="359"/>
      <c r="LJ20" s="358"/>
      <c r="LK20" s="359"/>
      <c r="LL20" s="359"/>
      <c r="LM20" s="359"/>
      <c r="LN20" s="359"/>
      <c r="LO20" s="358"/>
      <c r="LP20" s="359"/>
      <c r="LQ20" s="359"/>
      <c r="LR20" s="359"/>
      <c r="LS20" s="359"/>
      <c r="LT20" s="358"/>
      <c r="LU20" s="359"/>
      <c r="LV20" s="359"/>
      <c r="LW20" s="359"/>
      <c r="LX20" s="359"/>
      <c r="LY20" s="358"/>
      <c r="LZ20" s="359"/>
      <c r="MA20" s="359"/>
      <c r="MB20" s="359"/>
      <c r="MC20" s="359"/>
      <c r="MD20" s="358"/>
      <c r="ME20" s="359"/>
      <c r="MF20" s="359"/>
      <c r="MG20" s="359"/>
      <c r="MH20" s="359"/>
      <c r="MI20" s="358"/>
      <c r="MJ20" s="359"/>
      <c r="MK20" s="359"/>
      <c r="ML20" s="359"/>
      <c r="MM20" s="359"/>
      <c r="MN20" s="358"/>
      <c r="MO20" s="359"/>
      <c r="MP20" s="359"/>
      <c r="MQ20" s="359"/>
      <c r="MR20" s="359"/>
      <c r="MS20" s="358"/>
      <c r="MT20" s="359"/>
      <c r="MU20" s="359"/>
      <c r="MV20" s="359"/>
      <c r="MW20" s="359"/>
      <c r="MX20" s="358"/>
      <c r="MY20" s="359"/>
      <c r="MZ20" s="359"/>
      <c r="NA20" s="359"/>
      <c r="NB20" s="359"/>
      <c r="NC20" s="358"/>
      <c r="ND20" s="359"/>
      <c r="NE20" s="359"/>
      <c r="NF20" s="359"/>
      <c r="NG20" s="359"/>
      <c r="NH20" s="358"/>
      <c r="NI20" s="359"/>
      <c r="NJ20" s="359"/>
      <c r="NK20" s="359"/>
      <c r="NL20" s="359"/>
      <c r="NM20" s="358"/>
      <c r="NN20" s="359"/>
      <c r="NO20" s="359"/>
      <c r="NP20" s="359"/>
      <c r="NQ20" s="359"/>
      <c r="NR20" s="358"/>
      <c r="NS20" s="359"/>
      <c r="NT20" s="359"/>
      <c r="NU20" s="359"/>
      <c r="NV20" s="359"/>
      <c r="NW20" s="358"/>
      <c r="NX20" s="359"/>
      <c r="NY20" s="359"/>
      <c r="NZ20" s="359"/>
      <c r="OA20" s="359"/>
      <c r="OB20" s="358"/>
      <c r="OC20" s="359"/>
      <c r="OD20" s="359"/>
      <c r="OE20" s="359"/>
      <c r="OF20" s="359"/>
      <c r="OG20" s="358"/>
      <c r="OH20" s="359"/>
      <c r="OI20" s="359"/>
      <c r="OJ20" s="359"/>
      <c r="OK20" s="359"/>
      <c r="OL20" s="358"/>
      <c r="OM20" s="359"/>
      <c r="ON20" s="359"/>
      <c r="OO20" s="359"/>
      <c r="OP20" s="359"/>
      <c r="OQ20" s="358"/>
      <c r="OR20" s="359"/>
      <c r="OS20" s="359"/>
      <c r="OT20" s="359"/>
      <c r="OU20" s="359"/>
      <c r="OV20" s="358"/>
      <c r="OW20" s="359"/>
      <c r="OX20" s="359"/>
      <c r="OY20" s="359"/>
      <c r="OZ20" s="359"/>
      <c r="PA20" s="358"/>
      <c r="PB20" s="359"/>
      <c r="PC20" s="359"/>
      <c r="PD20" s="359"/>
      <c r="PE20" s="359"/>
      <c r="PF20" s="358"/>
      <c r="PG20" s="359"/>
      <c r="PH20" s="359"/>
      <c r="PI20" s="359"/>
      <c r="PJ20" s="359"/>
      <c r="PK20" s="358"/>
      <c r="PL20" s="359"/>
      <c r="PM20" s="359"/>
      <c r="PN20" s="359"/>
      <c r="PO20" s="359"/>
      <c r="PP20" s="358"/>
      <c r="PQ20" s="359"/>
      <c r="PR20" s="359"/>
      <c r="PS20" s="359"/>
      <c r="PT20" s="359"/>
      <c r="PU20" s="358"/>
      <c r="PV20" s="359"/>
      <c r="PW20" s="359"/>
      <c r="PX20" s="359"/>
      <c r="PY20" s="359"/>
      <c r="PZ20" s="358"/>
      <c r="QA20" s="359"/>
      <c r="QB20" s="359"/>
      <c r="QC20" s="359"/>
      <c r="QD20" s="359"/>
      <c r="QE20" s="358"/>
      <c r="QF20" s="359"/>
      <c r="QG20" s="359"/>
      <c r="QH20" s="359"/>
      <c r="QI20" s="359"/>
      <c r="QJ20" s="358"/>
      <c r="QK20" s="359"/>
      <c r="QL20" s="359"/>
      <c r="QM20" s="359"/>
      <c r="QN20" s="359"/>
      <c r="QO20" s="358"/>
      <c r="QP20" s="359"/>
      <c r="QQ20" s="359"/>
      <c r="QR20" s="359"/>
      <c r="QS20" s="359"/>
      <c r="QT20" s="358"/>
      <c r="QU20" s="359"/>
      <c r="QV20" s="359"/>
      <c r="QW20" s="359"/>
      <c r="QX20" s="359"/>
      <c r="QY20" s="358"/>
      <c r="QZ20" s="359"/>
      <c r="RA20" s="359"/>
      <c r="RB20" s="359"/>
      <c r="RC20" s="359"/>
      <c r="RD20" s="358"/>
      <c r="RE20" s="359"/>
      <c r="RF20" s="359"/>
      <c r="RG20" s="359"/>
      <c r="RH20" s="359"/>
      <c r="RI20" s="358"/>
      <c r="RJ20" s="359"/>
      <c r="RK20" s="359"/>
      <c r="RL20" s="359"/>
      <c r="RM20" s="359"/>
      <c r="RN20" s="358"/>
      <c r="RO20" s="359"/>
      <c r="RP20" s="359"/>
      <c r="RQ20" s="359"/>
      <c r="RR20" s="359"/>
      <c r="RS20" s="358"/>
      <c r="RT20" s="359"/>
      <c r="RU20" s="359"/>
      <c r="RV20" s="359"/>
      <c r="RW20" s="359"/>
      <c r="RX20" s="358"/>
      <c r="RY20" s="359"/>
      <c r="RZ20" s="359"/>
      <c r="SA20" s="359"/>
      <c r="SB20" s="359"/>
      <c r="SC20" s="358"/>
      <c r="SD20" s="359"/>
      <c r="SE20" s="359"/>
      <c r="SF20" s="359"/>
      <c r="SG20" s="359"/>
      <c r="SH20" s="358"/>
      <c r="SI20" s="359"/>
      <c r="SJ20" s="359"/>
      <c r="SK20" s="359"/>
      <c r="SL20" s="359"/>
      <c r="SM20" s="358"/>
      <c r="SN20" s="359"/>
      <c r="SO20" s="359"/>
      <c r="SP20" s="359"/>
      <c r="SQ20" s="359"/>
      <c r="SR20" s="358"/>
      <c r="SS20" s="359"/>
      <c r="ST20" s="359"/>
      <c r="SU20" s="359"/>
      <c r="SV20" s="359"/>
      <c r="SW20" s="358"/>
      <c r="SX20" s="359"/>
      <c r="SY20" s="359"/>
      <c r="SZ20" s="359"/>
      <c r="TA20" s="359"/>
      <c r="TB20" s="354" t="n">
        <f aca="false">+AVERAGE(B20:IB20)</f>
        <v>3.41558441558442</v>
      </c>
    </row>
    <row r="21" customFormat="false" ht="15.5" hidden="false" customHeight="false" outlineLevel="0" collapsed="false">
      <c r="A21" s="356" t="s">
        <v>521</v>
      </c>
      <c r="B21" s="358" t="n">
        <v>3</v>
      </c>
      <c r="C21" s="359" t="n">
        <v>3</v>
      </c>
      <c r="D21" s="359" t="n">
        <v>5</v>
      </c>
      <c r="E21" s="359" t="n">
        <v>3</v>
      </c>
      <c r="F21" s="359" t="n">
        <v>3</v>
      </c>
      <c r="G21" s="358" t="n">
        <v>1</v>
      </c>
      <c r="H21" s="359" t="n">
        <v>3</v>
      </c>
      <c r="I21" s="359" t="n">
        <v>5</v>
      </c>
      <c r="J21" s="359" t="n">
        <v>1</v>
      </c>
      <c r="K21" s="359" t="n">
        <v>1</v>
      </c>
      <c r="L21" s="358" t="n">
        <v>1</v>
      </c>
      <c r="M21" s="359" t="n">
        <v>3</v>
      </c>
      <c r="N21" s="359" t="n">
        <v>3</v>
      </c>
      <c r="O21" s="359" t="n">
        <v>1</v>
      </c>
      <c r="P21" s="359" t="n">
        <v>1</v>
      </c>
      <c r="Q21" s="358" t="n">
        <v>1</v>
      </c>
      <c r="R21" s="359" t="n">
        <v>3</v>
      </c>
      <c r="S21" s="359" t="n">
        <v>5</v>
      </c>
      <c r="T21" s="359" t="n">
        <v>1</v>
      </c>
      <c r="U21" s="359" t="n">
        <v>3</v>
      </c>
      <c r="V21" s="358" t="n">
        <v>1</v>
      </c>
      <c r="W21" s="359" t="n">
        <v>5</v>
      </c>
      <c r="X21" s="359" t="n">
        <v>5</v>
      </c>
      <c r="Y21" s="359" t="n">
        <v>3</v>
      </c>
      <c r="Z21" s="359" t="n">
        <v>3</v>
      </c>
      <c r="AA21" s="358" t="n">
        <v>3</v>
      </c>
      <c r="AB21" s="359" t="n">
        <v>5</v>
      </c>
      <c r="AC21" s="359" t="n">
        <v>5</v>
      </c>
      <c r="AD21" s="359" t="n">
        <v>3</v>
      </c>
      <c r="AE21" s="359" t="n">
        <v>5</v>
      </c>
      <c r="AF21" s="358" t="n">
        <v>3</v>
      </c>
      <c r="AG21" s="359" t="n">
        <v>5</v>
      </c>
      <c r="AH21" s="359" t="n">
        <v>5</v>
      </c>
      <c r="AI21" s="359" t="n">
        <v>5</v>
      </c>
      <c r="AJ21" s="359" t="n">
        <v>5</v>
      </c>
      <c r="AK21" s="358" t="n">
        <v>3</v>
      </c>
      <c r="AL21" s="359" t="n">
        <v>5</v>
      </c>
      <c r="AM21" s="359" t="n">
        <v>5</v>
      </c>
      <c r="AN21" s="359" t="n">
        <v>5</v>
      </c>
      <c r="AO21" s="359" t="n">
        <v>5</v>
      </c>
      <c r="AP21" s="358" t="n">
        <v>1</v>
      </c>
      <c r="AQ21" s="359" t="n">
        <v>5</v>
      </c>
      <c r="AR21" s="359" t="n">
        <v>5</v>
      </c>
      <c r="AS21" s="359" t="n">
        <v>3</v>
      </c>
      <c r="AT21" s="359" t="n">
        <v>1</v>
      </c>
      <c r="AU21" s="358" t="n">
        <v>3</v>
      </c>
      <c r="AV21" s="359"/>
      <c r="AW21" s="359" t="n">
        <v>5</v>
      </c>
      <c r="AX21" s="359" t="n">
        <v>3</v>
      </c>
      <c r="AY21" s="359" t="n">
        <v>3</v>
      </c>
      <c r="AZ21" s="358" t="n">
        <v>1</v>
      </c>
      <c r="BA21" s="359"/>
      <c r="BB21" s="359" t="n">
        <v>5</v>
      </c>
      <c r="BC21" s="359" t="n">
        <v>1</v>
      </c>
      <c r="BD21" s="359" t="n">
        <v>1</v>
      </c>
      <c r="BE21" s="358" t="n">
        <v>1</v>
      </c>
      <c r="BF21" s="359" t="n">
        <v>5</v>
      </c>
      <c r="BG21" s="359" t="n">
        <v>5</v>
      </c>
      <c r="BH21" s="359" t="n">
        <v>1</v>
      </c>
      <c r="BI21" s="359" t="n">
        <v>1</v>
      </c>
      <c r="BJ21" s="358" t="n">
        <v>3</v>
      </c>
      <c r="BK21" s="359" t="n">
        <v>5</v>
      </c>
      <c r="BL21" s="359" t="n">
        <v>3</v>
      </c>
      <c r="BM21" s="359" t="n">
        <v>3</v>
      </c>
      <c r="BN21" s="359" t="n">
        <v>3</v>
      </c>
      <c r="BO21" s="358" t="n">
        <v>5</v>
      </c>
      <c r="BP21" s="359"/>
      <c r="BQ21" s="359" t="n">
        <v>5</v>
      </c>
      <c r="BR21" s="359" t="n">
        <v>3</v>
      </c>
      <c r="BS21" s="359" t="n">
        <v>5</v>
      </c>
      <c r="BT21" s="358" t="n">
        <v>3</v>
      </c>
      <c r="BU21" s="359" t="n">
        <v>5</v>
      </c>
      <c r="BV21" s="359" t="n">
        <v>5</v>
      </c>
      <c r="BW21" s="359" t="n">
        <v>3</v>
      </c>
      <c r="BX21" s="359" t="n">
        <v>5</v>
      </c>
      <c r="BY21" s="358" t="n">
        <v>5</v>
      </c>
      <c r="BZ21" s="358" t="n">
        <v>5</v>
      </c>
      <c r="CA21" s="359" t="n">
        <v>5</v>
      </c>
      <c r="CB21" s="359" t="n">
        <v>3</v>
      </c>
      <c r="CC21" s="359" t="n">
        <v>5</v>
      </c>
      <c r="CD21" s="358"/>
      <c r="CE21" s="359"/>
      <c r="CF21" s="359"/>
      <c r="CG21" s="359"/>
      <c r="CH21" s="359"/>
      <c r="CI21" s="358"/>
      <c r="CJ21" s="359"/>
      <c r="CK21" s="359"/>
      <c r="CL21" s="359"/>
      <c r="CM21" s="359"/>
      <c r="CN21" s="358"/>
      <c r="CO21" s="359"/>
      <c r="CP21" s="359"/>
      <c r="CQ21" s="359"/>
      <c r="CR21" s="359"/>
      <c r="CS21" s="358"/>
      <c r="CT21" s="359"/>
      <c r="CU21" s="359"/>
      <c r="CV21" s="359"/>
      <c r="CW21" s="359"/>
      <c r="CX21" s="358"/>
      <c r="CY21" s="359"/>
      <c r="CZ21" s="359"/>
      <c r="DA21" s="359"/>
      <c r="DB21" s="359"/>
      <c r="DC21" s="358"/>
      <c r="DD21" s="359"/>
      <c r="DE21" s="359"/>
      <c r="DF21" s="359"/>
      <c r="DG21" s="359"/>
      <c r="DH21" s="358"/>
      <c r="DI21" s="359"/>
      <c r="DJ21" s="359"/>
      <c r="DK21" s="359"/>
      <c r="DL21" s="359"/>
      <c r="DM21" s="358"/>
      <c r="DN21" s="359"/>
      <c r="DO21" s="359"/>
      <c r="DP21" s="359"/>
      <c r="DQ21" s="359"/>
      <c r="DR21" s="358"/>
      <c r="DS21" s="359"/>
      <c r="DT21" s="359"/>
      <c r="DU21" s="359"/>
      <c r="DV21" s="359"/>
      <c r="DW21" s="358"/>
      <c r="DX21" s="359"/>
      <c r="DY21" s="359"/>
      <c r="DZ21" s="359"/>
      <c r="EA21" s="359"/>
      <c r="EB21" s="358"/>
      <c r="EC21" s="359"/>
      <c r="ED21" s="359"/>
      <c r="EE21" s="359"/>
      <c r="EF21" s="359"/>
      <c r="EG21" s="358"/>
      <c r="EH21" s="359"/>
      <c r="EI21" s="359"/>
      <c r="EJ21" s="359"/>
      <c r="EK21" s="359"/>
      <c r="EL21" s="358"/>
      <c r="EM21" s="359"/>
      <c r="EN21" s="359"/>
      <c r="EO21" s="359"/>
      <c r="EP21" s="359"/>
      <c r="EQ21" s="358"/>
      <c r="ER21" s="359"/>
      <c r="ES21" s="359"/>
      <c r="ET21" s="359"/>
      <c r="EU21" s="359"/>
      <c r="EV21" s="358"/>
      <c r="EW21" s="359"/>
      <c r="EX21" s="359"/>
      <c r="EY21" s="359"/>
      <c r="EZ21" s="359"/>
      <c r="FA21" s="358"/>
      <c r="FB21" s="359"/>
      <c r="FC21" s="359"/>
      <c r="FD21" s="359"/>
      <c r="FE21" s="359"/>
      <c r="FF21" s="358"/>
      <c r="FG21" s="359"/>
      <c r="FH21" s="359"/>
      <c r="FI21" s="359"/>
      <c r="FJ21" s="359"/>
      <c r="FK21" s="358"/>
      <c r="FL21" s="359"/>
      <c r="FM21" s="359"/>
      <c r="FN21" s="359"/>
      <c r="FO21" s="359"/>
      <c r="FP21" s="358"/>
      <c r="FQ21" s="359"/>
      <c r="FR21" s="359"/>
      <c r="FS21" s="359"/>
      <c r="FT21" s="359"/>
      <c r="FU21" s="358"/>
      <c r="FV21" s="359"/>
      <c r="FW21" s="359"/>
      <c r="FX21" s="359"/>
      <c r="FY21" s="359"/>
      <c r="FZ21" s="358"/>
      <c r="GA21" s="359"/>
      <c r="GB21" s="359"/>
      <c r="GC21" s="359"/>
      <c r="GD21" s="359"/>
      <c r="GE21" s="358"/>
      <c r="GF21" s="359"/>
      <c r="GG21" s="359"/>
      <c r="GH21" s="359"/>
      <c r="GI21" s="359"/>
      <c r="GJ21" s="358"/>
      <c r="GK21" s="359"/>
      <c r="GL21" s="359"/>
      <c r="GM21" s="359"/>
      <c r="GN21" s="359"/>
      <c r="GO21" s="358"/>
      <c r="GP21" s="359"/>
      <c r="GQ21" s="359"/>
      <c r="GR21" s="359"/>
      <c r="GS21" s="359"/>
      <c r="GT21" s="358"/>
      <c r="GU21" s="359"/>
      <c r="GV21" s="359"/>
      <c r="GW21" s="359"/>
      <c r="GX21" s="359"/>
      <c r="GY21" s="358"/>
      <c r="GZ21" s="359"/>
      <c r="HA21" s="359"/>
      <c r="HB21" s="359"/>
      <c r="HC21" s="359"/>
      <c r="HD21" s="358"/>
      <c r="HE21" s="359"/>
      <c r="HF21" s="359"/>
      <c r="HG21" s="359"/>
      <c r="HH21" s="359"/>
      <c r="HI21" s="358"/>
      <c r="HJ21" s="359"/>
      <c r="HK21" s="359"/>
      <c r="HL21" s="359"/>
      <c r="HM21" s="359"/>
      <c r="HN21" s="358"/>
      <c r="HO21" s="359"/>
      <c r="HP21" s="359"/>
      <c r="HQ21" s="359"/>
      <c r="HR21" s="359"/>
      <c r="HS21" s="358"/>
      <c r="HT21" s="359"/>
      <c r="HU21" s="359"/>
      <c r="HV21" s="359"/>
      <c r="HW21" s="359"/>
      <c r="HX21" s="358"/>
      <c r="HY21" s="359"/>
      <c r="HZ21" s="359"/>
      <c r="IA21" s="359"/>
      <c r="IB21" s="359"/>
      <c r="IC21" s="358"/>
      <c r="ID21" s="359"/>
      <c r="IE21" s="359"/>
      <c r="IF21" s="359"/>
      <c r="IG21" s="359"/>
      <c r="IH21" s="358"/>
      <c r="II21" s="359"/>
      <c r="IJ21" s="359"/>
      <c r="IK21" s="359"/>
      <c r="IL21" s="359"/>
      <c r="IM21" s="358"/>
      <c r="IN21" s="359"/>
      <c r="IO21" s="359"/>
      <c r="IP21" s="359"/>
      <c r="IQ21" s="359"/>
      <c r="IR21" s="358"/>
      <c r="IS21" s="359"/>
      <c r="IT21" s="359"/>
      <c r="IU21" s="359"/>
      <c r="IV21" s="359"/>
      <c r="IW21" s="358"/>
      <c r="IX21" s="359"/>
      <c r="IY21" s="359"/>
      <c r="IZ21" s="359"/>
      <c r="JA21" s="359"/>
      <c r="JB21" s="358"/>
      <c r="JC21" s="359"/>
      <c r="JD21" s="359"/>
      <c r="JE21" s="359"/>
      <c r="JF21" s="359"/>
      <c r="JG21" s="358"/>
      <c r="JH21" s="359"/>
      <c r="JI21" s="359"/>
      <c r="JJ21" s="359"/>
      <c r="JK21" s="359"/>
      <c r="JL21" s="358"/>
      <c r="JM21" s="359"/>
      <c r="JN21" s="359"/>
      <c r="JO21" s="359"/>
      <c r="JP21" s="359"/>
      <c r="JQ21" s="358"/>
      <c r="JR21" s="359"/>
      <c r="JS21" s="359"/>
      <c r="JT21" s="359"/>
      <c r="JU21" s="359"/>
      <c r="JV21" s="358"/>
      <c r="JW21" s="359"/>
      <c r="JX21" s="359"/>
      <c r="JY21" s="359"/>
      <c r="JZ21" s="359"/>
      <c r="KA21" s="358"/>
      <c r="KB21" s="359"/>
      <c r="KC21" s="359"/>
      <c r="KD21" s="359"/>
      <c r="KE21" s="359"/>
      <c r="KF21" s="358"/>
      <c r="KG21" s="359"/>
      <c r="KH21" s="359"/>
      <c r="KI21" s="359"/>
      <c r="KJ21" s="359"/>
      <c r="KK21" s="358"/>
      <c r="KL21" s="359"/>
      <c r="KM21" s="359"/>
      <c r="KN21" s="359"/>
      <c r="KO21" s="359"/>
      <c r="KP21" s="358"/>
      <c r="KQ21" s="359"/>
      <c r="KR21" s="359"/>
      <c r="KS21" s="359"/>
      <c r="KT21" s="359"/>
      <c r="KU21" s="358"/>
      <c r="KV21" s="359"/>
      <c r="KW21" s="359"/>
      <c r="KX21" s="359"/>
      <c r="KY21" s="359"/>
      <c r="KZ21" s="358"/>
      <c r="LA21" s="359"/>
      <c r="LB21" s="359"/>
      <c r="LC21" s="359"/>
      <c r="LD21" s="359"/>
      <c r="LE21" s="358"/>
      <c r="LF21" s="359"/>
      <c r="LG21" s="359"/>
      <c r="LH21" s="359"/>
      <c r="LI21" s="359"/>
      <c r="LJ21" s="358"/>
      <c r="LK21" s="359"/>
      <c r="LL21" s="359"/>
      <c r="LM21" s="359"/>
      <c r="LN21" s="359"/>
      <c r="LO21" s="358"/>
      <c r="LP21" s="359"/>
      <c r="LQ21" s="359"/>
      <c r="LR21" s="359"/>
      <c r="LS21" s="359"/>
      <c r="LT21" s="358"/>
      <c r="LU21" s="359"/>
      <c r="LV21" s="359"/>
      <c r="LW21" s="359"/>
      <c r="LX21" s="359"/>
      <c r="LY21" s="358"/>
      <c r="LZ21" s="359"/>
      <c r="MA21" s="359"/>
      <c r="MB21" s="359"/>
      <c r="MC21" s="359"/>
      <c r="MD21" s="358"/>
      <c r="ME21" s="359"/>
      <c r="MF21" s="359"/>
      <c r="MG21" s="359"/>
      <c r="MH21" s="359"/>
      <c r="MI21" s="358"/>
      <c r="MJ21" s="359"/>
      <c r="MK21" s="359"/>
      <c r="ML21" s="359"/>
      <c r="MM21" s="359"/>
      <c r="MN21" s="358"/>
      <c r="MO21" s="359"/>
      <c r="MP21" s="359"/>
      <c r="MQ21" s="359"/>
      <c r="MR21" s="359"/>
      <c r="MS21" s="358"/>
      <c r="MT21" s="359"/>
      <c r="MU21" s="359"/>
      <c r="MV21" s="359"/>
      <c r="MW21" s="359"/>
      <c r="MX21" s="358"/>
      <c r="MY21" s="359"/>
      <c r="MZ21" s="359"/>
      <c r="NA21" s="359"/>
      <c r="NB21" s="359"/>
      <c r="NC21" s="358"/>
      <c r="ND21" s="359"/>
      <c r="NE21" s="359"/>
      <c r="NF21" s="359"/>
      <c r="NG21" s="359"/>
      <c r="NH21" s="358"/>
      <c r="NI21" s="359"/>
      <c r="NJ21" s="359"/>
      <c r="NK21" s="359"/>
      <c r="NL21" s="359"/>
      <c r="NM21" s="358"/>
      <c r="NN21" s="359"/>
      <c r="NO21" s="359"/>
      <c r="NP21" s="359"/>
      <c r="NQ21" s="359"/>
      <c r="NR21" s="358"/>
      <c r="NS21" s="359"/>
      <c r="NT21" s="359"/>
      <c r="NU21" s="359"/>
      <c r="NV21" s="359"/>
      <c r="NW21" s="358"/>
      <c r="NX21" s="359"/>
      <c r="NY21" s="359"/>
      <c r="NZ21" s="359"/>
      <c r="OA21" s="359"/>
      <c r="OB21" s="358"/>
      <c r="OC21" s="359"/>
      <c r="OD21" s="359"/>
      <c r="OE21" s="359"/>
      <c r="OF21" s="359"/>
      <c r="OG21" s="358"/>
      <c r="OH21" s="359"/>
      <c r="OI21" s="359"/>
      <c r="OJ21" s="359"/>
      <c r="OK21" s="359"/>
      <c r="OL21" s="358"/>
      <c r="OM21" s="359"/>
      <c r="ON21" s="359"/>
      <c r="OO21" s="359"/>
      <c r="OP21" s="359"/>
      <c r="OQ21" s="358"/>
      <c r="OR21" s="359"/>
      <c r="OS21" s="359"/>
      <c r="OT21" s="359"/>
      <c r="OU21" s="359"/>
      <c r="OV21" s="358"/>
      <c r="OW21" s="359"/>
      <c r="OX21" s="359"/>
      <c r="OY21" s="359"/>
      <c r="OZ21" s="359"/>
      <c r="PA21" s="358"/>
      <c r="PB21" s="359"/>
      <c r="PC21" s="359"/>
      <c r="PD21" s="359"/>
      <c r="PE21" s="359"/>
      <c r="PF21" s="358"/>
      <c r="PG21" s="359"/>
      <c r="PH21" s="359"/>
      <c r="PI21" s="359"/>
      <c r="PJ21" s="359"/>
      <c r="PK21" s="358"/>
      <c r="PL21" s="359"/>
      <c r="PM21" s="359"/>
      <c r="PN21" s="359"/>
      <c r="PO21" s="359"/>
      <c r="PP21" s="358"/>
      <c r="PQ21" s="359"/>
      <c r="PR21" s="359"/>
      <c r="PS21" s="359"/>
      <c r="PT21" s="359"/>
      <c r="PU21" s="358"/>
      <c r="PV21" s="359"/>
      <c r="PW21" s="359"/>
      <c r="PX21" s="359"/>
      <c r="PY21" s="359"/>
      <c r="PZ21" s="358"/>
      <c r="QA21" s="359"/>
      <c r="QB21" s="359"/>
      <c r="QC21" s="359"/>
      <c r="QD21" s="359"/>
      <c r="QE21" s="358"/>
      <c r="QF21" s="359"/>
      <c r="QG21" s="359"/>
      <c r="QH21" s="359"/>
      <c r="QI21" s="359"/>
      <c r="QJ21" s="358"/>
      <c r="QK21" s="359"/>
      <c r="QL21" s="359"/>
      <c r="QM21" s="359"/>
      <c r="QN21" s="359"/>
      <c r="QO21" s="358"/>
      <c r="QP21" s="359"/>
      <c r="QQ21" s="359"/>
      <c r="QR21" s="359"/>
      <c r="QS21" s="359"/>
      <c r="QT21" s="358"/>
      <c r="QU21" s="359"/>
      <c r="QV21" s="359"/>
      <c r="QW21" s="359"/>
      <c r="QX21" s="359"/>
      <c r="QY21" s="358"/>
      <c r="QZ21" s="359"/>
      <c r="RA21" s="359"/>
      <c r="RB21" s="359"/>
      <c r="RC21" s="359"/>
      <c r="RD21" s="358"/>
      <c r="RE21" s="359"/>
      <c r="RF21" s="359"/>
      <c r="RG21" s="359"/>
      <c r="RH21" s="359"/>
      <c r="RI21" s="358"/>
      <c r="RJ21" s="359"/>
      <c r="RK21" s="359"/>
      <c r="RL21" s="359"/>
      <c r="RM21" s="359"/>
      <c r="RN21" s="358"/>
      <c r="RO21" s="359"/>
      <c r="RP21" s="359"/>
      <c r="RQ21" s="359"/>
      <c r="RR21" s="359"/>
      <c r="RS21" s="358"/>
      <c r="RT21" s="359"/>
      <c r="RU21" s="359"/>
      <c r="RV21" s="359"/>
      <c r="RW21" s="359"/>
      <c r="RX21" s="358"/>
      <c r="RY21" s="359"/>
      <c r="RZ21" s="359"/>
      <c r="SA21" s="359"/>
      <c r="SB21" s="359"/>
      <c r="SC21" s="358"/>
      <c r="SD21" s="359"/>
      <c r="SE21" s="359"/>
      <c r="SF21" s="359"/>
      <c r="SG21" s="359"/>
      <c r="SH21" s="358"/>
      <c r="SI21" s="359"/>
      <c r="SJ21" s="359"/>
      <c r="SK21" s="359"/>
      <c r="SL21" s="359"/>
      <c r="SM21" s="358"/>
      <c r="SN21" s="359"/>
      <c r="SO21" s="359"/>
      <c r="SP21" s="359"/>
      <c r="SQ21" s="359"/>
      <c r="SR21" s="358"/>
      <c r="SS21" s="359"/>
      <c r="ST21" s="359"/>
      <c r="SU21" s="359"/>
      <c r="SV21" s="359"/>
      <c r="SW21" s="358"/>
      <c r="SX21" s="359"/>
      <c r="SY21" s="359"/>
      <c r="SZ21" s="359"/>
      <c r="TA21" s="359"/>
      <c r="TB21" s="354" t="n">
        <f aca="false">+AVERAGE(B21:IB21)</f>
        <v>3.41558441558442</v>
      </c>
    </row>
    <row r="22" customFormat="false" ht="15.5" hidden="false" customHeight="false" outlineLevel="0" collapsed="false">
      <c r="A22" s="356" t="s">
        <v>521</v>
      </c>
      <c r="B22" s="358" t="n">
        <v>3</v>
      </c>
      <c r="C22" s="359" t="n">
        <v>3</v>
      </c>
      <c r="D22" s="359" t="n">
        <v>5</v>
      </c>
      <c r="E22" s="359" t="n">
        <v>3</v>
      </c>
      <c r="F22" s="359" t="n">
        <v>3</v>
      </c>
      <c r="G22" s="358" t="n">
        <v>1</v>
      </c>
      <c r="H22" s="359" t="n">
        <v>3</v>
      </c>
      <c r="I22" s="359" t="n">
        <v>5</v>
      </c>
      <c r="J22" s="359" t="n">
        <v>1</v>
      </c>
      <c r="K22" s="359" t="n">
        <v>1</v>
      </c>
      <c r="L22" s="358" t="n">
        <v>1</v>
      </c>
      <c r="M22" s="359" t="n">
        <v>3</v>
      </c>
      <c r="N22" s="359" t="n">
        <v>3</v>
      </c>
      <c r="O22" s="359" t="n">
        <v>1</v>
      </c>
      <c r="P22" s="359" t="n">
        <v>1</v>
      </c>
      <c r="Q22" s="358" t="n">
        <v>1</v>
      </c>
      <c r="R22" s="359" t="n">
        <v>3</v>
      </c>
      <c r="S22" s="359" t="n">
        <v>5</v>
      </c>
      <c r="T22" s="359" t="n">
        <v>1</v>
      </c>
      <c r="U22" s="359" t="n">
        <v>3</v>
      </c>
      <c r="V22" s="358" t="n">
        <v>1</v>
      </c>
      <c r="W22" s="359" t="n">
        <v>5</v>
      </c>
      <c r="X22" s="359" t="n">
        <v>5</v>
      </c>
      <c r="Y22" s="359" t="n">
        <v>3</v>
      </c>
      <c r="Z22" s="359" t="n">
        <v>3</v>
      </c>
      <c r="AA22" s="358" t="n">
        <v>3</v>
      </c>
      <c r="AB22" s="359" t="n">
        <v>5</v>
      </c>
      <c r="AC22" s="359" t="n">
        <v>5</v>
      </c>
      <c r="AD22" s="359" t="n">
        <v>3</v>
      </c>
      <c r="AE22" s="359" t="n">
        <v>5</v>
      </c>
      <c r="AF22" s="358" t="n">
        <v>3</v>
      </c>
      <c r="AG22" s="359" t="n">
        <v>5</v>
      </c>
      <c r="AH22" s="359" t="n">
        <v>5</v>
      </c>
      <c r="AI22" s="359" t="n">
        <v>5</v>
      </c>
      <c r="AJ22" s="359" t="n">
        <v>5</v>
      </c>
      <c r="AK22" s="358" t="n">
        <v>3</v>
      </c>
      <c r="AL22" s="359" t="n">
        <v>5</v>
      </c>
      <c r="AM22" s="359" t="n">
        <v>5</v>
      </c>
      <c r="AN22" s="359" t="n">
        <v>5</v>
      </c>
      <c r="AO22" s="359" t="n">
        <v>5</v>
      </c>
      <c r="AP22" s="358" t="n">
        <v>1</v>
      </c>
      <c r="AQ22" s="359" t="n">
        <v>5</v>
      </c>
      <c r="AR22" s="359" t="n">
        <v>5</v>
      </c>
      <c r="AS22" s="359" t="n">
        <v>3</v>
      </c>
      <c r="AT22" s="359" t="n">
        <v>1</v>
      </c>
      <c r="AU22" s="358" t="n">
        <v>3</v>
      </c>
      <c r="AV22" s="359"/>
      <c r="AW22" s="359" t="n">
        <v>5</v>
      </c>
      <c r="AX22" s="359" t="n">
        <v>3</v>
      </c>
      <c r="AY22" s="359" t="n">
        <v>3</v>
      </c>
      <c r="AZ22" s="358" t="n">
        <v>1</v>
      </c>
      <c r="BA22" s="359"/>
      <c r="BB22" s="359" t="n">
        <v>5</v>
      </c>
      <c r="BC22" s="359" t="n">
        <v>1</v>
      </c>
      <c r="BD22" s="359" t="n">
        <v>1</v>
      </c>
      <c r="BE22" s="358" t="n">
        <v>1</v>
      </c>
      <c r="BF22" s="359" t="n">
        <v>5</v>
      </c>
      <c r="BG22" s="359" t="n">
        <v>5</v>
      </c>
      <c r="BH22" s="359" t="n">
        <v>1</v>
      </c>
      <c r="BI22" s="359" t="n">
        <v>1</v>
      </c>
      <c r="BJ22" s="358" t="n">
        <v>3</v>
      </c>
      <c r="BK22" s="359" t="n">
        <v>5</v>
      </c>
      <c r="BL22" s="359" t="n">
        <v>3</v>
      </c>
      <c r="BM22" s="359" t="n">
        <v>3</v>
      </c>
      <c r="BN22" s="359" t="n">
        <v>3</v>
      </c>
      <c r="BO22" s="358" t="n">
        <v>5</v>
      </c>
      <c r="BP22" s="359"/>
      <c r="BQ22" s="359" t="n">
        <v>5</v>
      </c>
      <c r="BR22" s="359" t="n">
        <v>3</v>
      </c>
      <c r="BS22" s="359" t="n">
        <v>5</v>
      </c>
      <c r="BT22" s="358" t="n">
        <v>3</v>
      </c>
      <c r="BU22" s="359" t="n">
        <v>5</v>
      </c>
      <c r="BV22" s="359" t="n">
        <v>5</v>
      </c>
      <c r="BW22" s="359" t="n">
        <v>3</v>
      </c>
      <c r="BX22" s="359" t="n">
        <v>5</v>
      </c>
      <c r="BY22" s="358" t="n">
        <v>5</v>
      </c>
      <c r="BZ22" s="358" t="n">
        <v>5</v>
      </c>
      <c r="CA22" s="359" t="n">
        <v>5</v>
      </c>
      <c r="CB22" s="359" t="n">
        <v>3</v>
      </c>
      <c r="CC22" s="359" t="n">
        <v>5</v>
      </c>
      <c r="CD22" s="358"/>
      <c r="CE22" s="359"/>
      <c r="CF22" s="359"/>
      <c r="CG22" s="359"/>
      <c r="CH22" s="359"/>
      <c r="CI22" s="358"/>
      <c r="CJ22" s="359"/>
      <c r="CK22" s="359"/>
      <c r="CL22" s="359"/>
      <c r="CM22" s="359"/>
      <c r="CN22" s="358"/>
      <c r="CO22" s="359"/>
      <c r="CP22" s="359"/>
      <c r="CQ22" s="359"/>
      <c r="CR22" s="359"/>
      <c r="CS22" s="358"/>
      <c r="CT22" s="359"/>
      <c r="CU22" s="359"/>
      <c r="CV22" s="359"/>
      <c r="CW22" s="359"/>
      <c r="CX22" s="358"/>
      <c r="CY22" s="359"/>
      <c r="CZ22" s="359"/>
      <c r="DA22" s="359"/>
      <c r="DB22" s="359"/>
      <c r="DC22" s="358"/>
      <c r="DD22" s="359"/>
      <c r="DE22" s="359"/>
      <c r="DF22" s="359"/>
      <c r="DG22" s="359"/>
      <c r="DH22" s="358"/>
      <c r="DI22" s="359"/>
      <c r="DJ22" s="359"/>
      <c r="DK22" s="359"/>
      <c r="DL22" s="359"/>
      <c r="DM22" s="358"/>
      <c r="DN22" s="359"/>
      <c r="DO22" s="359"/>
      <c r="DP22" s="359"/>
      <c r="DQ22" s="359"/>
      <c r="DR22" s="358"/>
      <c r="DS22" s="359"/>
      <c r="DT22" s="359"/>
      <c r="DU22" s="359"/>
      <c r="DV22" s="359"/>
      <c r="DW22" s="358"/>
      <c r="DX22" s="359"/>
      <c r="DY22" s="359"/>
      <c r="DZ22" s="359"/>
      <c r="EA22" s="359"/>
      <c r="EB22" s="358"/>
      <c r="EC22" s="359"/>
      <c r="ED22" s="359"/>
      <c r="EE22" s="359"/>
      <c r="EF22" s="359"/>
      <c r="EG22" s="358"/>
      <c r="EH22" s="359"/>
      <c r="EI22" s="359"/>
      <c r="EJ22" s="359"/>
      <c r="EK22" s="359"/>
      <c r="EL22" s="358"/>
      <c r="EM22" s="359"/>
      <c r="EN22" s="359"/>
      <c r="EO22" s="359"/>
      <c r="EP22" s="359"/>
      <c r="EQ22" s="358"/>
      <c r="ER22" s="359"/>
      <c r="ES22" s="359"/>
      <c r="ET22" s="359"/>
      <c r="EU22" s="359"/>
      <c r="EV22" s="358"/>
      <c r="EW22" s="359"/>
      <c r="EX22" s="359"/>
      <c r="EY22" s="359"/>
      <c r="EZ22" s="359"/>
      <c r="FA22" s="358"/>
      <c r="FB22" s="359"/>
      <c r="FC22" s="359"/>
      <c r="FD22" s="359"/>
      <c r="FE22" s="359"/>
      <c r="FF22" s="358"/>
      <c r="FG22" s="359"/>
      <c r="FH22" s="359"/>
      <c r="FI22" s="359"/>
      <c r="FJ22" s="359"/>
      <c r="FK22" s="358"/>
      <c r="FL22" s="359"/>
      <c r="FM22" s="359"/>
      <c r="FN22" s="359"/>
      <c r="FO22" s="359"/>
      <c r="FP22" s="358"/>
      <c r="FQ22" s="359"/>
      <c r="FR22" s="359"/>
      <c r="FS22" s="359"/>
      <c r="FT22" s="359"/>
      <c r="FU22" s="358"/>
      <c r="FV22" s="359"/>
      <c r="FW22" s="359"/>
      <c r="FX22" s="359"/>
      <c r="FY22" s="359"/>
      <c r="FZ22" s="358"/>
      <c r="GA22" s="359"/>
      <c r="GB22" s="359"/>
      <c r="GC22" s="359"/>
      <c r="GD22" s="359"/>
      <c r="GE22" s="358"/>
      <c r="GF22" s="359"/>
      <c r="GG22" s="359"/>
      <c r="GH22" s="359"/>
      <c r="GI22" s="359"/>
      <c r="GJ22" s="358"/>
      <c r="GK22" s="359"/>
      <c r="GL22" s="359"/>
      <c r="GM22" s="359"/>
      <c r="GN22" s="359"/>
      <c r="GO22" s="358"/>
      <c r="GP22" s="359"/>
      <c r="GQ22" s="359"/>
      <c r="GR22" s="359"/>
      <c r="GS22" s="359"/>
      <c r="GT22" s="358"/>
      <c r="GU22" s="359"/>
      <c r="GV22" s="359"/>
      <c r="GW22" s="359"/>
      <c r="GX22" s="359"/>
      <c r="GY22" s="358"/>
      <c r="GZ22" s="359"/>
      <c r="HA22" s="359"/>
      <c r="HB22" s="359"/>
      <c r="HC22" s="359"/>
      <c r="HD22" s="358"/>
      <c r="HE22" s="359"/>
      <c r="HF22" s="359"/>
      <c r="HG22" s="359"/>
      <c r="HH22" s="359"/>
      <c r="HI22" s="358"/>
      <c r="HJ22" s="359"/>
      <c r="HK22" s="359"/>
      <c r="HL22" s="359"/>
      <c r="HM22" s="359"/>
      <c r="HN22" s="358"/>
      <c r="HO22" s="359"/>
      <c r="HP22" s="359"/>
      <c r="HQ22" s="359"/>
      <c r="HR22" s="359"/>
      <c r="HS22" s="358"/>
      <c r="HT22" s="359"/>
      <c r="HU22" s="359"/>
      <c r="HV22" s="359"/>
      <c r="HW22" s="359"/>
      <c r="HX22" s="358"/>
      <c r="HY22" s="359"/>
      <c r="HZ22" s="359"/>
      <c r="IA22" s="359"/>
      <c r="IB22" s="359"/>
      <c r="IC22" s="358"/>
      <c r="ID22" s="359"/>
      <c r="IE22" s="359"/>
      <c r="IF22" s="359"/>
      <c r="IG22" s="359"/>
      <c r="IH22" s="358"/>
      <c r="II22" s="359"/>
      <c r="IJ22" s="359"/>
      <c r="IK22" s="359"/>
      <c r="IL22" s="359"/>
      <c r="IM22" s="358"/>
      <c r="IN22" s="359"/>
      <c r="IO22" s="359"/>
      <c r="IP22" s="359"/>
      <c r="IQ22" s="359"/>
      <c r="IR22" s="358"/>
      <c r="IS22" s="359"/>
      <c r="IT22" s="359"/>
      <c r="IU22" s="359"/>
      <c r="IV22" s="359"/>
      <c r="IW22" s="358"/>
      <c r="IX22" s="359"/>
      <c r="IY22" s="359"/>
      <c r="IZ22" s="359"/>
      <c r="JA22" s="359"/>
      <c r="JB22" s="358"/>
      <c r="JC22" s="359"/>
      <c r="JD22" s="359"/>
      <c r="JE22" s="359"/>
      <c r="JF22" s="359"/>
      <c r="JG22" s="358"/>
      <c r="JH22" s="359"/>
      <c r="JI22" s="359"/>
      <c r="JJ22" s="359"/>
      <c r="JK22" s="359"/>
      <c r="JL22" s="358"/>
      <c r="JM22" s="359"/>
      <c r="JN22" s="359"/>
      <c r="JO22" s="359"/>
      <c r="JP22" s="359"/>
      <c r="JQ22" s="358"/>
      <c r="JR22" s="359"/>
      <c r="JS22" s="359"/>
      <c r="JT22" s="359"/>
      <c r="JU22" s="359"/>
      <c r="JV22" s="358"/>
      <c r="JW22" s="359"/>
      <c r="JX22" s="359"/>
      <c r="JY22" s="359"/>
      <c r="JZ22" s="359"/>
      <c r="KA22" s="358"/>
      <c r="KB22" s="359"/>
      <c r="KC22" s="359"/>
      <c r="KD22" s="359"/>
      <c r="KE22" s="359"/>
      <c r="KF22" s="358"/>
      <c r="KG22" s="359"/>
      <c r="KH22" s="359"/>
      <c r="KI22" s="359"/>
      <c r="KJ22" s="359"/>
      <c r="KK22" s="358"/>
      <c r="KL22" s="359"/>
      <c r="KM22" s="359"/>
      <c r="KN22" s="359"/>
      <c r="KO22" s="359"/>
      <c r="KP22" s="358"/>
      <c r="KQ22" s="359"/>
      <c r="KR22" s="359"/>
      <c r="KS22" s="359"/>
      <c r="KT22" s="359"/>
      <c r="KU22" s="358"/>
      <c r="KV22" s="359"/>
      <c r="KW22" s="359"/>
      <c r="KX22" s="359"/>
      <c r="KY22" s="359"/>
      <c r="KZ22" s="358"/>
      <c r="LA22" s="359"/>
      <c r="LB22" s="359"/>
      <c r="LC22" s="359"/>
      <c r="LD22" s="359"/>
      <c r="LE22" s="358"/>
      <c r="LF22" s="359"/>
      <c r="LG22" s="359"/>
      <c r="LH22" s="359"/>
      <c r="LI22" s="359"/>
      <c r="LJ22" s="358"/>
      <c r="LK22" s="359"/>
      <c r="LL22" s="359"/>
      <c r="LM22" s="359"/>
      <c r="LN22" s="359"/>
      <c r="LO22" s="358"/>
      <c r="LP22" s="359"/>
      <c r="LQ22" s="359"/>
      <c r="LR22" s="359"/>
      <c r="LS22" s="359"/>
      <c r="LT22" s="358"/>
      <c r="LU22" s="359"/>
      <c r="LV22" s="359"/>
      <c r="LW22" s="359"/>
      <c r="LX22" s="359"/>
      <c r="LY22" s="358"/>
      <c r="LZ22" s="359"/>
      <c r="MA22" s="359"/>
      <c r="MB22" s="359"/>
      <c r="MC22" s="359"/>
      <c r="MD22" s="358"/>
      <c r="ME22" s="359"/>
      <c r="MF22" s="359"/>
      <c r="MG22" s="359"/>
      <c r="MH22" s="359"/>
      <c r="MI22" s="358"/>
      <c r="MJ22" s="359"/>
      <c r="MK22" s="359"/>
      <c r="ML22" s="359"/>
      <c r="MM22" s="359"/>
      <c r="MN22" s="358"/>
      <c r="MO22" s="359"/>
      <c r="MP22" s="359"/>
      <c r="MQ22" s="359"/>
      <c r="MR22" s="359"/>
      <c r="MS22" s="358"/>
      <c r="MT22" s="359"/>
      <c r="MU22" s="359"/>
      <c r="MV22" s="359"/>
      <c r="MW22" s="359"/>
      <c r="MX22" s="358"/>
      <c r="MY22" s="359"/>
      <c r="MZ22" s="359"/>
      <c r="NA22" s="359"/>
      <c r="NB22" s="359"/>
      <c r="NC22" s="358"/>
      <c r="ND22" s="359"/>
      <c r="NE22" s="359"/>
      <c r="NF22" s="359"/>
      <c r="NG22" s="359"/>
      <c r="NH22" s="358"/>
      <c r="NI22" s="359"/>
      <c r="NJ22" s="359"/>
      <c r="NK22" s="359"/>
      <c r="NL22" s="359"/>
      <c r="NM22" s="358"/>
      <c r="NN22" s="359"/>
      <c r="NO22" s="359"/>
      <c r="NP22" s="359"/>
      <c r="NQ22" s="359"/>
      <c r="NR22" s="358"/>
      <c r="NS22" s="359"/>
      <c r="NT22" s="359"/>
      <c r="NU22" s="359"/>
      <c r="NV22" s="359"/>
      <c r="NW22" s="358"/>
      <c r="NX22" s="359"/>
      <c r="NY22" s="359"/>
      <c r="NZ22" s="359"/>
      <c r="OA22" s="359"/>
      <c r="OB22" s="358"/>
      <c r="OC22" s="359"/>
      <c r="OD22" s="359"/>
      <c r="OE22" s="359"/>
      <c r="OF22" s="359"/>
      <c r="OG22" s="358"/>
      <c r="OH22" s="359"/>
      <c r="OI22" s="359"/>
      <c r="OJ22" s="359"/>
      <c r="OK22" s="359"/>
      <c r="OL22" s="358"/>
      <c r="OM22" s="359"/>
      <c r="ON22" s="359"/>
      <c r="OO22" s="359"/>
      <c r="OP22" s="359"/>
      <c r="OQ22" s="358"/>
      <c r="OR22" s="359"/>
      <c r="OS22" s="359"/>
      <c r="OT22" s="359"/>
      <c r="OU22" s="359"/>
      <c r="OV22" s="358"/>
      <c r="OW22" s="359"/>
      <c r="OX22" s="359"/>
      <c r="OY22" s="359"/>
      <c r="OZ22" s="359"/>
      <c r="PA22" s="358"/>
      <c r="PB22" s="359"/>
      <c r="PC22" s="359"/>
      <c r="PD22" s="359"/>
      <c r="PE22" s="359"/>
      <c r="PF22" s="358"/>
      <c r="PG22" s="359"/>
      <c r="PH22" s="359"/>
      <c r="PI22" s="359"/>
      <c r="PJ22" s="359"/>
      <c r="PK22" s="358"/>
      <c r="PL22" s="359"/>
      <c r="PM22" s="359"/>
      <c r="PN22" s="359"/>
      <c r="PO22" s="359"/>
      <c r="PP22" s="358"/>
      <c r="PQ22" s="359"/>
      <c r="PR22" s="359"/>
      <c r="PS22" s="359"/>
      <c r="PT22" s="359"/>
      <c r="PU22" s="358"/>
      <c r="PV22" s="359"/>
      <c r="PW22" s="359"/>
      <c r="PX22" s="359"/>
      <c r="PY22" s="359"/>
      <c r="PZ22" s="358"/>
      <c r="QA22" s="359"/>
      <c r="QB22" s="359"/>
      <c r="QC22" s="359"/>
      <c r="QD22" s="359"/>
      <c r="QE22" s="358"/>
      <c r="QF22" s="359"/>
      <c r="QG22" s="359"/>
      <c r="QH22" s="359"/>
      <c r="QI22" s="359"/>
      <c r="QJ22" s="358"/>
      <c r="QK22" s="359"/>
      <c r="QL22" s="359"/>
      <c r="QM22" s="359"/>
      <c r="QN22" s="359"/>
      <c r="QO22" s="358"/>
      <c r="QP22" s="359"/>
      <c r="QQ22" s="359"/>
      <c r="QR22" s="359"/>
      <c r="QS22" s="359"/>
      <c r="QT22" s="358"/>
      <c r="QU22" s="359"/>
      <c r="QV22" s="359"/>
      <c r="QW22" s="359"/>
      <c r="QX22" s="359"/>
      <c r="QY22" s="358"/>
      <c r="QZ22" s="359"/>
      <c r="RA22" s="359"/>
      <c r="RB22" s="359"/>
      <c r="RC22" s="359"/>
      <c r="RD22" s="358"/>
      <c r="RE22" s="359"/>
      <c r="RF22" s="359"/>
      <c r="RG22" s="359"/>
      <c r="RH22" s="359"/>
      <c r="RI22" s="358"/>
      <c r="RJ22" s="359"/>
      <c r="RK22" s="359"/>
      <c r="RL22" s="359"/>
      <c r="RM22" s="359"/>
      <c r="RN22" s="358"/>
      <c r="RO22" s="359"/>
      <c r="RP22" s="359"/>
      <c r="RQ22" s="359"/>
      <c r="RR22" s="359"/>
      <c r="RS22" s="358"/>
      <c r="RT22" s="359"/>
      <c r="RU22" s="359"/>
      <c r="RV22" s="359"/>
      <c r="RW22" s="359"/>
      <c r="RX22" s="358"/>
      <c r="RY22" s="359"/>
      <c r="RZ22" s="359"/>
      <c r="SA22" s="359"/>
      <c r="SB22" s="359"/>
      <c r="SC22" s="358"/>
      <c r="SD22" s="359"/>
      <c r="SE22" s="359"/>
      <c r="SF22" s="359"/>
      <c r="SG22" s="359"/>
      <c r="SH22" s="358"/>
      <c r="SI22" s="359"/>
      <c r="SJ22" s="359"/>
      <c r="SK22" s="359"/>
      <c r="SL22" s="359"/>
      <c r="SM22" s="358"/>
      <c r="SN22" s="359"/>
      <c r="SO22" s="359"/>
      <c r="SP22" s="359"/>
      <c r="SQ22" s="359"/>
      <c r="SR22" s="358"/>
      <c r="SS22" s="359"/>
      <c r="ST22" s="359"/>
      <c r="SU22" s="359"/>
      <c r="SV22" s="359"/>
      <c r="SW22" s="358"/>
      <c r="SX22" s="359"/>
      <c r="SY22" s="359"/>
      <c r="SZ22" s="359"/>
      <c r="TA22" s="359"/>
      <c r="TB22" s="354" t="n">
        <f aca="false">+AVERAGE(B22:IB22)</f>
        <v>3.41558441558442</v>
      </c>
    </row>
    <row r="23" customFormat="false" ht="15.5" hidden="false" customHeight="false" outlineLevel="0" collapsed="false">
      <c r="A23" s="356" t="s">
        <v>521</v>
      </c>
      <c r="B23" s="358" t="n">
        <v>3</v>
      </c>
      <c r="C23" s="359" t="n">
        <v>3</v>
      </c>
      <c r="D23" s="359" t="n">
        <v>5</v>
      </c>
      <c r="E23" s="359" t="n">
        <v>3</v>
      </c>
      <c r="F23" s="359" t="n">
        <v>3</v>
      </c>
      <c r="G23" s="358" t="n">
        <v>1</v>
      </c>
      <c r="H23" s="359" t="n">
        <v>3</v>
      </c>
      <c r="I23" s="359" t="n">
        <v>5</v>
      </c>
      <c r="J23" s="359" t="n">
        <v>1</v>
      </c>
      <c r="K23" s="359" t="n">
        <v>1</v>
      </c>
      <c r="L23" s="358" t="n">
        <v>1</v>
      </c>
      <c r="M23" s="359" t="n">
        <v>3</v>
      </c>
      <c r="N23" s="359" t="n">
        <v>3</v>
      </c>
      <c r="O23" s="359" t="n">
        <v>1</v>
      </c>
      <c r="P23" s="359" t="n">
        <v>1</v>
      </c>
      <c r="Q23" s="358" t="n">
        <v>1</v>
      </c>
      <c r="R23" s="359" t="n">
        <v>3</v>
      </c>
      <c r="S23" s="359" t="n">
        <v>5</v>
      </c>
      <c r="T23" s="359" t="n">
        <v>1</v>
      </c>
      <c r="U23" s="359" t="n">
        <v>3</v>
      </c>
      <c r="V23" s="358" t="n">
        <v>1</v>
      </c>
      <c r="W23" s="359" t="n">
        <v>5</v>
      </c>
      <c r="X23" s="359" t="n">
        <v>5</v>
      </c>
      <c r="Y23" s="359" t="n">
        <v>3</v>
      </c>
      <c r="Z23" s="359" t="n">
        <v>3</v>
      </c>
      <c r="AA23" s="358" t="n">
        <v>3</v>
      </c>
      <c r="AB23" s="359" t="n">
        <v>5</v>
      </c>
      <c r="AC23" s="359" t="n">
        <v>5</v>
      </c>
      <c r="AD23" s="359" t="n">
        <v>3</v>
      </c>
      <c r="AE23" s="359" t="n">
        <v>5</v>
      </c>
      <c r="AF23" s="358" t="n">
        <v>3</v>
      </c>
      <c r="AG23" s="359" t="n">
        <v>5</v>
      </c>
      <c r="AH23" s="359" t="n">
        <v>5</v>
      </c>
      <c r="AI23" s="359" t="n">
        <v>5</v>
      </c>
      <c r="AJ23" s="359" t="n">
        <v>5</v>
      </c>
      <c r="AK23" s="358" t="n">
        <v>3</v>
      </c>
      <c r="AL23" s="359" t="n">
        <v>5</v>
      </c>
      <c r="AM23" s="359" t="n">
        <v>5</v>
      </c>
      <c r="AN23" s="359" t="n">
        <v>5</v>
      </c>
      <c r="AO23" s="359" t="n">
        <v>5</v>
      </c>
      <c r="AP23" s="358" t="n">
        <v>1</v>
      </c>
      <c r="AQ23" s="359" t="n">
        <v>5</v>
      </c>
      <c r="AR23" s="359" t="n">
        <v>5</v>
      </c>
      <c r="AS23" s="359" t="n">
        <v>3</v>
      </c>
      <c r="AT23" s="359" t="n">
        <v>1</v>
      </c>
      <c r="AU23" s="358" t="n">
        <v>3</v>
      </c>
      <c r="AV23" s="359"/>
      <c r="AW23" s="359" t="n">
        <v>5</v>
      </c>
      <c r="AX23" s="359" t="n">
        <v>3</v>
      </c>
      <c r="AY23" s="359" t="n">
        <v>3</v>
      </c>
      <c r="AZ23" s="358" t="n">
        <v>1</v>
      </c>
      <c r="BA23" s="359"/>
      <c r="BB23" s="359" t="n">
        <v>5</v>
      </c>
      <c r="BC23" s="359" t="n">
        <v>1</v>
      </c>
      <c r="BD23" s="359" t="n">
        <v>1</v>
      </c>
      <c r="BE23" s="358" t="n">
        <v>1</v>
      </c>
      <c r="BF23" s="359" t="n">
        <v>5</v>
      </c>
      <c r="BG23" s="359" t="n">
        <v>5</v>
      </c>
      <c r="BH23" s="359" t="n">
        <v>1</v>
      </c>
      <c r="BI23" s="359" t="n">
        <v>1</v>
      </c>
      <c r="BJ23" s="358" t="n">
        <v>3</v>
      </c>
      <c r="BK23" s="359" t="n">
        <v>5</v>
      </c>
      <c r="BL23" s="359" t="n">
        <v>3</v>
      </c>
      <c r="BM23" s="359" t="n">
        <v>3</v>
      </c>
      <c r="BN23" s="359" t="n">
        <v>3</v>
      </c>
      <c r="BO23" s="358" t="n">
        <v>5</v>
      </c>
      <c r="BP23" s="359"/>
      <c r="BQ23" s="359" t="n">
        <v>5</v>
      </c>
      <c r="BR23" s="359" t="n">
        <v>3</v>
      </c>
      <c r="BS23" s="359" t="n">
        <v>5</v>
      </c>
      <c r="BT23" s="358" t="n">
        <v>3</v>
      </c>
      <c r="BU23" s="359" t="n">
        <v>5</v>
      </c>
      <c r="BV23" s="359" t="n">
        <v>5</v>
      </c>
      <c r="BW23" s="359" t="n">
        <v>3</v>
      </c>
      <c r="BX23" s="359" t="n">
        <v>5</v>
      </c>
      <c r="BY23" s="358" t="n">
        <v>5</v>
      </c>
      <c r="BZ23" s="358" t="n">
        <v>5</v>
      </c>
      <c r="CA23" s="359" t="n">
        <v>5</v>
      </c>
      <c r="CB23" s="359" t="n">
        <v>3</v>
      </c>
      <c r="CC23" s="359" t="n">
        <v>5</v>
      </c>
      <c r="CD23" s="358"/>
      <c r="CE23" s="359"/>
      <c r="CF23" s="359"/>
      <c r="CG23" s="359"/>
      <c r="CH23" s="359"/>
      <c r="CI23" s="358"/>
      <c r="CJ23" s="359"/>
      <c r="CK23" s="359"/>
      <c r="CL23" s="359"/>
      <c r="CM23" s="359"/>
      <c r="CN23" s="358"/>
      <c r="CO23" s="359"/>
      <c r="CP23" s="359"/>
      <c r="CQ23" s="359"/>
      <c r="CR23" s="359"/>
      <c r="CS23" s="358"/>
      <c r="CT23" s="359"/>
      <c r="CU23" s="359"/>
      <c r="CV23" s="359"/>
      <c r="CW23" s="359"/>
      <c r="CX23" s="358"/>
      <c r="CY23" s="359"/>
      <c r="CZ23" s="359"/>
      <c r="DA23" s="359"/>
      <c r="DB23" s="359"/>
      <c r="DC23" s="358"/>
      <c r="DD23" s="359"/>
      <c r="DE23" s="359"/>
      <c r="DF23" s="359"/>
      <c r="DG23" s="359"/>
      <c r="DH23" s="358"/>
      <c r="DI23" s="359"/>
      <c r="DJ23" s="359"/>
      <c r="DK23" s="359"/>
      <c r="DL23" s="359"/>
      <c r="DM23" s="358"/>
      <c r="DN23" s="359"/>
      <c r="DO23" s="359"/>
      <c r="DP23" s="359"/>
      <c r="DQ23" s="359"/>
      <c r="DR23" s="358"/>
      <c r="DS23" s="359"/>
      <c r="DT23" s="359"/>
      <c r="DU23" s="359"/>
      <c r="DV23" s="359"/>
      <c r="DW23" s="358"/>
      <c r="DX23" s="359"/>
      <c r="DY23" s="359"/>
      <c r="DZ23" s="359"/>
      <c r="EA23" s="359"/>
      <c r="EB23" s="358"/>
      <c r="EC23" s="359"/>
      <c r="ED23" s="359"/>
      <c r="EE23" s="359"/>
      <c r="EF23" s="359"/>
      <c r="EG23" s="358"/>
      <c r="EH23" s="359"/>
      <c r="EI23" s="359"/>
      <c r="EJ23" s="359"/>
      <c r="EK23" s="359"/>
      <c r="EL23" s="358"/>
      <c r="EM23" s="359"/>
      <c r="EN23" s="359"/>
      <c r="EO23" s="359"/>
      <c r="EP23" s="359"/>
      <c r="EQ23" s="358"/>
      <c r="ER23" s="359"/>
      <c r="ES23" s="359"/>
      <c r="ET23" s="359"/>
      <c r="EU23" s="359"/>
      <c r="EV23" s="358"/>
      <c r="EW23" s="359"/>
      <c r="EX23" s="359"/>
      <c r="EY23" s="359"/>
      <c r="EZ23" s="359"/>
      <c r="FA23" s="358"/>
      <c r="FB23" s="359"/>
      <c r="FC23" s="359"/>
      <c r="FD23" s="359"/>
      <c r="FE23" s="359"/>
      <c r="FF23" s="358"/>
      <c r="FG23" s="359"/>
      <c r="FH23" s="359"/>
      <c r="FI23" s="359"/>
      <c r="FJ23" s="359"/>
      <c r="FK23" s="358"/>
      <c r="FL23" s="359"/>
      <c r="FM23" s="359"/>
      <c r="FN23" s="359"/>
      <c r="FO23" s="359"/>
      <c r="FP23" s="358"/>
      <c r="FQ23" s="359"/>
      <c r="FR23" s="359"/>
      <c r="FS23" s="359"/>
      <c r="FT23" s="359"/>
      <c r="FU23" s="358"/>
      <c r="FV23" s="359"/>
      <c r="FW23" s="359"/>
      <c r="FX23" s="359"/>
      <c r="FY23" s="359"/>
      <c r="FZ23" s="358"/>
      <c r="GA23" s="359"/>
      <c r="GB23" s="359"/>
      <c r="GC23" s="359"/>
      <c r="GD23" s="359"/>
      <c r="GE23" s="358"/>
      <c r="GF23" s="359"/>
      <c r="GG23" s="359"/>
      <c r="GH23" s="359"/>
      <c r="GI23" s="359"/>
      <c r="GJ23" s="358"/>
      <c r="GK23" s="359"/>
      <c r="GL23" s="359"/>
      <c r="GM23" s="359"/>
      <c r="GN23" s="359"/>
      <c r="GO23" s="358"/>
      <c r="GP23" s="359"/>
      <c r="GQ23" s="359"/>
      <c r="GR23" s="359"/>
      <c r="GS23" s="359"/>
      <c r="GT23" s="358"/>
      <c r="GU23" s="359"/>
      <c r="GV23" s="359"/>
      <c r="GW23" s="359"/>
      <c r="GX23" s="359"/>
      <c r="GY23" s="358"/>
      <c r="GZ23" s="359"/>
      <c r="HA23" s="359"/>
      <c r="HB23" s="359"/>
      <c r="HC23" s="359"/>
      <c r="HD23" s="358"/>
      <c r="HE23" s="359"/>
      <c r="HF23" s="359"/>
      <c r="HG23" s="359"/>
      <c r="HH23" s="359"/>
      <c r="HI23" s="358"/>
      <c r="HJ23" s="359"/>
      <c r="HK23" s="359"/>
      <c r="HL23" s="359"/>
      <c r="HM23" s="359"/>
      <c r="HN23" s="358"/>
      <c r="HO23" s="359"/>
      <c r="HP23" s="359"/>
      <c r="HQ23" s="359"/>
      <c r="HR23" s="359"/>
      <c r="HS23" s="358"/>
      <c r="HT23" s="359"/>
      <c r="HU23" s="359"/>
      <c r="HV23" s="359"/>
      <c r="HW23" s="359"/>
      <c r="HX23" s="358"/>
      <c r="HY23" s="359"/>
      <c r="HZ23" s="359"/>
      <c r="IA23" s="359"/>
      <c r="IB23" s="359"/>
      <c r="IC23" s="358"/>
      <c r="ID23" s="359"/>
      <c r="IE23" s="359"/>
      <c r="IF23" s="359"/>
      <c r="IG23" s="359"/>
      <c r="IH23" s="358"/>
      <c r="II23" s="359"/>
      <c r="IJ23" s="359"/>
      <c r="IK23" s="359"/>
      <c r="IL23" s="359"/>
      <c r="IM23" s="358"/>
      <c r="IN23" s="359"/>
      <c r="IO23" s="359"/>
      <c r="IP23" s="359"/>
      <c r="IQ23" s="359"/>
      <c r="IR23" s="358"/>
      <c r="IS23" s="359"/>
      <c r="IT23" s="359"/>
      <c r="IU23" s="359"/>
      <c r="IV23" s="359"/>
      <c r="IW23" s="358"/>
      <c r="IX23" s="359"/>
      <c r="IY23" s="359"/>
      <c r="IZ23" s="359"/>
      <c r="JA23" s="359"/>
      <c r="JB23" s="358"/>
      <c r="JC23" s="359"/>
      <c r="JD23" s="359"/>
      <c r="JE23" s="359"/>
      <c r="JF23" s="359"/>
      <c r="JG23" s="358"/>
      <c r="JH23" s="359"/>
      <c r="JI23" s="359"/>
      <c r="JJ23" s="359"/>
      <c r="JK23" s="359"/>
      <c r="JL23" s="358"/>
      <c r="JM23" s="359"/>
      <c r="JN23" s="359"/>
      <c r="JO23" s="359"/>
      <c r="JP23" s="359"/>
      <c r="JQ23" s="358"/>
      <c r="JR23" s="359"/>
      <c r="JS23" s="359"/>
      <c r="JT23" s="359"/>
      <c r="JU23" s="359"/>
      <c r="JV23" s="358"/>
      <c r="JW23" s="359"/>
      <c r="JX23" s="359"/>
      <c r="JY23" s="359"/>
      <c r="JZ23" s="359"/>
      <c r="KA23" s="358"/>
      <c r="KB23" s="359"/>
      <c r="KC23" s="359"/>
      <c r="KD23" s="359"/>
      <c r="KE23" s="359"/>
      <c r="KF23" s="358"/>
      <c r="KG23" s="359"/>
      <c r="KH23" s="359"/>
      <c r="KI23" s="359"/>
      <c r="KJ23" s="359"/>
      <c r="KK23" s="358"/>
      <c r="KL23" s="359"/>
      <c r="KM23" s="359"/>
      <c r="KN23" s="359"/>
      <c r="KO23" s="359"/>
      <c r="KP23" s="358"/>
      <c r="KQ23" s="359"/>
      <c r="KR23" s="359"/>
      <c r="KS23" s="359"/>
      <c r="KT23" s="359"/>
      <c r="KU23" s="358"/>
      <c r="KV23" s="359"/>
      <c r="KW23" s="359"/>
      <c r="KX23" s="359"/>
      <c r="KY23" s="359"/>
      <c r="KZ23" s="358"/>
      <c r="LA23" s="359"/>
      <c r="LB23" s="359"/>
      <c r="LC23" s="359"/>
      <c r="LD23" s="359"/>
      <c r="LE23" s="358"/>
      <c r="LF23" s="359"/>
      <c r="LG23" s="359"/>
      <c r="LH23" s="359"/>
      <c r="LI23" s="359"/>
      <c r="LJ23" s="358"/>
      <c r="LK23" s="359"/>
      <c r="LL23" s="359"/>
      <c r="LM23" s="359"/>
      <c r="LN23" s="359"/>
      <c r="LO23" s="358"/>
      <c r="LP23" s="359"/>
      <c r="LQ23" s="359"/>
      <c r="LR23" s="359"/>
      <c r="LS23" s="359"/>
      <c r="LT23" s="358"/>
      <c r="LU23" s="359"/>
      <c r="LV23" s="359"/>
      <c r="LW23" s="359"/>
      <c r="LX23" s="359"/>
      <c r="LY23" s="358"/>
      <c r="LZ23" s="359"/>
      <c r="MA23" s="359"/>
      <c r="MB23" s="359"/>
      <c r="MC23" s="359"/>
      <c r="MD23" s="358"/>
      <c r="ME23" s="359"/>
      <c r="MF23" s="359"/>
      <c r="MG23" s="359"/>
      <c r="MH23" s="359"/>
      <c r="MI23" s="358"/>
      <c r="MJ23" s="359"/>
      <c r="MK23" s="359"/>
      <c r="ML23" s="359"/>
      <c r="MM23" s="359"/>
      <c r="MN23" s="358"/>
      <c r="MO23" s="359"/>
      <c r="MP23" s="359"/>
      <c r="MQ23" s="359"/>
      <c r="MR23" s="359"/>
      <c r="MS23" s="358"/>
      <c r="MT23" s="359"/>
      <c r="MU23" s="359"/>
      <c r="MV23" s="359"/>
      <c r="MW23" s="359"/>
      <c r="MX23" s="358"/>
      <c r="MY23" s="359"/>
      <c r="MZ23" s="359"/>
      <c r="NA23" s="359"/>
      <c r="NB23" s="359"/>
      <c r="NC23" s="358"/>
      <c r="ND23" s="359"/>
      <c r="NE23" s="359"/>
      <c r="NF23" s="359"/>
      <c r="NG23" s="359"/>
      <c r="NH23" s="358"/>
      <c r="NI23" s="359"/>
      <c r="NJ23" s="359"/>
      <c r="NK23" s="359"/>
      <c r="NL23" s="359"/>
      <c r="NM23" s="358"/>
      <c r="NN23" s="359"/>
      <c r="NO23" s="359"/>
      <c r="NP23" s="359"/>
      <c r="NQ23" s="359"/>
      <c r="NR23" s="358"/>
      <c r="NS23" s="359"/>
      <c r="NT23" s="359"/>
      <c r="NU23" s="359"/>
      <c r="NV23" s="359"/>
      <c r="NW23" s="358"/>
      <c r="NX23" s="359"/>
      <c r="NY23" s="359"/>
      <c r="NZ23" s="359"/>
      <c r="OA23" s="359"/>
      <c r="OB23" s="358"/>
      <c r="OC23" s="359"/>
      <c r="OD23" s="359"/>
      <c r="OE23" s="359"/>
      <c r="OF23" s="359"/>
      <c r="OG23" s="358"/>
      <c r="OH23" s="359"/>
      <c r="OI23" s="359"/>
      <c r="OJ23" s="359"/>
      <c r="OK23" s="359"/>
      <c r="OL23" s="358"/>
      <c r="OM23" s="359"/>
      <c r="ON23" s="359"/>
      <c r="OO23" s="359"/>
      <c r="OP23" s="359"/>
      <c r="OQ23" s="358"/>
      <c r="OR23" s="359"/>
      <c r="OS23" s="359"/>
      <c r="OT23" s="359"/>
      <c r="OU23" s="359"/>
      <c r="OV23" s="358"/>
      <c r="OW23" s="359"/>
      <c r="OX23" s="359"/>
      <c r="OY23" s="359"/>
      <c r="OZ23" s="359"/>
      <c r="PA23" s="358"/>
      <c r="PB23" s="359"/>
      <c r="PC23" s="359"/>
      <c r="PD23" s="359"/>
      <c r="PE23" s="359"/>
      <c r="PF23" s="358"/>
      <c r="PG23" s="359"/>
      <c r="PH23" s="359"/>
      <c r="PI23" s="359"/>
      <c r="PJ23" s="359"/>
      <c r="PK23" s="358"/>
      <c r="PL23" s="359"/>
      <c r="PM23" s="359"/>
      <c r="PN23" s="359"/>
      <c r="PO23" s="359"/>
      <c r="PP23" s="358"/>
      <c r="PQ23" s="359"/>
      <c r="PR23" s="359"/>
      <c r="PS23" s="359"/>
      <c r="PT23" s="359"/>
      <c r="PU23" s="358"/>
      <c r="PV23" s="359"/>
      <c r="PW23" s="359"/>
      <c r="PX23" s="359"/>
      <c r="PY23" s="359"/>
      <c r="PZ23" s="358"/>
      <c r="QA23" s="359"/>
      <c r="QB23" s="359"/>
      <c r="QC23" s="359"/>
      <c r="QD23" s="359"/>
      <c r="QE23" s="358"/>
      <c r="QF23" s="359"/>
      <c r="QG23" s="359"/>
      <c r="QH23" s="359"/>
      <c r="QI23" s="359"/>
      <c r="QJ23" s="358"/>
      <c r="QK23" s="359"/>
      <c r="QL23" s="359"/>
      <c r="QM23" s="359"/>
      <c r="QN23" s="359"/>
      <c r="QO23" s="358"/>
      <c r="QP23" s="359"/>
      <c r="QQ23" s="359"/>
      <c r="QR23" s="359"/>
      <c r="QS23" s="359"/>
      <c r="QT23" s="358"/>
      <c r="QU23" s="359"/>
      <c r="QV23" s="359"/>
      <c r="QW23" s="359"/>
      <c r="QX23" s="359"/>
      <c r="QY23" s="358"/>
      <c r="QZ23" s="359"/>
      <c r="RA23" s="359"/>
      <c r="RB23" s="359"/>
      <c r="RC23" s="359"/>
      <c r="RD23" s="358"/>
      <c r="RE23" s="359"/>
      <c r="RF23" s="359"/>
      <c r="RG23" s="359"/>
      <c r="RH23" s="359"/>
      <c r="RI23" s="358"/>
      <c r="RJ23" s="359"/>
      <c r="RK23" s="359"/>
      <c r="RL23" s="359"/>
      <c r="RM23" s="359"/>
      <c r="RN23" s="358"/>
      <c r="RO23" s="359"/>
      <c r="RP23" s="359"/>
      <c r="RQ23" s="359"/>
      <c r="RR23" s="359"/>
      <c r="RS23" s="358"/>
      <c r="RT23" s="359"/>
      <c r="RU23" s="359"/>
      <c r="RV23" s="359"/>
      <c r="RW23" s="359"/>
      <c r="RX23" s="358"/>
      <c r="RY23" s="359"/>
      <c r="RZ23" s="359"/>
      <c r="SA23" s="359"/>
      <c r="SB23" s="359"/>
      <c r="SC23" s="358"/>
      <c r="SD23" s="359"/>
      <c r="SE23" s="359"/>
      <c r="SF23" s="359"/>
      <c r="SG23" s="359"/>
      <c r="SH23" s="358"/>
      <c r="SI23" s="359"/>
      <c r="SJ23" s="359"/>
      <c r="SK23" s="359"/>
      <c r="SL23" s="359"/>
      <c r="SM23" s="358"/>
      <c r="SN23" s="359"/>
      <c r="SO23" s="359"/>
      <c r="SP23" s="359"/>
      <c r="SQ23" s="359"/>
      <c r="SR23" s="358"/>
      <c r="SS23" s="359"/>
      <c r="ST23" s="359"/>
      <c r="SU23" s="359"/>
      <c r="SV23" s="359"/>
      <c r="SW23" s="358"/>
      <c r="SX23" s="359"/>
      <c r="SY23" s="359"/>
      <c r="SZ23" s="359"/>
      <c r="TA23" s="359"/>
      <c r="TB23" s="354" t="n">
        <f aca="false">+AVERAGE(B23:IB23)</f>
        <v>3.41558441558442</v>
      </c>
    </row>
    <row r="24" customFormat="false" ht="15.5" hidden="false" customHeight="false" outlineLevel="0" collapsed="false">
      <c r="A24" s="356" t="s">
        <v>521</v>
      </c>
      <c r="B24" s="358" t="n">
        <v>3</v>
      </c>
      <c r="C24" s="359" t="n">
        <v>3</v>
      </c>
      <c r="D24" s="359" t="n">
        <v>5</v>
      </c>
      <c r="E24" s="359" t="n">
        <v>3</v>
      </c>
      <c r="F24" s="359" t="n">
        <v>3</v>
      </c>
      <c r="G24" s="358" t="n">
        <v>1</v>
      </c>
      <c r="H24" s="359" t="n">
        <v>3</v>
      </c>
      <c r="I24" s="359" t="n">
        <v>5</v>
      </c>
      <c r="J24" s="359" t="n">
        <v>1</v>
      </c>
      <c r="K24" s="359" t="n">
        <v>1</v>
      </c>
      <c r="L24" s="358" t="n">
        <v>1</v>
      </c>
      <c r="M24" s="359" t="n">
        <v>3</v>
      </c>
      <c r="N24" s="359" t="n">
        <v>3</v>
      </c>
      <c r="O24" s="359" t="n">
        <v>1</v>
      </c>
      <c r="P24" s="359" t="n">
        <v>1</v>
      </c>
      <c r="Q24" s="358" t="n">
        <v>1</v>
      </c>
      <c r="R24" s="359" t="n">
        <v>3</v>
      </c>
      <c r="S24" s="359" t="n">
        <v>5</v>
      </c>
      <c r="T24" s="359" t="n">
        <v>1</v>
      </c>
      <c r="U24" s="359" t="n">
        <v>3</v>
      </c>
      <c r="V24" s="358" t="n">
        <v>1</v>
      </c>
      <c r="W24" s="359" t="n">
        <v>5</v>
      </c>
      <c r="X24" s="359" t="n">
        <v>5</v>
      </c>
      <c r="Y24" s="359" t="n">
        <v>3</v>
      </c>
      <c r="Z24" s="359" t="n">
        <v>3</v>
      </c>
      <c r="AA24" s="358" t="n">
        <v>3</v>
      </c>
      <c r="AB24" s="359" t="n">
        <v>5</v>
      </c>
      <c r="AC24" s="359" t="n">
        <v>5</v>
      </c>
      <c r="AD24" s="359" t="n">
        <v>3</v>
      </c>
      <c r="AE24" s="359" t="n">
        <v>5</v>
      </c>
      <c r="AF24" s="358" t="n">
        <v>3</v>
      </c>
      <c r="AG24" s="359" t="n">
        <v>5</v>
      </c>
      <c r="AH24" s="359" t="n">
        <v>5</v>
      </c>
      <c r="AI24" s="359" t="n">
        <v>5</v>
      </c>
      <c r="AJ24" s="359" t="n">
        <v>5</v>
      </c>
      <c r="AK24" s="358" t="n">
        <v>3</v>
      </c>
      <c r="AL24" s="359" t="n">
        <v>5</v>
      </c>
      <c r="AM24" s="359" t="n">
        <v>5</v>
      </c>
      <c r="AN24" s="359" t="n">
        <v>5</v>
      </c>
      <c r="AO24" s="359" t="n">
        <v>5</v>
      </c>
      <c r="AP24" s="358" t="n">
        <v>1</v>
      </c>
      <c r="AQ24" s="359" t="n">
        <v>5</v>
      </c>
      <c r="AR24" s="359" t="n">
        <v>5</v>
      </c>
      <c r="AS24" s="359" t="n">
        <v>3</v>
      </c>
      <c r="AT24" s="359" t="n">
        <v>1</v>
      </c>
      <c r="AU24" s="358" t="n">
        <v>3</v>
      </c>
      <c r="AV24" s="359"/>
      <c r="AW24" s="359" t="n">
        <v>5</v>
      </c>
      <c r="AX24" s="359" t="n">
        <v>3</v>
      </c>
      <c r="AY24" s="359" t="n">
        <v>3</v>
      </c>
      <c r="AZ24" s="358" t="n">
        <v>1</v>
      </c>
      <c r="BA24" s="359"/>
      <c r="BB24" s="359" t="n">
        <v>5</v>
      </c>
      <c r="BC24" s="359" t="n">
        <v>1</v>
      </c>
      <c r="BD24" s="359" t="n">
        <v>1</v>
      </c>
      <c r="BE24" s="358" t="n">
        <v>1</v>
      </c>
      <c r="BF24" s="359" t="n">
        <v>5</v>
      </c>
      <c r="BG24" s="359" t="n">
        <v>5</v>
      </c>
      <c r="BH24" s="359" t="n">
        <v>1</v>
      </c>
      <c r="BI24" s="359" t="n">
        <v>1</v>
      </c>
      <c r="BJ24" s="358" t="n">
        <v>3</v>
      </c>
      <c r="BK24" s="359" t="n">
        <v>5</v>
      </c>
      <c r="BL24" s="359" t="n">
        <v>3</v>
      </c>
      <c r="BM24" s="359" t="n">
        <v>3</v>
      </c>
      <c r="BN24" s="359" t="n">
        <v>3</v>
      </c>
      <c r="BO24" s="358" t="n">
        <v>5</v>
      </c>
      <c r="BP24" s="359"/>
      <c r="BQ24" s="359" t="n">
        <v>5</v>
      </c>
      <c r="BR24" s="359" t="n">
        <v>3</v>
      </c>
      <c r="BS24" s="359" t="n">
        <v>5</v>
      </c>
      <c r="BT24" s="358" t="n">
        <v>3</v>
      </c>
      <c r="BU24" s="359" t="n">
        <v>5</v>
      </c>
      <c r="BV24" s="359" t="n">
        <v>5</v>
      </c>
      <c r="BW24" s="359" t="n">
        <v>3</v>
      </c>
      <c r="BX24" s="359" t="n">
        <v>5</v>
      </c>
      <c r="BY24" s="358" t="n">
        <v>5</v>
      </c>
      <c r="BZ24" s="358" t="n">
        <v>5</v>
      </c>
      <c r="CA24" s="359" t="n">
        <v>5</v>
      </c>
      <c r="CB24" s="359" t="n">
        <v>3</v>
      </c>
      <c r="CC24" s="359" t="n">
        <v>5</v>
      </c>
      <c r="CD24" s="358"/>
      <c r="CE24" s="359"/>
      <c r="CF24" s="359"/>
      <c r="CG24" s="359"/>
      <c r="CH24" s="359"/>
      <c r="CI24" s="358"/>
      <c r="CJ24" s="359"/>
      <c r="CK24" s="359"/>
      <c r="CL24" s="359"/>
      <c r="CM24" s="359"/>
      <c r="CN24" s="358"/>
      <c r="CO24" s="359"/>
      <c r="CP24" s="359"/>
      <c r="CQ24" s="359"/>
      <c r="CR24" s="359"/>
      <c r="CS24" s="358"/>
      <c r="CT24" s="359"/>
      <c r="CU24" s="359"/>
      <c r="CV24" s="359"/>
      <c r="CW24" s="359"/>
      <c r="CX24" s="358"/>
      <c r="CY24" s="359"/>
      <c r="CZ24" s="359"/>
      <c r="DA24" s="359"/>
      <c r="DB24" s="359"/>
      <c r="DC24" s="358"/>
      <c r="DD24" s="359"/>
      <c r="DE24" s="359"/>
      <c r="DF24" s="359"/>
      <c r="DG24" s="359"/>
      <c r="DH24" s="358"/>
      <c r="DI24" s="359"/>
      <c r="DJ24" s="359"/>
      <c r="DK24" s="359"/>
      <c r="DL24" s="359"/>
      <c r="DM24" s="358"/>
      <c r="DN24" s="359"/>
      <c r="DO24" s="359"/>
      <c r="DP24" s="359"/>
      <c r="DQ24" s="359"/>
      <c r="DR24" s="358"/>
      <c r="DS24" s="359"/>
      <c r="DT24" s="359"/>
      <c r="DU24" s="359"/>
      <c r="DV24" s="359"/>
      <c r="DW24" s="358"/>
      <c r="DX24" s="359"/>
      <c r="DY24" s="359"/>
      <c r="DZ24" s="359"/>
      <c r="EA24" s="359"/>
      <c r="EB24" s="358"/>
      <c r="EC24" s="359"/>
      <c r="ED24" s="359"/>
      <c r="EE24" s="359"/>
      <c r="EF24" s="359"/>
      <c r="EG24" s="358"/>
      <c r="EH24" s="359"/>
      <c r="EI24" s="359"/>
      <c r="EJ24" s="359"/>
      <c r="EK24" s="359"/>
      <c r="EL24" s="358"/>
      <c r="EM24" s="359"/>
      <c r="EN24" s="359"/>
      <c r="EO24" s="359"/>
      <c r="EP24" s="359"/>
      <c r="EQ24" s="358"/>
      <c r="ER24" s="359"/>
      <c r="ES24" s="359"/>
      <c r="ET24" s="359"/>
      <c r="EU24" s="359"/>
      <c r="EV24" s="358"/>
      <c r="EW24" s="359"/>
      <c r="EX24" s="359"/>
      <c r="EY24" s="359"/>
      <c r="EZ24" s="359"/>
      <c r="FA24" s="358"/>
      <c r="FB24" s="359"/>
      <c r="FC24" s="359"/>
      <c r="FD24" s="359"/>
      <c r="FE24" s="359"/>
      <c r="FF24" s="358"/>
      <c r="FG24" s="359"/>
      <c r="FH24" s="359"/>
      <c r="FI24" s="359"/>
      <c r="FJ24" s="359"/>
      <c r="FK24" s="358"/>
      <c r="FL24" s="359"/>
      <c r="FM24" s="359"/>
      <c r="FN24" s="359"/>
      <c r="FO24" s="359"/>
      <c r="FP24" s="358"/>
      <c r="FQ24" s="359"/>
      <c r="FR24" s="359"/>
      <c r="FS24" s="359"/>
      <c r="FT24" s="359"/>
      <c r="FU24" s="358"/>
      <c r="FV24" s="359"/>
      <c r="FW24" s="359"/>
      <c r="FX24" s="359"/>
      <c r="FY24" s="359"/>
      <c r="FZ24" s="358"/>
      <c r="GA24" s="359"/>
      <c r="GB24" s="359"/>
      <c r="GC24" s="359"/>
      <c r="GD24" s="359"/>
      <c r="GE24" s="358"/>
      <c r="GF24" s="359"/>
      <c r="GG24" s="359"/>
      <c r="GH24" s="359"/>
      <c r="GI24" s="359"/>
      <c r="GJ24" s="358"/>
      <c r="GK24" s="359"/>
      <c r="GL24" s="359"/>
      <c r="GM24" s="359"/>
      <c r="GN24" s="359"/>
      <c r="GO24" s="358"/>
      <c r="GP24" s="359"/>
      <c r="GQ24" s="359"/>
      <c r="GR24" s="359"/>
      <c r="GS24" s="359"/>
      <c r="GT24" s="358"/>
      <c r="GU24" s="359"/>
      <c r="GV24" s="359"/>
      <c r="GW24" s="359"/>
      <c r="GX24" s="359"/>
      <c r="GY24" s="358"/>
      <c r="GZ24" s="359"/>
      <c r="HA24" s="359"/>
      <c r="HB24" s="359"/>
      <c r="HC24" s="359"/>
      <c r="HD24" s="358"/>
      <c r="HE24" s="359"/>
      <c r="HF24" s="359"/>
      <c r="HG24" s="359"/>
      <c r="HH24" s="359"/>
      <c r="HI24" s="358"/>
      <c r="HJ24" s="359"/>
      <c r="HK24" s="359"/>
      <c r="HL24" s="359"/>
      <c r="HM24" s="359"/>
      <c r="HN24" s="358"/>
      <c r="HO24" s="359"/>
      <c r="HP24" s="359"/>
      <c r="HQ24" s="359"/>
      <c r="HR24" s="359"/>
      <c r="HS24" s="358"/>
      <c r="HT24" s="359"/>
      <c r="HU24" s="359"/>
      <c r="HV24" s="359"/>
      <c r="HW24" s="359"/>
      <c r="HX24" s="358"/>
      <c r="HY24" s="359"/>
      <c r="HZ24" s="359"/>
      <c r="IA24" s="359"/>
      <c r="IB24" s="359"/>
      <c r="IC24" s="358"/>
      <c r="ID24" s="359"/>
      <c r="IE24" s="359"/>
      <c r="IF24" s="359"/>
      <c r="IG24" s="359"/>
      <c r="IH24" s="358"/>
      <c r="II24" s="359"/>
      <c r="IJ24" s="359"/>
      <c r="IK24" s="359"/>
      <c r="IL24" s="359"/>
      <c r="IM24" s="358"/>
      <c r="IN24" s="359"/>
      <c r="IO24" s="359"/>
      <c r="IP24" s="359"/>
      <c r="IQ24" s="359"/>
      <c r="IR24" s="358"/>
      <c r="IS24" s="359"/>
      <c r="IT24" s="359"/>
      <c r="IU24" s="359"/>
      <c r="IV24" s="359"/>
      <c r="IW24" s="358"/>
      <c r="IX24" s="359"/>
      <c r="IY24" s="359"/>
      <c r="IZ24" s="359"/>
      <c r="JA24" s="359"/>
      <c r="JB24" s="358"/>
      <c r="JC24" s="359"/>
      <c r="JD24" s="359"/>
      <c r="JE24" s="359"/>
      <c r="JF24" s="359"/>
      <c r="JG24" s="358"/>
      <c r="JH24" s="359"/>
      <c r="JI24" s="359"/>
      <c r="JJ24" s="359"/>
      <c r="JK24" s="359"/>
      <c r="JL24" s="358"/>
      <c r="JM24" s="359"/>
      <c r="JN24" s="359"/>
      <c r="JO24" s="359"/>
      <c r="JP24" s="359"/>
      <c r="JQ24" s="358"/>
      <c r="JR24" s="359"/>
      <c r="JS24" s="359"/>
      <c r="JT24" s="359"/>
      <c r="JU24" s="359"/>
      <c r="JV24" s="358"/>
      <c r="JW24" s="359"/>
      <c r="JX24" s="359"/>
      <c r="JY24" s="359"/>
      <c r="JZ24" s="359"/>
      <c r="KA24" s="358"/>
      <c r="KB24" s="359"/>
      <c r="KC24" s="359"/>
      <c r="KD24" s="359"/>
      <c r="KE24" s="359"/>
      <c r="KF24" s="358"/>
      <c r="KG24" s="359"/>
      <c r="KH24" s="359"/>
      <c r="KI24" s="359"/>
      <c r="KJ24" s="359"/>
      <c r="KK24" s="358"/>
      <c r="KL24" s="359"/>
      <c r="KM24" s="359"/>
      <c r="KN24" s="359"/>
      <c r="KO24" s="359"/>
      <c r="KP24" s="358"/>
      <c r="KQ24" s="359"/>
      <c r="KR24" s="359"/>
      <c r="KS24" s="359"/>
      <c r="KT24" s="359"/>
      <c r="KU24" s="358"/>
      <c r="KV24" s="359"/>
      <c r="KW24" s="359"/>
      <c r="KX24" s="359"/>
      <c r="KY24" s="359"/>
      <c r="KZ24" s="358"/>
      <c r="LA24" s="359"/>
      <c r="LB24" s="359"/>
      <c r="LC24" s="359"/>
      <c r="LD24" s="359"/>
      <c r="LE24" s="358"/>
      <c r="LF24" s="359"/>
      <c r="LG24" s="359"/>
      <c r="LH24" s="359"/>
      <c r="LI24" s="359"/>
      <c r="LJ24" s="358"/>
      <c r="LK24" s="359"/>
      <c r="LL24" s="359"/>
      <c r="LM24" s="359"/>
      <c r="LN24" s="359"/>
      <c r="LO24" s="358"/>
      <c r="LP24" s="359"/>
      <c r="LQ24" s="359"/>
      <c r="LR24" s="359"/>
      <c r="LS24" s="359"/>
      <c r="LT24" s="358"/>
      <c r="LU24" s="359"/>
      <c r="LV24" s="359"/>
      <c r="LW24" s="359"/>
      <c r="LX24" s="359"/>
      <c r="LY24" s="358"/>
      <c r="LZ24" s="359"/>
      <c r="MA24" s="359"/>
      <c r="MB24" s="359"/>
      <c r="MC24" s="359"/>
      <c r="MD24" s="358"/>
      <c r="ME24" s="359"/>
      <c r="MF24" s="359"/>
      <c r="MG24" s="359"/>
      <c r="MH24" s="359"/>
      <c r="MI24" s="358"/>
      <c r="MJ24" s="359"/>
      <c r="MK24" s="359"/>
      <c r="ML24" s="359"/>
      <c r="MM24" s="359"/>
      <c r="MN24" s="358"/>
      <c r="MO24" s="359"/>
      <c r="MP24" s="359"/>
      <c r="MQ24" s="359"/>
      <c r="MR24" s="359"/>
      <c r="MS24" s="358"/>
      <c r="MT24" s="359"/>
      <c r="MU24" s="359"/>
      <c r="MV24" s="359"/>
      <c r="MW24" s="359"/>
      <c r="MX24" s="358"/>
      <c r="MY24" s="359"/>
      <c r="MZ24" s="359"/>
      <c r="NA24" s="359"/>
      <c r="NB24" s="359"/>
      <c r="NC24" s="358"/>
      <c r="ND24" s="359"/>
      <c r="NE24" s="359"/>
      <c r="NF24" s="359"/>
      <c r="NG24" s="359"/>
      <c r="NH24" s="358"/>
      <c r="NI24" s="359"/>
      <c r="NJ24" s="359"/>
      <c r="NK24" s="359"/>
      <c r="NL24" s="359"/>
      <c r="NM24" s="358"/>
      <c r="NN24" s="359"/>
      <c r="NO24" s="359"/>
      <c r="NP24" s="359"/>
      <c r="NQ24" s="359"/>
      <c r="NR24" s="358"/>
      <c r="NS24" s="359"/>
      <c r="NT24" s="359"/>
      <c r="NU24" s="359"/>
      <c r="NV24" s="359"/>
      <c r="NW24" s="358"/>
      <c r="NX24" s="359"/>
      <c r="NY24" s="359"/>
      <c r="NZ24" s="359"/>
      <c r="OA24" s="359"/>
      <c r="OB24" s="358"/>
      <c r="OC24" s="359"/>
      <c r="OD24" s="359"/>
      <c r="OE24" s="359"/>
      <c r="OF24" s="359"/>
      <c r="OG24" s="358"/>
      <c r="OH24" s="359"/>
      <c r="OI24" s="359"/>
      <c r="OJ24" s="359"/>
      <c r="OK24" s="359"/>
      <c r="OL24" s="358"/>
      <c r="OM24" s="359"/>
      <c r="ON24" s="359"/>
      <c r="OO24" s="359"/>
      <c r="OP24" s="359"/>
      <c r="OQ24" s="358"/>
      <c r="OR24" s="359"/>
      <c r="OS24" s="359"/>
      <c r="OT24" s="359"/>
      <c r="OU24" s="359"/>
      <c r="OV24" s="358"/>
      <c r="OW24" s="359"/>
      <c r="OX24" s="359"/>
      <c r="OY24" s="359"/>
      <c r="OZ24" s="359"/>
      <c r="PA24" s="358"/>
      <c r="PB24" s="359"/>
      <c r="PC24" s="359"/>
      <c r="PD24" s="359"/>
      <c r="PE24" s="359"/>
      <c r="PF24" s="358"/>
      <c r="PG24" s="359"/>
      <c r="PH24" s="359"/>
      <c r="PI24" s="359"/>
      <c r="PJ24" s="359"/>
      <c r="PK24" s="358"/>
      <c r="PL24" s="359"/>
      <c r="PM24" s="359"/>
      <c r="PN24" s="359"/>
      <c r="PO24" s="359"/>
      <c r="PP24" s="358"/>
      <c r="PQ24" s="359"/>
      <c r="PR24" s="359"/>
      <c r="PS24" s="359"/>
      <c r="PT24" s="359"/>
      <c r="PU24" s="358"/>
      <c r="PV24" s="359"/>
      <c r="PW24" s="359"/>
      <c r="PX24" s="359"/>
      <c r="PY24" s="359"/>
      <c r="PZ24" s="358"/>
      <c r="QA24" s="359"/>
      <c r="QB24" s="359"/>
      <c r="QC24" s="359"/>
      <c r="QD24" s="359"/>
      <c r="QE24" s="358"/>
      <c r="QF24" s="359"/>
      <c r="QG24" s="359"/>
      <c r="QH24" s="359"/>
      <c r="QI24" s="359"/>
      <c r="QJ24" s="358"/>
      <c r="QK24" s="359"/>
      <c r="QL24" s="359"/>
      <c r="QM24" s="359"/>
      <c r="QN24" s="359"/>
      <c r="QO24" s="358"/>
      <c r="QP24" s="359"/>
      <c r="QQ24" s="359"/>
      <c r="QR24" s="359"/>
      <c r="QS24" s="359"/>
      <c r="QT24" s="358"/>
      <c r="QU24" s="359"/>
      <c r="QV24" s="359"/>
      <c r="QW24" s="359"/>
      <c r="QX24" s="359"/>
      <c r="QY24" s="358"/>
      <c r="QZ24" s="359"/>
      <c r="RA24" s="359"/>
      <c r="RB24" s="359"/>
      <c r="RC24" s="359"/>
      <c r="RD24" s="358"/>
      <c r="RE24" s="359"/>
      <c r="RF24" s="359"/>
      <c r="RG24" s="359"/>
      <c r="RH24" s="359"/>
      <c r="RI24" s="358"/>
      <c r="RJ24" s="359"/>
      <c r="RK24" s="359"/>
      <c r="RL24" s="359"/>
      <c r="RM24" s="359"/>
      <c r="RN24" s="358"/>
      <c r="RO24" s="359"/>
      <c r="RP24" s="359"/>
      <c r="RQ24" s="359"/>
      <c r="RR24" s="359"/>
      <c r="RS24" s="358"/>
      <c r="RT24" s="359"/>
      <c r="RU24" s="359"/>
      <c r="RV24" s="359"/>
      <c r="RW24" s="359"/>
      <c r="RX24" s="358"/>
      <c r="RY24" s="359"/>
      <c r="RZ24" s="359"/>
      <c r="SA24" s="359"/>
      <c r="SB24" s="359"/>
      <c r="SC24" s="358"/>
      <c r="SD24" s="359"/>
      <c r="SE24" s="359"/>
      <c r="SF24" s="359"/>
      <c r="SG24" s="359"/>
      <c r="SH24" s="358"/>
      <c r="SI24" s="359"/>
      <c r="SJ24" s="359"/>
      <c r="SK24" s="359"/>
      <c r="SL24" s="359"/>
      <c r="SM24" s="358"/>
      <c r="SN24" s="359"/>
      <c r="SO24" s="359"/>
      <c r="SP24" s="359"/>
      <c r="SQ24" s="359"/>
      <c r="SR24" s="358"/>
      <c r="SS24" s="359"/>
      <c r="ST24" s="359"/>
      <c r="SU24" s="359"/>
      <c r="SV24" s="359"/>
      <c r="SW24" s="358"/>
      <c r="SX24" s="359"/>
      <c r="SY24" s="359"/>
      <c r="SZ24" s="359"/>
      <c r="TA24" s="359"/>
      <c r="TB24" s="354" t="n">
        <f aca="false">+AVERAGE(B24:IB24)</f>
        <v>3.41558441558442</v>
      </c>
    </row>
    <row r="25" customFormat="false" ht="15.5" hidden="false" customHeight="false" outlineLevel="0" collapsed="false">
      <c r="A25" s="356" t="s">
        <v>521</v>
      </c>
      <c r="B25" s="358" t="n">
        <v>3</v>
      </c>
      <c r="C25" s="359" t="n">
        <v>3</v>
      </c>
      <c r="D25" s="359" t="n">
        <v>5</v>
      </c>
      <c r="E25" s="359" t="n">
        <v>3</v>
      </c>
      <c r="F25" s="359" t="n">
        <v>3</v>
      </c>
      <c r="G25" s="358" t="n">
        <v>1</v>
      </c>
      <c r="H25" s="359" t="n">
        <v>3</v>
      </c>
      <c r="I25" s="359" t="n">
        <v>5</v>
      </c>
      <c r="J25" s="359" t="n">
        <v>1</v>
      </c>
      <c r="K25" s="359" t="n">
        <v>1</v>
      </c>
      <c r="L25" s="358" t="n">
        <v>1</v>
      </c>
      <c r="M25" s="359" t="n">
        <v>3</v>
      </c>
      <c r="N25" s="359" t="n">
        <v>3</v>
      </c>
      <c r="O25" s="359" t="n">
        <v>1</v>
      </c>
      <c r="P25" s="359" t="n">
        <v>1</v>
      </c>
      <c r="Q25" s="358" t="n">
        <v>1</v>
      </c>
      <c r="R25" s="359" t="n">
        <v>3</v>
      </c>
      <c r="S25" s="359" t="n">
        <v>5</v>
      </c>
      <c r="T25" s="359" t="n">
        <v>1</v>
      </c>
      <c r="U25" s="359" t="n">
        <v>3</v>
      </c>
      <c r="V25" s="358" t="n">
        <v>1</v>
      </c>
      <c r="W25" s="359" t="n">
        <v>5</v>
      </c>
      <c r="X25" s="359" t="n">
        <v>5</v>
      </c>
      <c r="Y25" s="359" t="n">
        <v>3</v>
      </c>
      <c r="Z25" s="359" t="n">
        <v>3</v>
      </c>
      <c r="AA25" s="358" t="n">
        <v>3</v>
      </c>
      <c r="AB25" s="359" t="n">
        <v>5</v>
      </c>
      <c r="AC25" s="359" t="n">
        <v>5</v>
      </c>
      <c r="AD25" s="359" t="n">
        <v>3</v>
      </c>
      <c r="AE25" s="359" t="n">
        <v>5</v>
      </c>
      <c r="AF25" s="358" t="n">
        <v>3</v>
      </c>
      <c r="AG25" s="359" t="n">
        <v>5</v>
      </c>
      <c r="AH25" s="359" t="n">
        <v>5</v>
      </c>
      <c r="AI25" s="359" t="n">
        <v>5</v>
      </c>
      <c r="AJ25" s="359" t="n">
        <v>5</v>
      </c>
      <c r="AK25" s="358" t="n">
        <v>3</v>
      </c>
      <c r="AL25" s="359" t="n">
        <v>5</v>
      </c>
      <c r="AM25" s="359" t="n">
        <v>5</v>
      </c>
      <c r="AN25" s="359" t="n">
        <v>5</v>
      </c>
      <c r="AO25" s="359" t="n">
        <v>5</v>
      </c>
      <c r="AP25" s="358" t="n">
        <v>1</v>
      </c>
      <c r="AQ25" s="359" t="n">
        <v>5</v>
      </c>
      <c r="AR25" s="359" t="n">
        <v>5</v>
      </c>
      <c r="AS25" s="359" t="n">
        <v>3</v>
      </c>
      <c r="AT25" s="359" t="n">
        <v>1</v>
      </c>
      <c r="AU25" s="358" t="n">
        <v>3</v>
      </c>
      <c r="AV25" s="359"/>
      <c r="AW25" s="359" t="n">
        <v>5</v>
      </c>
      <c r="AX25" s="359" t="n">
        <v>3</v>
      </c>
      <c r="AY25" s="359" t="n">
        <v>3</v>
      </c>
      <c r="AZ25" s="358" t="n">
        <v>1</v>
      </c>
      <c r="BA25" s="359"/>
      <c r="BB25" s="359" t="n">
        <v>5</v>
      </c>
      <c r="BC25" s="359" t="n">
        <v>1</v>
      </c>
      <c r="BD25" s="359" t="n">
        <v>1</v>
      </c>
      <c r="BE25" s="358" t="n">
        <v>1</v>
      </c>
      <c r="BF25" s="359" t="n">
        <v>5</v>
      </c>
      <c r="BG25" s="359" t="n">
        <v>5</v>
      </c>
      <c r="BH25" s="359" t="n">
        <v>1</v>
      </c>
      <c r="BI25" s="359" t="n">
        <v>1</v>
      </c>
      <c r="BJ25" s="358" t="n">
        <v>3</v>
      </c>
      <c r="BK25" s="359" t="n">
        <v>5</v>
      </c>
      <c r="BL25" s="359" t="n">
        <v>3</v>
      </c>
      <c r="BM25" s="359" t="n">
        <v>3</v>
      </c>
      <c r="BN25" s="359" t="n">
        <v>3</v>
      </c>
      <c r="BO25" s="358" t="n">
        <v>5</v>
      </c>
      <c r="BP25" s="359"/>
      <c r="BQ25" s="359" t="n">
        <v>5</v>
      </c>
      <c r="BR25" s="359" t="n">
        <v>3</v>
      </c>
      <c r="BS25" s="359" t="n">
        <v>5</v>
      </c>
      <c r="BT25" s="358" t="n">
        <v>3</v>
      </c>
      <c r="BU25" s="359" t="n">
        <v>5</v>
      </c>
      <c r="BV25" s="359" t="n">
        <v>5</v>
      </c>
      <c r="BW25" s="359" t="n">
        <v>3</v>
      </c>
      <c r="BX25" s="359" t="n">
        <v>5</v>
      </c>
      <c r="BY25" s="358" t="n">
        <v>5</v>
      </c>
      <c r="BZ25" s="358" t="n">
        <v>5</v>
      </c>
      <c r="CA25" s="359" t="n">
        <v>5</v>
      </c>
      <c r="CB25" s="359" t="n">
        <v>3</v>
      </c>
      <c r="CC25" s="359" t="n">
        <v>5</v>
      </c>
      <c r="CD25" s="358"/>
      <c r="CE25" s="359"/>
      <c r="CF25" s="359"/>
      <c r="CG25" s="359"/>
      <c r="CH25" s="359"/>
      <c r="CI25" s="358"/>
      <c r="CJ25" s="359"/>
      <c r="CK25" s="359"/>
      <c r="CL25" s="359"/>
      <c r="CM25" s="359"/>
      <c r="CN25" s="358"/>
      <c r="CO25" s="359"/>
      <c r="CP25" s="359"/>
      <c r="CQ25" s="359"/>
      <c r="CR25" s="359"/>
      <c r="CS25" s="358"/>
      <c r="CT25" s="359"/>
      <c r="CU25" s="359"/>
      <c r="CV25" s="359"/>
      <c r="CW25" s="359"/>
      <c r="CX25" s="358"/>
      <c r="CY25" s="359"/>
      <c r="CZ25" s="359"/>
      <c r="DA25" s="359"/>
      <c r="DB25" s="359"/>
      <c r="DC25" s="358"/>
      <c r="DD25" s="359"/>
      <c r="DE25" s="359"/>
      <c r="DF25" s="359"/>
      <c r="DG25" s="359"/>
      <c r="DH25" s="358"/>
      <c r="DI25" s="359"/>
      <c r="DJ25" s="359"/>
      <c r="DK25" s="359"/>
      <c r="DL25" s="359"/>
      <c r="DM25" s="358"/>
      <c r="DN25" s="359"/>
      <c r="DO25" s="359"/>
      <c r="DP25" s="359"/>
      <c r="DQ25" s="359"/>
      <c r="DR25" s="358"/>
      <c r="DS25" s="359"/>
      <c r="DT25" s="359"/>
      <c r="DU25" s="359"/>
      <c r="DV25" s="359"/>
      <c r="DW25" s="358"/>
      <c r="DX25" s="359"/>
      <c r="DY25" s="359"/>
      <c r="DZ25" s="359"/>
      <c r="EA25" s="359"/>
      <c r="EB25" s="358"/>
      <c r="EC25" s="359"/>
      <c r="ED25" s="359"/>
      <c r="EE25" s="359"/>
      <c r="EF25" s="359"/>
      <c r="EG25" s="358"/>
      <c r="EH25" s="359"/>
      <c r="EI25" s="359"/>
      <c r="EJ25" s="359"/>
      <c r="EK25" s="359"/>
      <c r="EL25" s="358"/>
      <c r="EM25" s="359"/>
      <c r="EN25" s="359"/>
      <c r="EO25" s="359"/>
      <c r="EP25" s="359"/>
      <c r="EQ25" s="358"/>
      <c r="ER25" s="359"/>
      <c r="ES25" s="359"/>
      <c r="ET25" s="359"/>
      <c r="EU25" s="359"/>
      <c r="EV25" s="358"/>
      <c r="EW25" s="359"/>
      <c r="EX25" s="359"/>
      <c r="EY25" s="359"/>
      <c r="EZ25" s="359"/>
      <c r="FA25" s="358"/>
      <c r="FB25" s="359"/>
      <c r="FC25" s="359"/>
      <c r="FD25" s="359"/>
      <c r="FE25" s="359"/>
      <c r="FF25" s="358"/>
      <c r="FG25" s="359"/>
      <c r="FH25" s="359"/>
      <c r="FI25" s="359"/>
      <c r="FJ25" s="359"/>
      <c r="FK25" s="358"/>
      <c r="FL25" s="359"/>
      <c r="FM25" s="359"/>
      <c r="FN25" s="359"/>
      <c r="FO25" s="359"/>
      <c r="FP25" s="358"/>
      <c r="FQ25" s="359"/>
      <c r="FR25" s="359"/>
      <c r="FS25" s="359"/>
      <c r="FT25" s="359"/>
      <c r="FU25" s="358"/>
      <c r="FV25" s="359"/>
      <c r="FW25" s="359"/>
      <c r="FX25" s="359"/>
      <c r="FY25" s="359"/>
      <c r="FZ25" s="358"/>
      <c r="GA25" s="359"/>
      <c r="GB25" s="359"/>
      <c r="GC25" s="359"/>
      <c r="GD25" s="359"/>
      <c r="GE25" s="358"/>
      <c r="GF25" s="359"/>
      <c r="GG25" s="359"/>
      <c r="GH25" s="359"/>
      <c r="GI25" s="359"/>
      <c r="GJ25" s="358"/>
      <c r="GK25" s="359"/>
      <c r="GL25" s="359"/>
      <c r="GM25" s="359"/>
      <c r="GN25" s="359"/>
      <c r="GO25" s="358"/>
      <c r="GP25" s="359"/>
      <c r="GQ25" s="359"/>
      <c r="GR25" s="359"/>
      <c r="GS25" s="359"/>
      <c r="GT25" s="358"/>
      <c r="GU25" s="359"/>
      <c r="GV25" s="359"/>
      <c r="GW25" s="359"/>
      <c r="GX25" s="359"/>
      <c r="GY25" s="358"/>
      <c r="GZ25" s="359"/>
      <c r="HA25" s="359"/>
      <c r="HB25" s="359"/>
      <c r="HC25" s="359"/>
      <c r="HD25" s="358"/>
      <c r="HE25" s="359"/>
      <c r="HF25" s="359"/>
      <c r="HG25" s="359"/>
      <c r="HH25" s="359"/>
      <c r="HI25" s="358"/>
      <c r="HJ25" s="359"/>
      <c r="HK25" s="359"/>
      <c r="HL25" s="359"/>
      <c r="HM25" s="359"/>
      <c r="HN25" s="358"/>
      <c r="HO25" s="359"/>
      <c r="HP25" s="359"/>
      <c r="HQ25" s="359"/>
      <c r="HR25" s="359"/>
      <c r="HS25" s="358"/>
      <c r="HT25" s="359"/>
      <c r="HU25" s="359"/>
      <c r="HV25" s="359"/>
      <c r="HW25" s="359"/>
      <c r="HX25" s="358"/>
      <c r="HY25" s="359"/>
      <c r="HZ25" s="359"/>
      <c r="IA25" s="359"/>
      <c r="IB25" s="359"/>
      <c r="IC25" s="358"/>
      <c r="ID25" s="359"/>
      <c r="IE25" s="359"/>
      <c r="IF25" s="359"/>
      <c r="IG25" s="359"/>
      <c r="IH25" s="358"/>
      <c r="II25" s="359"/>
      <c r="IJ25" s="359"/>
      <c r="IK25" s="359"/>
      <c r="IL25" s="359"/>
      <c r="IM25" s="358"/>
      <c r="IN25" s="359"/>
      <c r="IO25" s="359"/>
      <c r="IP25" s="359"/>
      <c r="IQ25" s="359"/>
      <c r="IR25" s="358"/>
      <c r="IS25" s="359"/>
      <c r="IT25" s="359"/>
      <c r="IU25" s="359"/>
      <c r="IV25" s="359"/>
      <c r="IW25" s="358"/>
      <c r="IX25" s="359"/>
      <c r="IY25" s="359"/>
      <c r="IZ25" s="359"/>
      <c r="JA25" s="359"/>
      <c r="JB25" s="358"/>
      <c r="JC25" s="359"/>
      <c r="JD25" s="359"/>
      <c r="JE25" s="359"/>
      <c r="JF25" s="359"/>
      <c r="JG25" s="358"/>
      <c r="JH25" s="359"/>
      <c r="JI25" s="359"/>
      <c r="JJ25" s="359"/>
      <c r="JK25" s="359"/>
      <c r="JL25" s="358"/>
      <c r="JM25" s="359"/>
      <c r="JN25" s="359"/>
      <c r="JO25" s="359"/>
      <c r="JP25" s="359"/>
      <c r="JQ25" s="358"/>
      <c r="JR25" s="359"/>
      <c r="JS25" s="359"/>
      <c r="JT25" s="359"/>
      <c r="JU25" s="359"/>
      <c r="JV25" s="358"/>
      <c r="JW25" s="359"/>
      <c r="JX25" s="359"/>
      <c r="JY25" s="359"/>
      <c r="JZ25" s="359"/>
      <c r="KA25" s="358"/>
      <c r="KB25" s="359"/>
      <c r="KC25" s="359"/>
      <c r="KD25" s="359"/>
      <c r="KE25" s="359"/>
      <c r="KF25" s="358"/>
      <c r="KG25" s="359"/>
      <c r="KH25" s="359"/>
      <c r="KI25" s="359"/>
      <c r="KJ25" s="359"/>
      <c r="KK25" s="358"/>
      <c r="KL25" s="359"/>
      <c r="KM25" s="359"/>
      <c r="KN25" s="359"/>
      <c r="KO25" s="359"/>
      <c r="KP25" s="358"/>
      <c r="KQ25" s="359"/>
      <c r="KR25" s="359"/>
      <c r="KS25" s="359"/>
      <c r="KT25" s="359"/>
      <c r="KU25" s="358"/>
      <c r="KV25" s="359"/>
      <c r="KW25" s="359"/>
      <c r="KX25" s="359"/>
      <c r="KY25" s="359"/>
      <c r="KZ25" s="358"/>
      <c r="LA25" s="359"/>
      <c r="LB25" s="359"/>
      <c r="LC25" s="359"/>
      <c r="LD25" s="359"/>
      <c r="LE25" s="358"/>
      <c r="LF25" s="359"/>
      <c r="LG25" s="359"/>
      <c r="LH25" s="359"/>
      <c r="LI25" s="359"/>
      <c r="LJ25" s="358"/>
      <c r="LK25" s="359"/>
      <c r="LL25" s="359"/>
      <c r="LM25" s="359"/>
      <c r="LN25" s="359"/>
      <c r="LO25" s="358"/>
      <c r="LP25" s="359"/>
      <c r="LQ25" s="359"/>
      <c r="LR25" s="359"/>
      <c r="LS25" s="359"/>
      <c r="LT25" s="358"/>
      <c r="LU25" s="359"/>
      <c r="LV25" s="359"/>
      <c r="LW25" s="359"/>
      <c r="LX25" s="359"/>
      <c r="LY25" s="358"/>
      <c r="LZ25" s="359"/>
      <c r="MA25" s="359"/>
      <c r="MB25" s="359"/>
      <c r="MC25" s="359"/>
      <c r="MD25" s="358"/>
      <c r="ME25" s="359"/>
      <c r="MF25" s="359"/>
      <c r="MG25" s="359"/>
      <c r="MH25" s="359"/>
      <c r="MI25" s="358"/>
      <c r="MJ25" s="359"/>
      <c r="MK25" s="359"/>
      <c r="ML25" s="359"/>
      <c r="MM25" s="359"/>
      <c r="MN25" s="358"/>
      <c r="MO25" s="359"/>
      <c r="MP25" s="359"/>
      <c r="MQ25" s="359"/>
      <c r="MR25" s="359"/>
      <c r="MS25" s="358"/>
      <c r="MT25" s="359"/>
      <c r="MU25" s="359"/>
      <c r="MV25" s="359"/>
      <c r="MW25" s="359"/>
      <c r="MX25" s="358"/>
      <c r="MY25" s="359"/>
      <c r="MZ25" s="359"/>
      <c r="NA25" s="359"/>
      <c r="NB25" s="359"/>
      <c r="NC25" s="358"/>
      <c r="ND25" s="359"/>
      <c r="NE25" s="359"/>
      <c r="NF25" s="359"/>
      <c r="NG25" s="359"/>
      <c r="NH25" s="358"/>
      <c r="NI25" s="359"/>
      <c r="NJ25" s="359"/>
      <c r="NK25" s="359"/>
      <c r="NL25" s="359"/>
      <c r="NM25" s="358"/>
      <c r="NN25" s="359"/>
      <c r="NO25" s="359"/>
      <c r="NP25" s="359"/>
      <c r="NQ25" s="359"/>
      <c r="NR25" s="358"/>
      <c r="NS25" s="359"/>
      <c r="NT25" s="359"/>
      <c r="NU25" s="359"/>
      <c r="NV25" s="359"/>
      <c r="NW25" s="358"/>
      <c r="NX25" s="359"/>
      <c r="NY25" s="359"/>
      <c r="NZ25" s="359"/>
      <c r="OA25" s="359"/>
      <c r="OB25" s="358"/>
      <c r="OC25" s="359"/>
      <c r="OD25" s="359"/>
      <c r="OE25" s="359"/>
      <c r="OF25" s="359"/>
      <c r="OG25" s="358"/>
      <c r="OH25" s="359"/>
      <c r="OI25" s="359"/>
      <c r="OJ25" s="359"/>
      <c r="OK25" s="359"/>
      <c r="OL25" s="358"/>
      <c r="OM25" s="359"/>
      <c r="ON25" s="359"/>
      <c r="OO25" s="359"/>
      <c r="OP25" s="359"/>
      <c r="OQ25" s="358"/>
      <c r="OR25" s="359"/>
      <c r="OS25" s="359"/>
      <c r="OT25" s="359"/>
      <c r="OU25" s="359"/>
      <c r="OV25" s="358"/>
      <c r="OW25" s="359"/>
      <c r="OX25" s="359"/>
      <c r="OY25" s="359"/>
      <c r="OZ25" s="359"/>
      <c r="PA25" s="358"/>
      <c r="PB25" s="359"/>
      <c r="PC25" s="359"/>
      <c r="PD25" s="359"/>
      <c r="PE25" s="359"/>
      <c r="PF25" s="358"/>
      <c r="PG25" s="359"/>
      <c r="PH25" s="359"/>
      <c r="PI25" s="359"/>
      <c r="PJ25" s="359"/>
      <c r="PK25" s="358"/>
      <c r="PL25" s="359"/>
      <c r="PM25" s="359"/>
      <c r="PN25" s="359"/>
      <c r="PO25" s="359"/>
      <c r="PP25" s="358"/>
      <c r="PQ25" s="359"/>
      <c r="PR25" s="359"/>
      <c r="PS25" s="359"/>
      <c r="PT25" s="359"/>
      <c r="PU25" s="358"/>
      <c r="PV25" s="359"/>
      <c r="PW25" s="359"/>
      <c r="PX25" s="359"/>
      <c r="PY25" s="359"/>
      <c r="PZ25" s="358"/>
      <c r="QA25" s="359"/>
      <c r="QB25" s="359"/>
      <c r="QC25" s="359"/>
      <c r="QD25" s="359"/>
      <c r="QE25" s="358"/>
      <c r="QF25" s="359"/>
      <c r="QG25" s="359"/>
      <c r="QH25" s="359"/>
      <c r="QI25" s="359"/>
      <c r="QJ25" s="358"/>
      <c r="QK25" s="359"/>
      <c r="QL25" s="359"/>
      <c r="QM25" s="359"/>
      <c r="QN25" s="359"/>
      <c r="QO25" s="358"/>
      <c r="QP25" s="359"/>
      <c r="QQ25" s="359"/>
      <c r="QR25" s="359"/>
      <c r="QS25" s="359"/>
      <c r="QT25" s="358"/>
      <c r="QU25" s="359"/>
      <c r="QV25" s="359"/>
      <c r="QW25" s="359"/>
      <c r="QX25" s="359"/>
      <c r="QY25" s="358"/>
      <c r="QZ25" s="359"/>
      <c r="RA25" s="359"/>
      <c r="RB25" s="359"/>
      <c r="RC25" s="359"/>
      <c r="RD25" s="358"/>
      <c r="RE25" s="359"/>
      <c r="RF25" s="359"/>
      <c r="RG25" s="359"/>
      <c r="RH25" s="359"/>
      <c r="RI25" s="358"/>
      <c r="RJ25" s="359"/>
      <c r="RK25" s="359"/>
      <c r="RL25" s="359"/>
      <c r="RM25" s="359"/>
      <c r="RN25" s="358"/>
      <c r="RO25" s="359"/>
      <c r="RP25" s="359"/>
      <c r="RQ25" s="359"/>
      <c r="RR25" s="359"/>
      <c r="RS25" s="358"/>
      <c r="RT25" s="359"/>
      <c r="RU25" s="359"/>
      <c r="RV25" s="359"/>
      <c r="RW25" s="359"/>
      <c r="RX25" s="358"/>
      <c r="RY25" s="359"/>
      <c r="RZ25" s="359"/>
      <c r="SA25" s="359"/>
      <c r="SB25" s="359"/>
      <c r="SC25" s="358"/>
      <c r="SD25" s="359"/>
      <c r="SE25" s="359"/>
      <c r="SF25" s="359"/>
      <c r="SG25" s="359"/>
      <c r="SH25" s="358"/>
      <c r="SI25" s="359"/>
      <c r="SJ25" s="359"/>
      <c r="SK25" s="359"/>
      <c r="SL25" s="359"/>
      <c r="SM25" s="358"/>
      <c r="SN25" s="359"/>
      <c r="SO25" s="359"/>
      <c r="SP25" s="359"/>
      <c r="SQ25" s="359"/>
      <c r="SR25" s="358"/>
      <c r="SS25" s="359"/>
      <c r="ST25" s="359"/>
      <c r="SU25" s="359"/>
      <c r="SV25" s="359"/>
      <c r="SW25" s="358"/>
      <c r="SX25" s="359"/>
      <c r="SY25" s="359"/>
      <c r="SZ25" s="359"/>
      <c r="TA25" s="359"/>
      <c r="TB25" s="354" t="n">
        <f aca="false">+AVERAGE(B25:IB25)</f>
        <v>3.41558441558442</v>
      </c>
    </row>
    <row r="26" customFormat="false" ht="15.5" hidden="false" customHeight="false" outlineLevel="0" collapsed="false">
      <c r="A26" s="356" t="s">
        <v>521</v>
      </c>
      <c r="B26" s="358" t="n">
        <v>3</v>
      </c>
      <c r="C26" s="359" t="n">
        <v>3</v>
      </c>
      <c r="D26" s="359" t="n">
        <v>5</v>
      </c>
      <c r="E26" s="359" t="n">
        <v>3</v>
      </c>
      <c r="F26" s="359" t="n">
        <v>3</v>
      </c>
      <c r="G26" s="358" t="n">
        <v>1</v>
      </c>
      <c r="H26" s="359" t="n">
        <v>3</v>
      </c>
      <c r="I26" s="359" t="n">
        <v>5</v>
      </c>
      <c r="J26" s="359" t="n">
        <v>1</v>
      </c>
      <c r="K26" s="359" t="n">
        <v>1</v>
      </c>
      <c r="L26" s="358" t="n">
        <v>1</v>
      </c>
      <c r="M26" s="359" t="n">
        <v>3</v>
      </c>
      <c r="N26" s="359" t="n">
        <v>3</v>
      </c>
      <c r="O26" s="359" t="n">
        <v>1</v>
      </c>
      <c r="P26" s="359" t="n">
        <v>1</v>
      </c>
      <c r="Q26" s="358" t="n">
        <v>1</v>
      </c>
      <c r="R26" s="359" t="n">
        <v>3</v>
      </c>
      <c r="S26" s="359" t="n">
        <v>5</v>
      </c>
      <c r="T26" s="359" t="n">
        <v>1</v>
      </c>
      <c r="U26" s="359" t="n">
        <v>3</v>
      </c>
      <c r="V26" s="358" t="n">
        <v>1</v>
      </c>
      <c r="W26" s="359" t="n">
        <v>5</v>
      </c>
      <c r="X26" s="359" t="n">
        <v>5</v>
      </c>
      <c r="Y26" s="359" t="n">
        <v>3</v>
      </c>
      <c r="Z26" s="359" t="n">
        <v>3</v>
      </c>
      <c r="AA26" s="358" t="n">
        <v>3</v>
      </c>
      <c r="AB26" s="359" t="n">
        <v>5</v>
      </c>
      <c r="AC26" s="359" t="n">
        <v>5</v>
      </c>
      <c r="AD26" s="359" t="n">
        <v>3</v>
      </c>
      <c r="AE26" s="359" t="n">
        <v>5</v>
      </c>
      <c r="AF26" s="358" t="n">
        <v>3</v>
      </c>
      <c r="AG26" s="359" t="n">
        <v>5</v>
      </c>
      <c r="AH26" s="359" t="n">
        <v>5</v>
      </c>
      <c r="AI26" s="359" t="n">
        <v>5</v>
      </c>
      <c r="AJ26" s="359" t="n">
        <v>5</v>
      </c>
      <c r="AK26" s="358" t="n">
        <v>3</v>
      </c>
      <c r="AL26" s="359" t="n">
        <v>5</v>
      </c>
      <c r="AM26" s="359" t="n">
        <v>5</v>
      </c>
      <c r="AN26" s="359" t="n">
        <v>5</v>
      </c>
      <c r="AO26" s="359" t="n">
        <v>5</v>
      </c>
      <c r="AP26" s="358" t="n">
        <v>1</v>
      </c>
      <c r="AQ26" s="359" t="n">
        <v>5</v>
      </c>
      <c r="AR26" s="359" t="n">
        <v>5</v>
      </c>
      <c r="AS26" s="359" t="n">
        <v>3</v>
      </c>
      <c r="AT26" s="359" t="n">
        <v>1</v>
      </c>
      <c r="AU26" s="358" t="n">
        <v>3</v>
      </c>
      <c r="AV26" s="359"/>
      <c r="AW26" s="359" t="n">
        <v>5</v>
      </c>
      <c r="AX26" s="359" t="n">
        <v>3</v>
      </c>
      <c r="AY26" s="359" t="n">
        <v>3</v>
      </c>
      <c r="AZ26" s="358" t="n">
        <v>1</v>
      </c>
      <c r="BA26" s="359"/>
      <c r="BB26" s="359" t="n">
        <v>5</v>
      </c>
      <c r="BC26" s="359" t="n">
        <v>1</v>
      </c>
      <c r="BD26" s="359" t="n">
        <v>1</v>
      </c>
      <c r="BE26" s="358" t="n">
        <v>1</v>
      </c>
      <c r="BF26" s="359" t="n">
        <v>5</v>
      </c>
      <c r="BG26" s="359" t="n">
        <v>5</v>
      </c>
      <c r="BH26" s="359" t="n">
        <v>1</v>
      </c>
      <c r="BI26" s="359" t="n">
        <v>1</v>
      </c>
      <c r="BJ26" s="358" t="n">
        <v>3</v>
      </c>
      <c r="BK26" s="359" t="n">
        <v>5</v>
      </c>
      <c r="BL26" s="359" t="n">
        <v>3</v>
      </c>
      <c r="BM26" s="359" t="n">
        <v>3</v>
      </c>
      <c r="BN26" s="359" t="n">
        <v>3</v>
      </c>
      <c r="BO26" s="358" t="n">
        <v>5</v>
      </c>
      <c r="BP26" s="359"/>
      <c r="BQ26" s="359" t="n">
        <v>5</v>
      </c>
      <c r="BR26" s="359" t="n">
        <v>3</v>
      </c>
      <c r="BS26" s="359" t="n">
        <v>5</v>
      </c>
      <c r="BT26" s="358" t="n">
        <v>3</v>
      </c>
      <c r="BU26" s="359" t="n">
        <v>5</v>
      </c>
      <c r="BV26" s="359" t="n">
        <v>5</v>
      </c>
      <c r="BW26" s="359" t="n">
        <v>3</v>
      </c>
      <c r="BX26" s="359" t="n">
        <v>5</v>
      </c>
      <c r="BY26" s="358" t="n">
        <v>5</v>
      </c>
      <c r="BZ26" s="358" t="n">
        <v>5</v>
      </c>
      <c r="CA26" s="359" t="n">
        <v>5</v>
      </c>
      <c r="CB26" s="359" t="n">
        <v>3</v>
      </c>
      <c r="CC26" s="359" t="n">
        <v>5</v>
      </c>
      <c r="CD26" s="358"/>
      <c r="CE26" s="359"/>
      <c r="CF26" s="359"/>
      <c r="CG26" s="359"/>
      <c r="CH26" s="359"/>
      <c r="CI26" s="358"/>
      <c r="CJ26" s="359"/>
      <c r="CK26" s="359"/>
      <c r="CL26" s="359"/>
      <c r="CM26" s="359"/>
      <c r="CN26" s="358"/>
      <c r="CO26" s="359"/>
      <c r="CP26" s="359"/>
      <c r="CQ26" s="359"/>
      <c r="CR26" s="359"/>
      <c r="CS26" s="358"/>
      <c r="CT26" s="359"/>
      <c r="CU26" s="359"/>
      <c r="CV26" s="359"/>
      <c r="CW26" s="359"/>
      <c r="CX26" s="358"/>
      <c r="CY26" s="359"/>
      <c r="CZ26" s="359"/>
      <c r="DA26" s="359"/>
      <c r="DB26" s="359"/>
      <c r="DC26" s="358"/>
      <c r="DD26" s="359"/>
      <c r="DE26" s="359"/>
      <c r="DF26" s="359"/>
      <c r="DG26" s="359"/>
      <c r="DH26" s="358"/>
      <c r="DI26" s="359"/>
      <c r="DJ26" s="359"/>
      <c r="DK26" s="359"/>
      <c r="DL26" s="359"/>
      <c r="DM26" s="358"/>
      <c r="DN26" s="359"/>
      <c r="DO26" s="359"/>
      <c r="DP26" s="359"/>
      <c r="DQ26" s="359"/>
      <c r="DR26" s="358"/>
      <c r="DS26" s="359"/>
      <c r="DT26" s="359"/>
      <c r="DU26" s="359"/>
      <c r="DV26" s="359"/>
      <c r="DW26" s="358"/>
      <c r="DX26" s="359"/>
      <c r="DY26" s="359"/>
      <c r="DZ26" s="359"/>
      <c r="EA26" s="359"/>
      <c r="EB26" s="358"/>
      <c r="EC26" s="359"/>
      <c r="ED26" s="359"/>
      <c r="EE26" s="359"/>
      <c r="EF26" s="359"/>
      <c r="EG26" s="358"/>
      <c r="EH26" s="359"/>
      <c r="EI26" s="359"/>
      <c r="EJ26" s="359"/>
      <c r="EK26" s="359"/>
      <c r="EL26" s="358"/>
      <c r="EM26" s="359"/>
      <c r="EN26" s="359"/>
      <c r="EO26" s="359"/>
      <c r="EP26" s="359"/>
      <c r="EQ26" s="358"/>
      <c r="ER26" s="359"/>
      <c r="ES26" s="359"/>
      <c r="ET26" s="359"/>
      <c r="EU26" s="359"/>
      <c r="EV26" s="358"/>
      <c r="EW26" s="359"/>
      <c r="EX26" s="359"/>
      <c r="EY26" s="359"/>
      <c r="EZ26" s="359"/>
      <c r="FA26" s="358"/>
      <c r="FB26" s="359"/>
      <c r="FC26" s="359"/>
      <c r="FD26" s="359"/>
      <c r="FE26" s="359"/>
      <c r="FF26" s="358"/>
      <c r="FG26" s="359"/>
      <c r="FH26" s="359"/>
      <c r="FI26" s="359"/>
      <c r="FJ26" s="359"/>
      <c r="FK26" s="358"/>
      <c r="FL26" s="359"/>
      <c r="FM26" s="359"/>
      <c r="FN26" s="359"/>
      <c r="FO26" s="359"/>
      <c r="FP26" s="358"/>
      <c r="FQ26" s="359"/>
      <c r="FR26" s="359"/>
      <c r="FS26" s="359"/>
      <c r="FT26" s="359"/>
      <c r="FU26" s="358"/>
      <c r="FV26" s="359"/>
      <c r="FW26" s="359"/>
      <c r="FX26" s="359"/>
      <c r="FY26" s="359"/>
      <c r="FZ26" s="358"/>
      <c r="GA26" s="359"/>
      <c r="GB26" s="359"/>
      <c r="GC26" s="359"/>
      <c r="GD26" s="359"/>
      <c r="GE26" s="358"/>
      <c r="GF26" s="359"/>
      <c r="GG26" s="359"/>
      <c r="GH26" s="359"/>
      <c r="GI26" s="359"/>
      <c r="GJ26" s="358"/>
      <c r="GK26" s="359"/>
      <c r="GL26" s="359"/>
      <c r="GM26" s="359"/>
      <c r="GN26" s="359"/>
      <c r="GO26" s="358"/>
      <c r="GP26" s="359"/>
      <c r="GQ26" s="359"/>
      <c r="GR26" s="359"/>
      <c r="GS26" s="359"/>
      <c r="GT26" s="358"/>
      <c r="GU26" s="359"/>
      <c r="GV26" s="359"/>
      <c r="GW26" s="359"/>
      <c r="GX26" s="359"/>
      <c r="GY26" s="358"/>
      <c r="GZ26" s="359"/>
      <c r="HA26" s="359"/>
      <c r="HB26" s="359"/>
      <c r="HC26" s="359"/>
      <c r="HD26" s="358"/>
      <c r="HE26" s="359"/>
      <c r="HF26" s="359"/>
      <c r="HG26" s="359"/>
      <c r="HH26" s="359"/>
      <c r="HI26" s="358"/>
      <c r="HJ26" s="359"/>
      <c r="HK26" s="359"/>
      <c r="HL26" s="359"/>
      <c r="HM26" s="359"/>
      <c r="HN26" s="358"/>
      <c r="HO26" s="359"/>
      <c r="HP26" s="359"/>
      <c r="HQ26" s="359"/>
      <c r="HR26" s="359"/>
      <c r="HS26" s="358"/>
      <c r="HT26" s="359"/>
      <c r="HU26" s="359"/>
      <c r="HV26" s="359"/>
      <c r="HW26" s="359"/>
      <c r="HX26" s="358"/>
      <c r="HY26" s="359"/>
      <c r="HZ26" s="359"/>
      <c r="IA26" s="359"/>
      <c r="IB26" s="359"/>
      <c r="IC26" s="358"/>
      <c r="ID26" s="359"/>
      <c r="IE26" s="359"/>
      <c r="IF26" s="359"/>
      <c r="IG26" s="359"/>
      <c r="IH26" s="358"/>
      <c r="II26" s="359"/>
      <c r="IJ26" s="359"/>
      <c r="IK26" s="359"/>
      <c r="IL26" s="359"/>
      <c r="IM26" s="358"/>
      <c r="IN26" s="359"/>
      <c r="IO26" s="359"/>
      <c r="IP26" s="359"/>
      <c r="IQ26" s="359"/>
      <c r="IR26" s="358"/>
      <c r="IS26" s="359"/>
      <c r="IT26" s="359"/>
      <c r="IU26" s="359"/>
      <c r="IV26" s="359"/>
      <c r="IW26" s="358"/>
      <c r="IX26" s="359"/>
      <c r="IY26" s="359"/>
      <c r="IZ26" s="359"/>
      <c r="JA26" s="359"/>
      <c r="JB26" s="358"/>
      <c r="JC26" s="359"/>
      <c r="JD26" s="359"/>
      <c r="JE26" s="359"/>
      <c r="JF26" s="359"/>
      <c r="JG26" s="358"/>
      <c r="JH26" s="359"/>
      <c r="JI26" s="359"/>
      <c r="JJ26" s="359"/>
      <c r="JK26" s="359"/>
      <c r="JL26" s="358"/>
      <c r="JM26" s="359"/>
      <c r="JN26" s="359"/>
      <c r="JO26" s="359"/>
      <c r="JP26" s="359"/>
      <c r="JQ26" s="358"/>
      <c r="JR26" s="359"/>
      <c r="JS26" s="359"/>
      <c r="JT26" s="359"/>
      <c r="JU26" s="359"/>
      <c r="JV26" s="358"/>
      <c r="JW26" s="359"/>
      <c r="JX26" s="359"/>
      <c r="JY26" s="359"/>
      <c r="JZ26" s="359"/>
      <c r="KA26" s="358"/>
      <c r="KB26" s="359"/>
      <c r="KC26" s="359"/>
      <c r="KD26" s="359"/>
      <c r="KE26" s="359"/>
      <c r="KF26" s="358"/>
      <c r="KG26" s="359"/>
      <c r="KH26" s="359"/>
      <c r="KI26" s="359"/>
      <c r="KJ26" s="359"/>
      <c r="KK26" s="358"/>
      <c r="KL26" s="359"/>
      <c r="KM26" s="359"/>
      <c r="KN26" s="359"/>
      <c r="KO26" s="359"/>
      <c r="KP26" s="358"/>
      <c r="KQ26" s="359"/>
      <c r="KR26" s="359"/>
      <c r="KS26" s="359"/>
      <c r="KT26" s="359"/>
      <c r="KU26" s="358"/>
      <c r="KV26" s="359"/>
      <c r="KW26" s="359"/>
      <c r="KX26" s="359"/>
      <c r="KY26" s="359"/>
      <c r="KZ26" s="358"/>
      <c r="LA26" s="359"/>
      <c r="LB26" s="359"/>
      <c r="LC26" s="359"/>
      <c r="LD26" s="359"/>
      <c r="LE26" s="358"/>
      <c r="LF26" s="359"/>
      <c r="LG26" s="359"/>
      <c r="LH26" s="359"/>
      <c r="LI26" s="359"/>
      <c r="LJ26" s="358"/>
      <c r="LK26" s="359"/>
      <c r="LL26" s="359"/>
      <c r="LM26" s="359"/>
      <c r="LN26" s="359"/>
      <c r="LO26" s="358"/>
      <c r="LP26" s="359"/>
      <c r="LQ26" s="359"/>
      <c r="LR26" s="359"/>
      <c r="LS26" s="359"/>
      <c r="LT26" s="358"/>
      <c r="LU26" s="359"/>
      <c r="LV26" s="359"/>
      <c r="LW26" s="359"/>
      <c r="LX26" s="359"/>
      <c r="LY26" s="358"/>
      <c r="LZ26" s="359"/>
      <c r="MA26" s="359"/>
      <c r="MB26" s="359"/>
      <c r="MC26" s="359"/>
      <c r="MD26" s="358"/>
      <c r="ME26" s="359"/>
      <c r="MF26" s="359"/>
      <c r="MG26" s="359"/>
      <c r="MH26" s="359"/>
      <c r="MI26" s="358"/>
      <c r="MJ26" s="359"/>
      <c r="MK26" s="359"/>
      <c r="ML26" s="359"/>
      <c r="MM26" s="359"/>
      <c r="MN26" s="358"/>
      <c r="MO26" s="359"/>
      <c r="MP26" s="359"/>
      <c r="MQ26" s="359"/>
      <c r="MR26" s="359"/>
      <c r="MS26" s="358"/>
      <c r="MT26" s="359"/>
      <c r="MU26" s="359"/>
      <c r="MV26" s="359"/>
      <c r="MW26" s="359"/>
      <c r="MX26" s="358"/>
      <c r="MY26" s="359"/>
      <c r="MZ26" s="359"/>
      <c r="NA26" s="359"/>
      <c r="NB26" s="359"/>
      <c r="NC26" s="358"/>
      <c r="ND26" s="359"/>
      <c r="NE26" s="359"/>
      <c r="NF26" s="359"/>
      <c r="NG26" s="359"/>
      <c r="NH26" s="358"/>
      <c r="NI26" s="359"/>
      <c r="NJ26" s="359"/>
      <c r="NK26" s="359"/>
      <c r="NL26" s="359"/>
      <c r="NM26" s="358"/>
      <c r="NN26" s="359"/>
      <c r="NO26" s="359"/>
      <c r="NP26" s="359"/>
      <c r="NQ26" s="359"/>
      <c r="NR26" s="358"/>
      <c r="NS26" s="359"/>
      <c r="NT26" s="359"/>
      <c r="NU26" s="359"/>
      <c r="NV26" s="359"/>
      <c r="NW26" s="358"/>
      <c r="NX26" s="359"/>
      <c r="NY26" s="359"/>
      <c r="NZ26" s="359"/>
      <c r="OA26" s="359"/>
      <c r="OB26" s="358"/>
      <c r="OC26" s="359"/>
      <c r="OD26" s="359"/>
      <c r="OE26" s="359"/>
      <c r="OF26" s="359"/>
      <c r="OG26" s="358"/>
      <c r="OH26" s="359"/>
      <c r="OI26" s="359"/>
      <c r="OJ26" s="359"/>
      <c r="OK26" s="359"/>
      <c r="OL26" s="358"/>
      <c r="OM26" s="359"/>
      <c r="ON26" s="359"/>
      <c r="OO26" s="359"/>
      <c r="OP26" s="359"/>
      <c r="OQ26" s="358"/>
      <c r="OR26" s="359"/>
      <c r="OS26" s="359"/>
      <c r="OT26" s="359"/>
      <c r="OU26" s="359"/>
      <c r="OV26" s="358"/>
      <c r="OW26" s="359"/>
      <c r="OX26" s="359"/>
      <c r="OY26" s="359"/>
      <c r="OZ26" s="359"/>
      <c r="PA26" s="358"/>
      <c r="PB26" s="359"/>
      <c r="PC26" s="359"/>
      <c r="PD26" s="359"/>
      <c r="PE26" s="359"/>
      <c r="PF26" s="358"/>
      <c r="PG26" s="359"/>
      <c r="PH26" s="359"/>
      <c r="PI26" s="359"/>
      <c r="PJ26" s="359"/>
      <c r="PK26" s="358"/>
      <c r="PL26" s="359"/>
      <c r="PM26" s="359"/>
      <c r="PN26" s="359"/>
      <c r="PO26" s="359"/>
      <c r="PP26" s="358"/>
      <c r="PQ26" s="359"/>
      <c r="PR26" s="359"/>
      <c r="PS26" s="359"/>
      <c r="PT26" s="359"/>
      <c r="PU26" s="358"/>
      <c r="PV26" s="359"/>
      <c r="PW26" s="359"/>
      <c r="PX26" s="359"/>
      <c r="PY26" s="359"/>
      <c r="PZ26" s="358"/>
      <c r="QA26" s="359"/>
      <c r="QB26" s="359"/>
      <c r="QC26" s="359"/>
      <c r="QD26" s="359"/>
      <c r="QE26" s="358"/>
      <c r="QF26" s="359"/>
      <c r="QG26" s="359"/>
      <c r="QH26" s="359"/>
      <c r="QI26" s="359"/>
      <c r="QJ26" s="358"/>
      <c r="QK26" s="359"/>
      <c r="QL26" s="359"/>
      <c r="QM26" s="359"/>
      <c r="QN26" s="359"/>
      <c r="QO26" s="358"/>
      <c r="QP26" s="359"/>
      <c r="QQ26" s="359"/>
      <c r="QR26" s="359"/>
      <c r="QS26" s="359"/>
      <c r="QT26" s="358"/>
      <c r="QU26" s="359"/>
      <c r="QV26" s="359"/>
      <c r="QW26" s="359"/>
      <c r="QX26" s="359"/>
      <c r="QY26" s="358"/>
      <c r="QZ26" s="359"/>
      <c r="RA26" s="359"/>
      <c r="RB26" s="359"/>
      <c r="RC26" s="359"/>
      <c r="RD26" s="358"/>
      <c r="RE26" s="359"/>
      <c r="RF26" s="359"/>
      <c r="RG26" s="359"/>
      <c r="RH26" s="359"/>
      <c r="RI26" s="358"/>
      <c r="RJ26" s="359"/>
      <c r="RK26" s="359"/>
      <c r="RL26" s="359"/>
      <c r="RM26" s="359"/>
      <c r="RN26" s="358"/>
      <c r="RO26" s="359"/>
      <c r="RP26" s="359"/>
      <c r="RQ26" s="359"/>
      <c r="RR26" s="359"/>
      <c r="RS26" s="358"/>
      <c r="RT26" s="359"/>
      <c r="RU26" s="359"/>
      <c r="RV26" s="359"/>
      <c r="RW26" s="359"/>
      <c r="RX26" s="358"/>
      <c r="RY26" s="359"/>
      <c r="RZ26" s="359"/>
      <c r="SA26" s="359"/>
      <c r="SB26" s="359"/>
      <c r="SC26" s="358"/>
      <c r="SD26" s="359"/>
      <c r="SE26" s="359"/>
      <c r="SF26" s="359"/>
      <c r="SG26" s="359"/>
      <c r="SH26" s="358"/>
      <c r="SI26" s="359"/>
      <c r="SJ26" s="359"/>
      <c r="SK26" s="359"/>
      <c r="SL26" s="359"/>
      <c r="SM26" s="358"/>
      <c r="SN26" s="359"/>
      <c r="SO26" s="359"/>
      <c r="SP26" s="359"/>
      <c r="SQ26" s="359"/>
      <c r="SR26" s="358"/>
      <c r="SS26" s="359"/>
      <c r="ST26" s="359"/>
      <c r="SU26" s="359"/>
      <c r="SV26" s="359"/>
      <c r="SW26" s="358"/>
      <c r="SX26" s="359"/>
      <c r="SY26" s="359"/>
      <c r="SZ26" s="359"/>
      <c r="TA26" s="359"/>
      <c r="TB26" s="354" t="n">
        <f aca="false">+AVERAGE(B26:IB26)</f>
        <v>3.41558441558442</v>
      </c>
    </row>
    <row r="27" customFormat="false" ht="15.5" hidden="false" customHeight="false" outlineLevel="0" collapsed="false">
      <c r="A27" s="356" t="s">
        <v>521</v>
      </c>
      <c r="B27" s="358" t="n">
        <v>3</v>
      </c>
      <c r="C27" s="359" t="n">
        <v>3</v>
      </c>
      <c r="D27" s="359" t="n">
        <v>5</v>
      </c>
      <c r="E27" s="359" t="n">
        <v>3</v>
      </c>
      <c r="F27" s="359" t="n">
        <v>3</v>
      </c>
      <c r="G27" s="358" t="n">
        <v>1</v>
      </c>
      <c r="H27" s="359" t="n">
        <v>3</v>
      </c>
      <c r="I27" s="359" t="n">
        <v>5</v>
      </c>
      <c r="J27" s="359" t="n">
        <v>1</v>
      </c>
      <c r="K27" s="359" t="n">
        <v>1</v>
      </c>
      <c r="L27" s="358" t="n">
        <v>1</v>
      </c>
      <c r="M27" s="359" t="n">
        <v>3</v>
      </c>
      <c r="N27" s="359" t="n">
        <v>3</v>
      </c>
      <c r="O27" s="359" t="n">
        <v>1</v>
      </c>
      <c r="P27" s="359" t="n">
        <v>1</v>
      </c>
      <c r="Q27" s="358" t="n">
        <v>1</v>
      </c>
      <c r="R27" s="359" t="n">
        <v>3</v>
      </c>
      <c r="S27" s="359" t="n">
        <v>5</v>
      </c>
      <c r="T27" s="359" t="n">
        <v>1</v>
      </c>
      <c r="U27" s="359" t="n">
        <v>3</v>
      </c>
      <c r="V27" s="358" t="n">
        <v>1</v>
      </c>
      <c r="W27" s="359" t="n">
        <v>5</v>
      </c>
      <c r="X27" s="359" t="n">
        <v>5</v>
      </c>
      <c r="Y27" s="359" t="n">
        <v>3</v>
      </c>
      <c r="Z27" s="359" t="n">
        <v>3</v>
      </c>
      <c r="AA27" s="358" t="n">
        <v>3</v>
      </c>
      <c r="AB27" s="359" t="n">
        <v>5</v>
      </c>
      <c r="AC27" s="359" t="n">
        <v>5</v>
      </c>
      <c r="AD27" s="359" t="n">
        <v>3</v>
      </c>
      <c r="AE27" s="359" t="n">
        <v>5</v>
      </c>
      <c r="AF27" s="358" t="n">
        <v>3</v>
      </c>
      <c r="AG27" s="359" t="n">
        <v>5</v>
      </c>
      <c r="AH27" s="359" t="n">
        <v>5</v>
      </c>
      <c r="AI27" s="359" t="n">
        <v>5</v>
      </c>
      <c r="AJ27" s="359" t="n">
        <v>5</v>
      </c>
      <c r="AK27" s="358" t="n">
        <v>3</v>
      </c>
      <c r="AL27" s="359" t="n">
        <v>5</v>
      </c>
      <c r="AM27" s="359" t="n">
        <v>5</v>
      </c>
      <c r="AN27" s="359" t="n">
        <v>5</v>
      </c>
      <c r="AO27" s="359" t="n">
        <v>5</v>
      </c>
      <c r="AP27" s="358" t="n">
        <v>1</v>
      </c>
      <c r="AQ27" s="359" t="n">
        <v>5</v>
      </c>
      <c r="AR27" s="359" t="n">
        <v>5</v>
      </c>
      <c r="AS27" s="359" t="n">
        <v>3</v>
      </c>
      <c r="AT27" s="359" t="n">
        <v>1</v>
      </c>
      <c r="AU27" s="358" t="n">
        <v>3</v>
      </c>
      <c r="AV27" s="359"/>
      <c r="AW27" s="359" t="n">
        <v>5</v>
      </c>
      <c r="AX27" s="359" t="n">
        <v>3</v>
      </c>
      <c r="AY27" s="359" t="n">
        <v>3</v>
      </c>
      <c r="AZ27" s="358" t="n">
        <v>1</v>
      </c>
      <c r="BA27" s="359"/>
      <c r="BB27" s="359" t="n">
        <v>5</v>
      </c>
      <c r="BC27" s="359" t="n">
        <v>1</v>
      </c>
      <c r="BD27" s="359" t="n">
        <v>1</v>
      </c>
      <c r="BE27" s="358" t="n">
        <v>1</v>
      </c>
      <c r="BF27" s="359" t="n">
        <v>5</v>
      </c>
      <c r="BG27" s="359" t="n">
        <v>5</v>
      </c>
      <c r="BH27" s="359" t="n">
        <v>1</v>
      </c>
      <c r="BI27" s="359" t="n">
        <v>1</v>
      </c>
      <c r="BJ27" s="358" t="n">
        <v>3</v>
      </c>
      <c r="BK27" s="359" t="n">
        <v>5</v>
      </c>
      <c r="BL27" s="359" t="n">
        <v>3</v>
      </c>
      <c r="BM27" s="359" t="n">
        <v>3</v>
      </c>
      <c r="BN27" s="359" t="n">
        <v>3</v>
      </c>
      <c r="BO27" s="358" t="n">
        <v>5</v>
      </c>
      <c r="BP27" s="359"/>
      <c r="BQ27" s="359" t="n">
        <v>5</v>
      </c>
      <c r="BR27" s="359" t="n">
        <v>3</v>
      </c>
      <c r="BS27" s="359" t="n">
        <v>5</v>
      </c>
      <c r="BT27" s="358" t="n">
        <v>3</v>
      </c>
      <c r="BU27" s="359" t="n">
        <v>5</v>
      </c>
      <c r="BV27" s="359" t="n">
        <v>5</v>
      </c>
      <c r="BW27" s="359" t="n">
        <v>3</v>
      </c>
      <c r="BX27" s="359" t="n">
        <v>5</v>
      </c>
      <c r="BY27" s="358" t="n">
        <v>5</v>
      </c>
      <c r="BZ27" s="358" t="n">
        <v>5</v>
      </c>
      <c r="CA27" s="359" t="n">
        <v>5</v>
      </c>
      <c r="CB27" s="359" t="n">
        <v>3</v>
      </c>
      <c r="CC27" s="359" t="n">
        <v>5</v>
      </c>
      <c r="CD27" s="358"/>
      <c r="CE27" s="359"/>
      <c r="CF27" s="359"/>
      <c r="CG27" s="359"/>
      <c r="CH27" s="359"/>
      <c r="CI27" s="358"/>
      <c r="CJ27" s="359"/>
      <c r="CK27" s="359"/>
      <c r="CL27" s="359"/>
      <c r="CM27" s="359"/>
      <c r="CN27" s="358"/>
      <c r="CO27" s="359"/>
      <c r="CP27" s="359"/>
      <c r="CQ27" s="359"/>
      <c r="CR27" s="359"/>
      <c r="CS27" s="358"/>
      <c r="CT27" s="359"/>
      <c r="CU27" s="359"/>
      <c r="CV27" s="359"/>
      <c r="CW27" s="359"/>
      <c r="CX27" s="358"/>
      <c r="CY27" s="359"/>
      <c r="CZ27" s="359"/>
      <c r="DA27" s="359"/>
      <c r="DB27" s="359"/>
      <c r="DC27" s="358"/>
      <c r="DD27" s="359"/>
      <c r="DE27" s="359"/>
      <c r="DF27" s="359"/>
      <c r="DG27" s="359"/>
      <c r="DH27" s="358"/>
      <c r="DI27" s="359"/>
      <c r="DJ27" s="359"/>
      <c r="DK27" s="359"/>
      <c r="DL27" s="359"/>
      <c r="DM27" s="358"/>
      <c r="DN27" s="359"/>
      <c r="DO27" s="359"/>
      <c r="DP27" s="359"/>
      <c r="DQ27" s="359"/>
      <c r="DR27" s="358"/>
      <c r="DS27" s="359"/>
      <c r="DT27" s="359"/>
      <c r="DU27" s="359"/>
      <c r="DV27" s="359"/>
      <c r="DW27" s="358"/>
      <c r="DX27" s="359"/>
      <c r="DY27" s="359"/>
      <c r="DZ27" s="359"/>
      <c r="EA27" s="359"/>
      <c r="EB27" s="358"/>
      <c r="EC27" s="359"/>
      <c r="ED27" s="359"/>
      <c r="EE27" s="359"/>
      <c r="EF27" s="359"/>
      <c r="EG27" s="358"/>
      <c r="EH27" s="359"/>
      <c r="EI27" s="359"/>
      <c r="EJ27" s="359"/>
      <c r="EK27" s="359"/>
      <c r="EL27" s="358"/>
      <c r="EM27" s="359"/>
      <c r="EN27" s="359"/>
      <c r="EO27" s="359"/>
      <c r="EP27" s="359"/>
      <c r="EQ27" s="358"/>
      <c r="ER27" s="359"/>
      <c r="ES27" s="359"/>
      <c r="ET27" s="359"/>
      <c r="EU27" s="359"/>
      <c r="EV27" s="358"/>
      <c r="EW27" s="359"/>
      <c r="EX27" s="359"/>
      <c r="EY27" s="359"/>
      <c r="EZ27" s="359"/>
      <c r="FA27" s="358"/>
      <c r="FB27" s="359"/>
      <c r="FC27" s="359"/>
      <c r="FD27" s="359"/>
      <c r="FE27" s="359"/>
      <c r="FF27" s="358"/>
      <c r="FG27" s="359"/>
      <c r="FH27" s="359"/>
      <c r="FI27" s="359"/>
      <c r="FJ27" s="359"/>
      <c r="FK27" s="358"/>
      <c r="FL27" s="359"/>
      <c r="FM27" s="359"/>
      <c r="FN27" s="359"/>
      <c r="FO27" s="359"/>
      <c r="FP27" s="358"/>
      <c r="FQ27" s="359"/>
      <c r="FR27" s="359"/>
      <c r="FS27" s="359"/>
      <c r="FT27" s="359"/>
      <c r="FU27" s="358"/>
      <c r="FV27" s="359"/>
      <c r="FW27" s="359"/>
      <c r="FX27" s="359"/>
      <c r="FY27" s="359"/>
      <c r="FZ27" s="358"/>
      <c r="GA27" s="359"/>
      <c r="GB27" s="359"/>
      <c r="GC27" s="359"/>
      <c r="GD27" s="359"/>
      <c r="GE27" s="358"/>
      <c r="GF27" s="359"/>
      <c r="GG27" s="359"/>
      <c r="GH27" s="359"/>
      <c r="GI27" s="359"/>
      <c r="GJ27" s="358"/>
      <c r="GK27" s="359"/>
      <c r="GL27" s="359"/>
      <c r="GM27" s="359"/>
      <c r="GN27" s="359"/>
      <c r="GO27" s="358"/>
      <c r="GP27" s="359"/>
      <c r="GQ27" s="359"/>
      <c r="GR27" s="359"/>
      <c r="GS27" s="359"/>
      <c r="GT27" s="358"/>
      <c r="GU27" s="359"/>
      <c r="GV27" s="359"/>
      <c r="GW27" s="359"/>
      <c r="GX27" s="359"/>
      <c r="GY27" s="358"/>
      <c r="GZ27" s="359"/>
      <c r="HA27" s="359"/>
      <c r="HB27" s="359"/>
      <c r="HC27" s="359"/>
      <c r="HD27" s="358"/>
      <c r="HE27" s="359"/>
      <c r="HF27" s="359"/>
      <c r="HG27" s="359"/>
      <c r="HH27" s="359"/>
      <c r="HI27" s="358"/>
      <c r="HJ27" s="359"/>
      <c r="HK27" s="359"/>
      <c r="HL27" s="359"/>
      <c r="HM27" s="359"/>
      <c r="HN27" s="358"/>
      <c r="HO27" s="359"/>
      <c r="HP27" s="359"/>
      <c r="HQ27" s="359"/>
      <c r="HR27" s="359"/>
      <c r="HS27" s="358"/>
      <c r="HT27" s="359"/>
      <c r="HU27" s="359"/>
      <c r="HV27" s="359"/>
      <c r="HW27" s="359"/>
      <c r="HX27" s="358"/>
      <c r="HY27" s="359"/>
      <c r="HZ27" s="359"/>
      <c r="IA27" s="359"/>
      <c r="IB27" s="359"/>
      <c r="IC27" s="358"/>
      <c r="ID27" s="359"/>
      <c r="IE27" s="359"/>
      <c r="IF27" s="359"/>
      <c r="IG27" s="359"/>
      <c r="IH27" s="358"/>
      <c r="II27" s="359"/>
      <c r="IJ27" s="359"/>
      <c r="IK27" s="359"/>
      <c r="IL27" s="359"/>
      <c r="IM27" s="358"/>
      <c r="IN27" s="359"/>
      <c r="IO27" s="359"/>
      <c r="IP27" s="359"/>
      <c r="IQ27" s="359"/>
      <c r="IR27" s="358"/>
      <c r="IS27" s="359"/>
      <c r="IT27" s="359"/>
      <c r="IU27" s="359"/>
      <c r="IV27" s="359"/>
      <c r="IW27" s="358"/>
      <c r="IX27" s="359"/>
      <c r="IY27" s="359"/>
      <c r="IZ27" s="359"/>
      <c r="JA27" s="359"/>
      <c r="JB27" s="358"/>
      <c r="JC27" s="359"/>
      <c r="JD27" s="359"/>
      <c r="JE27" s="359"/>
      <c r="JF27" s="359"/>
      <c r="JG27" s="358"/>
      <c r="JH27" s="359"/>
      <c r="JI27" s="359"/>
      <c r="JJ27" s="359"/>
      <c r="JK27" s="359"/>
      <c r="JL27" s="358"/>
      <c r="JM27" s="359"/>
      <c r="JN27" s="359"/>
      <c r="JO27" s="359"/>
      <c r="JP27" s="359"/>
      <c r="JQ27" s="358"/>
      <c r="JR27" s="359"/>
      <c r="JS27" s="359"/>
      <c r="JT27" s="359"/>
      <c r="JU27" s="359"/>
      <c r="JV27" s="358"/>
      <c r="JW27" s="359"/>
      <c r="JX27" s="359"/>
      <c r="JY27" s="359"/>
      <c r="JZ27" s="359"/>
      <c r="KA27" s="358"/>
      <c r="KB27" s="359"/>
      <c r="KC27" s="359"/>
      <c r="KD27" s="359"/>
      <c r="KE27" s="359"/>
      <c r="KF27" s="358"/>
      <c r="KG27" s="359"/>
      <c r="KH27" s="359"/>
      <c r="KI27" s="359"/>
      <c r="KJ27" s="359"/>
      <c r="KK27" s="358"/>
      <c r="KL27" s="359"/>
      <c r="KM27" s="359"/>
      <c r="KN27" s="359"/>
      <c r="KO27" s="359"/>
      <c r="KP27" s="358"/>
      <c r="KQ27" s="359"/>
      <c r="KR27" s="359"/>
      <c r="KS27" s="359"/>
      <c r="KT27" s="359"/>
      <c r="KU27" s="358"/>
      <c r="KV27" s="359"/>
      <c r="KW27" s="359"/>
      <c r="KX27" s="359"/>
      <c r="KY27" s="359"/>
      <c r="KZ27" s="358"/>
      <c r="LA27" s="359"/>
      <c r="LB27" s="359"/>
      <c r="LC27" s="359"/>
      <c r="LD27" s="359"/>
      <c r="LE27" s="358"/>
      <c r="LF27" s="359"/>
      <c r="LG27" s="359"/>
      <c r="LH27" s="359"/>
      <c r="LI27" s="359"/>
      <c r="LJ27" s="358"/>
      <c r="LK27" s="359"/>
      <c r="LL27" s="359"/>
      <c r="LM27" s="359"/>
      <c r="LN27" s="359"/>
      <c r="LO27" s="358"/>
      <c r="LP27" s="359"/>
      <c r="LQ27" s="359"/>
      <c r="LR27" s="359"/>
      <c r="LS27" s="359"/>
      <c r="LT27" s="358"/>
      <c r="LU27" s="359"/>
      <c r="LV27" s="359"/>
      <c r="LW27" s="359"/>
      <c r="LX27" s="359"/>
      <c r="LY27" s="358"/>
      <c r="LZ27" s="359"/>
      <c r="MA27" s="359"/>
      <c r="MB27" s="359"/>
      <c r="MC27" s="359"/>
      <c r="MD27" s="358"/>
      <c r="ME27" s="359"/>
      <c r="MF27" s="359"/>
      <c r="MG27" s="359"/>
      <c r="MH27" s="359"/>
      <c r="MI27" s="358"/>
      <c r="MJ27" s="359"/>
      <c r="MK27" s="359"/>
      <c r="ML27" s="359"/>
      <c r="MM27" s="359"/>
      <c r="MN27" s="358"/>
      <c r="MO27" s="359"/>
      <c r="MP27" s="359"/>
      <c r="MQ27" s="359"/>
      <c r="MR27" s="359"/>
      <c r="MS27" s="358"/>
      <c r="MT27" s="359"/>
      <c r="MU27" s="359"/>
      <c r="MV27" s="359"/>
      <c r="MW27" s="359"/>
      <c r="MX27" s="358"/>
      <c r="MY27" s="359"/>
      <c r="MZ27" s="359"/>
      <c r="NA27" s="359"/>
      <c r="NB27" s="359"/>
      <c r="NC27" s="358"/>
      <c r="ND27" s="359"/>
      <c r="NE27" s="359"/>
      <c r="NF27" s="359"/>
      <c r="NG27" s="359"/>
      <c r="NH27" s="358"/>
      <c r="NI27" s="359"/>
      <c r="NJ27" s="359"/>
      <c r="NK27" s="359"/>
      <c r="NL27" s="359"/>
      <c r="NM27" s="358"/>
      <c r="NN27" s="359"/>
      <c r="NO27" s="359"/>
      <c r="NP27" s="359"/>
      <c r="NQ27" s="359"/>
      <c r="NR27" s="358"/>
      <c r="NS27" s="359"/>
      <c r="NT27" s="359"/>
      <c r="NU27" s="359"/>
      <c r="NV27" s="359"/>
      <c r="NW27" s="358"/>
      <c r="NX27" s="359"/>
      <c r="NY27" s="359"/>
      <c r="NZ27" s="359"/>
      <c r="OA27" s="359"/>
      <c r="OB27" s="358"/>
      <c r="OC27" s="359"/>
      <c r="OD27" s="359"/>
      <c r="OE27" s="359"/>
      <c r="OF27" s="359"/>
      <c r="OG27" s="358"/>
      <c r="OH27" s="359"/>
      <c r="OI27" s="359"/>
      <c r="OJ27" s="359"/>
      <c r="OK27" s="359"/>
      <c r="OL27" s="358"/>
      <c r="OM27" s="359"/>
      <c r="ON27" s="359"/>
      <c r="OO27" s="359"/>
      <c r="OP27" s="359"/>
      <c r="OQ27" s="358"/>
      <c r="OR27" s="359"/>
      <c r="OS27" s="359"/>
      <c r="OT27" s="359"/>
      <c r="OU27" s="359"/>
      <c r="OV27" s="358"/>
      <c r="OW27" s="359"/>
      <c r="OX27" s="359"/>
      <c r="OY27" s="359"/>
      <c r="OZ27" s="359"/>
      <c r="PA27" s="358"/>
      <c r="PB27" s="359"/>
      <c r="PC27" s="359"/>
      <c r="PD27" s="359"/>
      <c r="PE27" s="359"/>
      <c r="PF27" s="358"/>
      <c r="PG27" s="359"/>
      <c r="PH27" s="359"/>
      <c r="PI27" s="359"/>
      <c r="PJ27" s="359"/>
      <c r="PK27" s="358"/>
      <c r="PL27" s="359"/>
      <c r="PM27" s="359"/>
      <c r="PN27" s="359"/>
      <c r="PO27" s="359"/>
      <c r="PP27" s="358"/>
      <c r="PQ27" s="359"/>
      <c r="PR27" s="359"/>
      <c r="PS27" s="359"/>
      <c r="PT27" s="359"/>
      <c r="PU27" s="358"/>
      <c r="PV27" s="359"/>
      <c r="PW27" s="359"/>
      <c r="PX27" s="359"/>
      <c r="PY27" s="359"/>
      <c r="PZ27" s="358"/>
      <c r="QA27" s="359"/>
      <c r="QB27" s="359"/>
      <c r="QC27" s="359"/>
      <c r="QD27" s="359"/>
      <c r="QE27" s="358"/>
      <c r="QF27" s="359"/>
      <c r="QG27" s="359"/>
      <c r="QH27" s="359"/>
      <c r="QI27" s="359"/>
      <c r="QJ27" s="358"/>
      <c r="QK27" s="359"/>
      <c r="QL27" s="359"/>
      <c r="QM27" s="359"/>
      <c r="QN27" s="359"/>
      <c r="QO27" s="358"/>
      <c r="QP27" s="359"/>
      <c r="QQ27" s="359"/>
      <c r="QR27" s="359"/>
      <c r="QS27" s="359"/>
      <c r="QT27" s="358"/>
      <c r="QU27" s="359"/>
      <c r="QV27" s="359"/>
      <c r="QW27" s="359"/>
      <c r="QX27" s="359"/>
      <c r="QY27" s="358"/>
      <c r="QZ27" s="359"/>
      <c r="RA27" s="359"/>
      <c r="RB27" s="359"/>
      <c r="RC27" s="359"/>
      <c r="RD27" s="358"/>
      <c r="RE27" s="359"/>
      <c r="RF27" s="359"/>
      <c r="RG27" s="359"/>
      <c r="RH27" s="359"/>
      <c r="RI27" s="358"/>
      <c r="RJ27" s="359"/>
      <c r="RK27" s="359"/>
      <c r="RL27" s="359"/>
      <c r="RM27" s="359"/>
      <c r="RN27" s="358"/>
      <c r="RO27" s="359"/>
      <c r="RP27" s="359"/>
      <c r="RQ27" s="359"/>
      <c r="RR27" s="359"/>
      <c r="RS27" s="358"/>
      <c r="RT27" s="359"/>
      <c r="RU27" s="359"/>
      <c r="RV27" s="359"/>
      <c r="RW27" s="359"/>
      <c r="RX27" s="358"/>
      <c r="RY27" s="359"/>
      <c r="RZ27" s="359"/>
      <c r="SA27" s="359"/>
      <c r="SB27" s="359"/>
      <c r="SC27" s="358"/>
      <c r="SD27" s="359"/>
      <c r="SE27" s="359"/>
      <c r="SF27" s="359"/>
      <c r="SG27" s="359"/>
      <c r="SH27" s="358"/>
      <c r="SI27" s="359"/>
      <c r="SJ27" s="359"/>
      <c r="SK27" s="359"/>
      <c r="SL27" s="359"/>
      <c r="SM27" s="358"/>
      <c r="SN27" s="359"/>
      <c r="SO27" s="359"/>
      <c r="SP27" s="359"/>
      <c r="SQ27" s="359"/>
      <c r="SR27" s="358"/>
      <c r="SS27" s="359"/>
      <c r="ST27" s="359"/>
      <c r="SU27" s="359"/>
      <c r="SV27" s="359"/>
      <c r="SW27" s="358"/>
      <c r="SX27" s="359"/>
      <c r="SY27" s="359"/>
      <c r="SZ27" s="359"/>
      <c r="TA27" s="359"/>
      <c r="TB27" s="354" t="n">
        <f aca="false">+AVERAGE(B27:IB27)</f>
        <v>3.41558441558442</v>
      </c>
    </row>
    <row r="28" customFormat="false" ht="15.5" hidden="false" customHeight="false" outlineLevel="0" collapsed="false">
      <c r="A28" s="356" t="s">
        <v>521</v>
      </c>
      <c r="B28" s="358" t="n">
        <v>3</v>
      </c>
      <c r="C28" s="359" t="n">
        <v>3</v>
      </c>
      <c r="D28" s="359" t="n">
        <v>5</v>
      </c>
      <c r="E28" s="359" t="n">
        <v>3</v>
      </c>
      <c r="F28" s="359" t="n">
        <v>3</v>
      </c>
      <c r="G28" s="358" t="n">
        <v>1</v>
      </c>
      <c r="H28" s="359" t="n">
        <v>3</v>
      </c>
      <c r="I28" s="359" t="n">
        <v>5</v>
      </c>
      <c r="J28" s="359" t="n">
        <v>1</v>
      </c>
      <c r="K28" s="359" t="n">
        <v>1</v>
      </c>
      <c r="L28" s="358" t="n">
        <v>1</v>
      </c>
      <c r="M28" s="359" t="n">
        <v>3</v>
      </c>
      <c r="N28" s="359" t="n">
        <v>3</v>
      </c>
      <c r="O28" s="359" t="n">
        <v>1</v>
      </c>
      <c r="P28" s="359" t="n">
        <v>1</v>
      </c>
      <c r="Q28" s="358" t="n">
        <v>1</v>
      </c>
      <c r="R28" s="359" t="n">
        <v>3</v>
      </c>
      <c r="S28" s="359" t="n">
        <v>5</v>
      </c>
      <c r="T28" s="359" t="n">
        <v>1</v>
      </c>
      <c r="U28" s="359" t="n">
        <v>3</v>
      </c>
      <c r="V28" s="358" t="n">
        <v>1</v>
      </c>
      <c r="W28" s="359" t="n">
        <v>5</v>
      </c>
      <c r="X28" s="359" t="n">
        <v>5</v>
      </c>
      <c r="Y28" s="359" t="n">
        <v>3</v>
      </c>
      <c r="Z28" s="359" t="n">
        <v>3</v>
      </c>
      <c r="AA28" s="358" t="n">
        <v>3</v>
      </c>
      <c r="AB28" s="359" t="n">
        <v>5</v>
      </c>
      <c r="AC28" s="359" t="n">
        <v>5</v>
      </c>
      <c r="AD28" s="359" t="n">
        <v>3</v>
      </c>
      <c r="AE28" s="359" t="n">
        <v>5</v>
      </c>
      <c r="AF28" s="358" t="n">
        <v>3</v>
      </c>
      <c r="AG28" s="359" t="n">
        <v>5</v>
      </c>
      <c r="AH28" s="359" t="n">
        <v>5</v>
      </c>
      <c r="AI28" s="359" t="n">
        <v>5</v>
      </c>
      <c r="AJ28" s="359" t="n">
        <v>5</v>
      </c>
      <c r="AK28" s="358" t="n">
        <v>3</v>
      </c>
      <c r="AL28" s="359" t="n">
        <v>5</v>
      </c>
      <c r="AM28" s="359" t="n">
        <v>5</v>
      </c>
      <c r="AN28" s="359" t="n">
        <v>5</v>
      </c>
      <c r="AO28" s="359" t="n">
        <v>5</v>
      </c>
      <c r="AP28" s="358" t="n">
        <v>1</v>
      </c>
      <c r="AQ28" s="359" t="n">
        <v>5</v>
      </c>
      <c r="AR28" s="359" t="n">
        <v>5</v>
      </c>
      <c r="AS28" s="359" t="n">
        <v>3</v>
      </c>
      <c r="AT28" s="359" t="n">
        <v>1</v>
      </c>
      <c r="AU28" s="358" t="n">
        <v>3</v>
      </c>
      <c r="AV28" s="359"/>
      <c r="AW28" s="359" t="n">
        <v>5</v>
      </c>
      <c r="AX28" s="359" t="n">
        <v>3</v>
      </c>
      <c r="AY28" s="359" t="n">
        <v>3</v>
      </c>
      <c r="AZ28" s="358" t="n">
        <v>1</v>
      </c>
      <c r="BA28" s="359"/>
      <c r="BB28" s="359" t="n">
        <v>5</v>
      </c>
      <c r="BC28" s="359" t="n">
        <v>1</v>
      </c>
      <c r="BD28" s="359" t="n">
        <v>1</v>
      </c>
      <c r="BE28" s="358" t="n">
        <v>1</v>
      </c>
      <c r="BF28" s="359" t="n">
        <v>5</v>
      </c>
      <c r="BG28" s="359" t="n">
        <v>5</v>
      </c>
      <c r="BH28" s="359" t="n">
        <v>1</v>
      </c>
      <c r="BI28" s="359" t="n">
        <v>1</v>
      </c>
      <c r="BJ28" s="358" t="n">
        <v>3</v>
      </c>
      <c r="BK28" s="359" t="n">
        <v>5</v>
      </c>
      <c r="BL28" s="359" t="n">
        <v>3</v>
      </c>
      <c r="BM28" s="359" t="n">
        <v>3</v>
      </c>
      <c r="BN28" s="359" t="n">
        <v>3</v>
      </c>
      <c r="BO28" s="358" t="n">
        <v>5</v>
      </c>
      <c r="BP28" s="359"/>
      <c r="BQ28" s="359" t="n">
        <v>5</v>
      </c>
      <c r="BR28" s="359" t="n">
        <v>3</v>
      </c>
      <c r="BS28" s="359" t="n">
        <v>5</v>
      </c>
      <c r="BT28" s="358" t="n">
        <v>3</v>
      </c>
      <c r="BU28" s="359" t="n">
        <v>5</v>
      </c>
      <c r="BV28" s="359" t="n">
        <v>5</v>
      </c>
      <c r="BW28" s="359" t="n">
        <v>3</v>
      </c>
      <c r="BX28" s="359" t="n">
        <v>5</v>
      </c>
      <c r="BY28" s="358" t="n">
        <v>5</v>
      </c>
      <c r="BZ28" s="358" t="n">
        <v>5</v>
      </c>
      <c r="CA28" s="359" t="n">
        <v>5</v>
      </c>
      <c r="CB28" s="359" t="n">
        <v>3</v>
      </c>
      <c r="CC28" s="359" t="n">
        <v>5</v>
      </c>
      <c r="CD28" s="358"/>
      <c r="CE28" s="359"/>
      <c r="CF28" s="359"/>
      <c r="CG28" s="359"/>
      <c r="CH28" s="359"/>
      <c r="CI28" s="358"/>
      <c r="CJ28" s="359"/>
      <c r="CK28" s="359"/>
      <c r="CL28" s="359"/>
      <c r="CM28" s="359"/>
      <c r="CN28" s="358"/>
      <c r="CO28" s="359"/>
      <c r="CP28" s="359"/>
      <c r="CQ28" s="359"/>
      <c r="CR28" s="359"/>
      <c r="CS28" s="358"/>
      <c r="CT28" s="359"/>
      <c r="CU28" s="359"/>
      <c r="CV28" s="359"/>
      <c r="CW28" s="359"/>
      <c r="CX28" s="358"/>
      <c r="CY28" s="359"/>
      <c r="CZ28" s="359"/>
      <c r="DA28" s="359"/>
      <c r="DB28" s="359"/>
      <c r="DC28" s="358"/>
      <c r="DD28" s="359"/>
      <c r="DE28" s="359"/>
      <c r="DF28" s="359"/>
      <c r="DG28" s="359"/>
      <c r="DH28" s="358"/>
      <c r="DI28" s="359"/>
      <c r="DJ28" s="359"/>
      <c r="DK28" s="359"/>
      <c r="DL28" s="359"/>
      <c r="DM28" s="358"/>
      <c r="DN28" s="359"/>
      <c r="DO28" s="359"/>
      <c r="DP28" s="359"/>
      <c r="DQ28" s="359"/>
      <c r="DR28" s="358"/>
      <c r="DS28" s="359"/>
      <c r="DT28" s="359"/>
      <c r="DU28" s="359"/>
      <c r="DV28" s="359"/>
      <c r="DW28" s="358"/>
      <c r="DX28" s="359"/>
      <c r="DY28" s="359"/>
      <c r="DZ28" s="359"/>
      <c r="EA28" s="359"/>
      <c r="EB28" s="358"/>
      <c r="EC28" s="359"/>
      <c r="ED28" s="359"/>
      <c r="EE28" s="359"/>
      <c r="EF28" s="359"/>
      <c r="EG28" s="358"/>
      <c r="EH28" s="359"/>
      <c r="EI28" s="359"/>
      <c r="EJ28" s="359"/>
      <c r="EK28" s="359"/>
      <c r="EL28" s="358"/>
      <c r="EM28" s="359"/>
      <c r="EN28" s="359"/>
      <c r="EO28" s="359"/>
      <c r="EP28" s="359"/>
      <c r="EQ28" s="358"/>
      <c r="ER28" s="359"/>
      <c r="ES28" s="359"/>
      <c r="ET28" s="359"/>
      <c r="EU28" s="359"/>
      <c r="EV28" s="358"/>
      <c r="EW28" s="359"/>
      <c r="EX28" s="359"/>
      <c r="EY28" s="359"/>
      <c r="EZ28" s="359"/>
      <c r="FA28" s="358"/>
      <c r="FB28" s="359"/>
      <c r="FC28" s="359"/>
      <c r="FD28" s="359"/>
      <c r="FE28" s="359"/>
      <c r="FF28" s="358"/>
      <c r="FG28" s="359"/>
      <c r="FH28" s="359"/>
      <c r="FI28" s="359"/>
      <c r="FJ28" s="359"/>
      <c r="FK28" s="358"/>
      <c r="FL28" s="359"/>
      <c r="FM28" s="359"/>
      <c r="FN28" s="359"/>
      <c r="FO28" s="359"/>
      <c r="FP28" s="358"/>
      <c r="FQ28" s="359"/>
      <c r="FR28" s="359"/>
      <c r="FS28" s="359"/>
      <c r="FT28" s="359"/>
      <c r="FU28" s="358"/>
      <c r="FV28" s="359"/>
      <c r="FW28" s="359"/>
      <c r="FX28" s="359"/>
      <c r="FY28" s="359"/>
      <c r="FZ28" s="358"/>
      <c r="GA28" s="359"/>
      <c r="GB28" s="359"/>
      <c r="GC28" s="359"/>
      <c r="GD28" s="359"/>
      <c r="GE28" s="358"/>
      <c r="GF28" s="359"/>
      <c r="GG28" s="359"/>
      <c r="GH28" s="359"/>
      <c r="GI28" s="359"/>
      <c r="GJ28" s="358"/>
      <c r="GK28" s="359"/>
      <c r="GL28" s="359"/>
      <c r="GM28" s="359"/>
      <c r="GN28" s="359"/>
      <c r="GO28" s="358"/>
      <c r="GP28" s="359"/>
      <c r="GQ28" s="359"/>
      <c r="GR28" s="359"/>
      <c r="GS28" s="359"/>
      <c r="GT28" s="358"/>
      <c r="GU28" s="359"/>
      <c r="GV28" s="359"/>
      <c r="GW28" s="359"/>
      <c r="GX28" s="359"/>
      <c r="GY28" s="358"/>
      <c r="GZ28" s="359"/>
      <c r="HA28" s="359"/>
      <c r="HB28" s="359"/>
      <c r="HC28" s="359"/>
      <c r="HD28" s="358"/>
      <c r="HE28" s="359"/>
      <c r="HF28" s="359"/>
      <c r="HG28" s="359"/>
      <c r="HH28" s="359"/>
      <c r="HI28" s="358"/>
      <c r="HJ28" s="359"/>
      <c r="HK28" s="359"/>
      <c r="HL28" s="359"/>
      <c r="HM28" s="359"/>
      <c r="HN28" s="358"/>
      <c r="HO28" s="359"/>
      <c r="HP28" s="359"/>
      <c r="HQ28" s="359"/>
      <c r="HR28" s="359"/>
      <c r="HS28" s="358"/>
      <c r="HT28" s="359"/>
      <c r="HU28" s="359"/>
      <c r="HV28" s="359"/>
      <c r="HW28" s="359"/>
      <c r="HX28" s="358"/>
      <c r="HY28" s="359"/>
      <c r="HZ28" s="359"/>
      <c r="IA28" s="359"/>
      <c r="IB28" s="359"/>
      <c r="IC28" s="358"/>
      <c r="ID28" s="359"/>
      <c r="IE28" s="359"/>
      <c r="IF28" s="359"/>
      <c r="IG28" s="359"/>
      <c r="IH28" s="358"/>
      <c r="II28" s="359"/>
      <c r="IJ28" s="359"/>
      <c r="IK28" s="359"/>
      <c r="IL28" s="359"/>
      <c r="IM28" s="358"/>
      <c r="IN28" s="359"/>
      <c r="IO28" s="359"/>
      <c r="IP28" s="359"/>
      <c r="IQ28" s="359"/>
      <c r="IR28" s="358"/>
      <c r="IS28" s="359"/>
      <c r="IT28" s="359"/>
      <c r="IU28" s="359"/>
      <c r="IV28" s="359"/>
      <c r="IW28" s="358"/>
      <c r="IX28" s="359"/>
      <c r="IY28" s="359"/>
      <c r="IZ28" s="359"/>
      <c r="JA28" s="359"/>
      <c r="JB28" s="358"/>
      <c r="JC28" s="359"/>
      <c r="JD28" s="359"/>
      <c r="JE28" s="359"/>
      <c r="JF28" s="359"/>
      <c r="JG28" s="358"/>
      <c r="JH28" s="359"/>
      <c r="JI28" s="359"/>
      <c r="JJ28" s="359"/>
      <c r="JK28" s="359"/>
      <c r="JL28" s="358"/>
      <c r="JM28" s="359"/>
      <c r="JN28" s="359"/>
      <c r="JO28" s="359"/>
      <c r="JP28" s="359"/>
      <c r="JQ28" s="358"/>
      <c r="JR28" s="359"/>
      <c r="JS28" s="359"/>
      <c r="JT28" s="359"/>
      <c r="JU28" s="359"/>
      <c r="JV28" s="358"/>
      <c r="JW28" s="359"/>
      <c r="JX28" s="359"/>
      <c r="JY28" s="359"/>
      <c r="JZ28" s="359"/>
      <c r="KA28" s="358"/>
      <c r="KB28" s="359"/>
      <c r="KC28" s="359"/>
      <c r="KD28" s="359"/>
      <c r="KE28" s="359"/>
      <c r="KF28" s="358"/>
      <c r="KG28" s="359"/>
      <c r="KH28" s="359"/>
      <c r="KI28" s="359"/>
      <c r="KJ28" s="359"/>
      <c r="KK28" s="358"/>
      <c r="KL28" s="359"/>
      <c r="KM28" s="359"/>
      <c r="KN28" s="359"/>
      <c r="KO28" s="359"/>
      <c r="KP28" s="358"/>
      <c r="KQ28" s="359"/>
      <c r="KR28" s="359"/>
      <c r="KS28" s="359"/>
      <c r="KT28" s="359"/>
      <c r="KU28" s="358"/>
      <c r="KV28" s="359"/>
      <c r="KW28" s="359"/>
      <c r="KX28" s="359"/>
      <c r="KY28" s="359"/>
      <c r="KZ28" s="358"/>
      <c r="LA28" s="359"/>
      <c r="LB28" s="359"/>
      <c r="LC28" s="359"/>
      <c r="LD28" s="359"/>
      <c r="LE28" s="358"/>
      <c r="LF28" s="359"/>
      <c r="LG28" s="359"/>
      <c r="LH28" s="359"/>
      <c r="LI28" s="359"/>
      <c r="LJ28" s="358"/>
      <c r="LK28" s="359"/>
      <c r="LL28" s="359"/>
      <c r="LM28" s="359"/>
      <c r="LN28" s="359"/>
      <c r="LO28" s="358"/>
      <c r="LP28" s="359"/>
      <c r="LQ28" s="359"/>
      <c r="LR28" s="359"/>
      <c r="LS28" s="359"/>
      <c r="LT28" s="358"/>
      <c r="LU28" s="359"/>
      <c r="LV28" s="359"/>
      <c r="LW28" s="359"/>
      <c r="LX28" s="359"/>
      <c r="LY28" s="358"/>
      <c r="LZ28" s="359"/>
      <c r="MA28" s="359"/>
      <c r="MB28" s="359"/>
      <c r="MC28" s="359"/>
      <c r="MD28" s="358"/>
      <c r="ME28" s="359"/>
      <c r="MF28" s="359"/>
      <c r="MG28" s="359"/>
      <c r="MH28" s="359"/>
      <c r="MI28" s="358"/>
      <c r="MJ28" s="359"/>
      <c r="MK28" s="359"/>
      <c r="ML28" s="359"/>
      <c r="MM28" s="359"/>
      <c r="MN28" s="358"/>
      <c r="MO28" s="359"/>
      <c r="MP28" s="359"/>
      <c r="MQ28" s="359"/>
      <c r="MR28" s="359"/>
      <c r="MS28" s="358"/>
      <c r="MT28" s="359"/>
      <c r="MU28" s="359"/>
      <c r="MV28" s="359"/>
      <c r="MW28" s="359"/>
      <c r="MX28" s="358"/>
      <c r="MY28" s="359"/>
      <c r="MZ28" s="359"/>
      <c r="NA28" s="359"/>
      <c r="NB28" s="359"/>
      <c r="NC28" s="358"/>
      <c r="ND28" s="359"/>
      <c r="NE28" s="359"/>
      <c r="NF28" s="359"/>
      <c r="NG28" s="359"/>
      <c r="NH28" s="358"/>
      <c r="NI28" s="359"/>
      <c r="NJ28" s="359"/>
      <c r="NK28" s="359"/>
      <c r="NL28" s="359"/>
      <c r="NM28" s="358"/>
      <c r="NN28" s="359"/>
      <c r="NO28" s="359"/>
      <c r="NP28" s="359"/>
      <c r="NQ28" s="359"/>
      <c r="NR28" s="358"/>
      <c r="NS28" s="359"/>
      <c r="NT28" s="359"/>
      <c r="NU28" s="359"/>
      <c r="NV28" s="359"/>
      <c r="NW28" s="358"/>
      <c r="NX28" s="359"/>
      <c r="NY28" s="359"/>
      <c r="NZ28" s="359"/>
      <c r="OA28" s="359"/>
      <c r="OB28" s="358"/>
      <c r="OC28" s="359"/>
      <c r="OD28" s="359"/>
      <c r="OE28" s="359"/>
      <c r="OF28" s="359"/>
      <c r="OG28" s="358"/>
      <c r="OH28" s="359"/>
      <c r="OI28" s="359"/>
      <c r="OJ28" s="359"/>
      <c r="OK28" s="359"/>
      <c r="OL28" s="358"/>
      <c r="OM28" s="359"/>
      <c r="ON28" s="359"/>
      <c r="OO28" s="359"/>
      <c r="OP28" s="359"/>
      <c r="OQ28" s="358"/>
      <c r="OR28" s="359"/>
      <c r="OS28" s="359"/>
      <c r="OT28" s="359"/>
      <c r="OU28" s="359"/>
      <c r="OV28" s="358"/>
      <c r="OW28" s="359"/>
      <c r="OX28" s="359"/>
      <c r="OY28" s="359"/>
      <c r="OZ28" s="359"/>
      <c r="PA28" s="358"/>
      <c r="PB28" s="359"/>
      <c r="PC28" s="359"/>
      <c r="PD28" s="359"/>
      <c r="PE28" s="359"/>
      <c r="PF28" s="358"/>
      <c r="PG28" s="359"/>
      <c r="PH28" s="359"/>
      <c r="PI28" s="359"/>
      <c r="PJ28" s="359"/>
      <c r="PK28" s="358"/>
      <c r="PL28" s="359"/>
      <c r="PM28" s="359"/>
      <c r="PN28" s="359"/>
      <c r="PO28" s="359"/>
      <c r="PP28" s="358"/>
      <c r="PQ28" s="359"/>
      <c r="PR28" s="359"/>
      <c r="PS28" s="359"/>
      <c r="PT28" s="359"/>
      <c r="PU28" s="358"/>
      <c r="PV28" s="359"/>
      <c r="PW28" s="359"/>
      <c r="PX28" s="359"/>
      <c r="PY28" s="359"/>
      <c r="PZ28" s="358"/>
      <c r="QA28" s="359"/>
      <c r="QB28" s="359"/>
      <c r="QC28" s="359"/>
      <c r="QD28" s="359"/>
      <c r="QE28" s="358"/>
      <c r="QF28" s="359"/>
      <c r="QG28" s="359"/>
      <c r="QH28" s="359"/>
      <c r="QI28" s="359"/>
      <c r="QJ28" s="358"/>
      <c r="QK28" s="359"/>
      <c r="QL28" s="359"/>
      <c r="QM28" s="359"/>
      <c r="QN28" s="359"/>
      <c r="QO28" s="358"/>
      <c r="QP28" s="359"/>
      <c r="QQ28" s="359"/>
      <c r="QR28" s="359"/>
      <c r="QS28" s="359"/>
      <c r="QT28" s="358"/>
      <c r="QU28" s="359"/>
      <c r="QV28" s="359"/>
      <c r="QW28" s="359"/>
      <c r="QX28" s="359"/>
      <c r="QY28" s="358"/>
      <c r="QZ28" s="359"/>
      <c r="RA28" s="359"/>
      <c r="RB28" s="359"/>
      <c r="RC28" s="359"/>
      <c r="RD28" s="358"/>
      <c r="RE28" s="359"/>
      <c r="RF28" s="359"/>
      <c r="RG28" s="359"/>
      <c r="RH28" s="359"/>
      <c r="RI28" s="358"/>
      <c r="RJ28" s="359"/>
      <c r="RK28" s="359"/>
      <c r="RL28" s="359"/>
      <c r="RM28" s="359"/>
      <c r="RN28" s="358"/>
      <c r="RO28" s="359"/>
      <c r="RP28" s="359"/>
      <c r="RQ28" s="359"/>
      <c r="RR28" s="359"/>
      <c r="RS28" s="358"/>
      <c r="RT28" s="359"/>
      <c r="RU28" s="359"/>
      <c r="RV28" s="359"/>
      <c r="RW28" s="359"/>
      <c r="RX28" s="358"/>
      <c r="RY28" s="359"/>
      <c r="RZ28" s="359"/>
      <c r="SA28" s="359"/>
      <c r="SB28" s="359"/>
      <c r="SC28" s="358"/>
      <c r="SD28" s="359"/>
      <c r="SE28" s="359"/>
      <c r="SF28" s="359"/>
      <c r="SG28" s="359"/>
      <c r="SH28" s="358"/>
      <c r="SI28" s="359"/>
      <c r="SJ28" s="359"/>
      <c r="SK28" s="359"/>
      <c r="SL28" s="359"/>
      <c r="SM28" s="358"/>
      <c r="SN28" s="359"/>
      <c r="SO28" s="359"/>
      <c r="SP28" s="359"/>
      <c r="SQ28" s="359"/>
      <c r="SR28" s="358"/>
      <c r="SS28" s="359"/>
      <c r="ST28" s="359"/>
      <c r="SU28" s="359"/>
      <c r="SV28" s="359"/>
      <c r="SW28" s="358"/>
      <c r="SX28" s="359"/>
      <c r="SY28" s="359"/>
      <c r="SZ28" s="359"/>
      <c r="TA28" s="359"/>
      <c r="TB28" s="354" t="n">
        <f aca="false">+AVERAGE(B28:IB28)</f>
        <v>3.41558441558442</v>
      </c>
    </row>
    <row r="29" customFormat="false" ht="15.5" hidden="false" customHeight="false" outlineLevel="0" collapsed="false">
      <c r="A29" s="356" t="s">
        <v>521</v>
      </c>
      <c r="B29" s="358" t="n">
        <v>3</v>
      </c>
      <c r="C29" s="359" t="n">
        <v>3</v>
      </c>
      <c r="D29" s="359" t="n">
        <v>5</v>
      </c>
      <c r="E29" s="359" t="n">
        <v>3</v>
      </c>
      <c r="F29" s="359" t="n">
        <v>3</v>
      </c>
      <c r="G29" s="358" t="n">
        <v>1</v>
      </c>
      <c r="H29" s="359" t="n">
        <v>3</v>
      </c>
      <c r="I29" s="359" t="n">
        <v>5</v>
      </c>
      <c r="J29" s="359" t="n">
        <v>1</v>
      </c>
      <c r="K29" s="359" t="n">
        <v>1</v>
      </c>
      <c r="L29" s="358" t="n">
        <v>1</v>
      </c>
      <c r="M29" s="359" t="n">
        <v>3</v>
      </c>
      <c r="N29" s="359" t="n">
        <v>3</v>
      </c>
      <c r="O29" s="359" t="n">
        <v>1</v>
      </c>
      <c r="P29" s="359" t="n">
        <v>1</v>
      </c>
      <c r="Q29" s="358" t="n">
        <v>1</v>
      </c>
      <c r="R29" s="359" t="n">
        <v>3</v>
      </c>
      <c r="S29" s="359" t="n">
        <v>5</v>
      </c>
      <c r="T29" s="359" t="n">
        <v>1</v>
      </c>
      <c r="U29" s="359" t="n">
        <v>3</v>
      </c>
      <c r="V29" s="358" t="n">
        <v>1</v>
      </c>
      <c r="W29" s="359" t="n">
        <v>5</v>
      </c>
      <c r="X29" s="359" t="n">
        <v>5</v>
      </c>
      <c r="Y29" s="359" t="n">
        <v>3</v>
      </c>
      <c r="Z29" s="359" t="n">
        <v>3</v>
      </c>
      <c r="AA29" s="358" t="n">
        <v>3</v>
      </c>
      <c r="AB29" s="359" t="n">
        <v>5</v>
      </c>
      <c r="AC29" s="359" t="n">
        <v>5</v>
      </c>
      <c r="AD29" s="359" t="n">
        <v>3</v>
      </c>
      <c r="AE29" s="359" t="n">
        <v>5</v>
      </c>
      <c r="AF29" s="358" t="n">
        <v>3</v>
      </c>
      <c r="AG29" s="359" t="n">
        <v>5</v>
      </c>
      <c r="AH29" s="359" t="n">
        <v>5</v>
      </c>
      <c r="AI29" s="359" t="n">
        <v>5</v>
      </c>
      <c r="AJ29" s="359" t="n">
        <v>5</v>
      </c>
      <c r="AK29" s="358" t="n">
        <v>3</v>
      </c>
      <c r="AL29" s="359" t="n">
        <v>5</v>
      </c>
      <c r="AM29" s="359" t="n">
        <v>5</v>
      </c>
      <c r="AN29" s="359" t="n">
        <v>5</v>
      </c>
      <c r="AO29" s="359" t="n">
        <v>5</v>
      </c>
      <c r="AP29" s="358" t="n">
        <v>1</v>
      </c>
      <c r="AQ29" s="359" t="n">
        <v>5</v>
      </c>
      <c r="AR29" s="359" t="n">
        <v>5</v>
      </c>
      <c r="AS29" s="359" t="n">
        <v>3</v>
      </c>
      <c r="AT29" s="359" t="n">
        <v>1</v>
      </c>
      <c r="AU29" s="358" t="n">
        <v>3</v>
      </c>
      <c r="AV29" s="359"/>
      <c r="AW29" s="359" t="n">
        <v>5</v>
      </c>
      <c r="AX29" s="359" t="n">
        <v>3</v>
      </c>
      <c r="AY29" s="359" t="n">
        <v>3</v>
      </c>
      <c r="AZ29" s="358" t="n">
        <v>1</v>
      </c>
      <c r="BA29" s="359"/>
      <c r="BB29" s="359" t="n">
        <v>5</v>
      </c>
      <c r="BC29" s="359" t="n">
        <v>1</v>
      </c>
      <c r="BD29" s="359" t="n">
        <v>1</v>
      </c>
      <c r="BE29" s="358" t="n">
        <v>1</v>
      </c>
      <c r="BF29" s="359" t="n">
        <v>5</v>
      </c>
      <c r="BG29" s="359" t="n">
        <v>5</v>
      </c>
      <c r="BH29" s="359" t="n">
        <v>1</v>
      </c>
      <c r="BI29" s="359" t="n">
        <v>1</v>
      </c>
      <c r="BJ29" s="358" t="n">
        <v>3</v>
      </c>
      <c r="BK29" s="359" t="n">
        <v>5</v>
      </c>
      <c r="BL29" s="359" t="n">
        <v>3</v>
      </c>
      <c r="BM29" s="359" t="n">
        <v>3</v>
      </c>
      <c r="BN29" s="359" t="n">
        <v>3</v>
      </c>
      <c r="BO29" s="358" t="n">
        <v>5</v>
      </c>
      <c r="BP29" s="359"/>
      <c r="BQ29" s="359" t="n">
        <v>5</v>
      </c>
      <c r="BR29" s="359" t="n">
        <v>3</v>
      </c>
      <c r="BS29" s="359" t="n">
        <v>5</v>
      </c>
      <c r="BT29" s="358" t="n">
        <v>3</v>
      </c>
      <c r="BU29" s="359" t="n">
        <v>5</v>
      </c>
      <c r="BV29" s="359" t="n">
        <v>5</v>
      </c>
      <c r="BW29" s="359" t="n">
        <v>3</v>
      </c>
      <c r="BX29" s="359" t="n">
        <v>5</v>
      </c>
      <c r="BY29" s="358" t="n">
        <v>5</v>
      </c>
      <c r="BZ29" s="358" t="n">
        <v>5</v>
      </c>
      <c r="CA29" s="359" t="n">
        <v>5</v>
      </c>
      <c r="CB29" s="359" t="n">
        <v>3</v>
      </c>
      <c r="CC29" s="359" t="n">
        <v>5</v>
      </c>
      <c r="CD29" s="358"/>
      <c r="CE29" s="359"/>
      <c r="CF29" s="359"/>
      <c r="CG29" s="359"/>
      <c r="CH29" s="359"/>
      <c r="CI29" s="358"/>
      <c r="CJ29" s="359"/>
      <c r="CK29" s="359"/>
      <c r="CL29" s="359"/>
      <c r="CM29" s="359"/>
      <c r="CN29" s="358"/>
      <c r="CO29" s="359"/>
      <c r="CP29" s="359"/>
      <c r="CQ29" s="359"/>
      <c r="CR29" s="359"/>
      <c r="CS29" s="358"/>
      <c r="CT29" s="359"/>
      <c r="CU29" s="359"/>
      <c r="CV29" s="359"/>
      <c r="CW29" s="359"/>
      <c r="CX29" s="358"/>
      <c r="CY29" s="359"/>
      <c r="CZ29" s="359"/>
      <c r="DA29" s="359"/>
      <c r="DB29" s="359"/>
      <c r="DC29" s="358"/>
      <c r="DD29" s="359"/>
      <c r="DE29" s="359"/>
      <c r="DF29" s="359"/>
      <c r="DG29" s="359"/>
      <c r="DH29" s="358"/>
      <c r="DI29" s="359"/>
      <c r="DJ29" s="359"/>
      <c r="DK29" s="359"/>
      <c r="DL29" s="359"/>
      <c r="DM29" s="358"/>
      <c r="DN29" s="359"/>
      <c r="DO29" s="359"/>
      <c r="DP29" s="359"/>
      <c r="DQ29" s="359"/>
      <c r="DR29" s="358"/>
      <c r="DS29" s="359"/>
      <c r="DT29" s="359"/>
      <c r="DU29" s="359"/>
      <c r="DV29" s="359"/>
      <c r="DW29" s="358"/>
      <c r="DX29" s="359"/>
      <c r="DY29" s="359"/>
      <c r="DZ29" s="359"/>
      <c r="EA29" s="359"/>
      <c r="EB29" s="358"/>
      <c r="EC29" s="359"/>
      <c r="ED29" s="359"/>
      <c r="EE29" s="359"/>
      <c r="EF29" s="359"/>
      <c r="EG29" s="358"/>
      <c r="EH29" s="359"/>
      <c r="EI29" s="359"/>
      <c r="EJ29" s="359"/>
      <c r="EK29" s="359"/>
      <c r="EL29" s="358"/>
      <c r="EM29" s="359"/>
      <c r="EN29" s="359"/>
      <c r="EO29" s="359"/>
      <c r="EP29" s="359"/>
      <c r="EQ29" s="358"/>
      <c r="ER29" s="359"/>
      <c r="ES29" s="359"/>
      <c r="ET29" s="359"/>
      <c r="EU29" s="359"/>
      <c r="EV29" s="358"/>
      <c r="EW29" s="359"/>
      <c r="EX29" s="359"/>
      <c r="EY29" s="359"/>
      <c r="EZ29" s="359"/>
      <c r="FA29" s="358"/>
      <c r="FB29" s="359"/>
      <c r="FC29" s="359"/>
      <c r="FD29" s="359"/>
      <c r="FE29" s="359"/>
      <c r="FF29" s="358"/>
      <c r="FG29" s="359"/>
      <c r="FH29" s="359"/>
      <c r="FI29" s="359"/>
      <c r="FJ29" s="359"/>
      <c r="FK29" s="358"/>
      <c r="FL29" s="359"/>
      <c r="FM29" s="359"/>
      <c r="FN29" s="359"/>
      <c r="FO29" s="359"/>
      <c r="FP29" s="358"/>
      <c r="FQ29" s="359"/>
      <c r="FR29" s="359"/>
      <c r="FS29" s="359"/>
      <c r="FT29" s="359"/>
      <c r="FU29" s="358"/>
      <c r="FV29" s="359"/>
      <c r="FW29" s="359"/>
      <c r="FX29" s="359"/>
      <c r="FY29" s="359"/>
      <c r="FZ29" s="358"/>
      <c r="GA29" s="359"/>
      <c r="GB29" s="359"/>
      <c r="GC29" s="359"/>
      <c r="GD29" s="359"/>
      <c r="GE29" s="358"/>
      <c r="GF29" s="359"/>
      <c r="GG29" s="359"/>
      <c r="GH29" s="359"/>
      <c r="GI29" s="359"/>
      <c r="GJ29" s="358"/>
      <c r="GK29" s="359"/>
      <c r="GL29" s="359"/>
      <c r="GM29" s="359"/>
      <c r="GN29" s="359"/>
      <c r="GO29" s="358"/>
      <c r="GP29" s="359"/>
      <c r="GQ29" s="359"/>
      <c r="GR29" s="359"/>
      <c r="GS29" s="359"/>
      <c r="GT29" s="358"/>
      <c r="GU29" s="359"/>
      <c r="GV29" s="359"/>
      <c r="GW29" s="359"/>
      <c r="GX29" s="359"/>
      <c r="GY29" s="358"/>
      <c r="GZ29" s="359"/>
      <c r="HA29" s="359"/>
      <c r="HB29" s="359"/>
      <c r="HC29" s="359"/>
      <c r="HD29" s="358"/>
      <c r="HE29" s="359"/>
      <c r="HF29" s="359"/>
      <c r="HG29" s="359"/>
      <c r="HH29" s="359"/>
      <c r="HI29" s="358"/>
      <c r="HJ29" s="359"/>
      <c r="HK29" s="359"/>
      <c r="HL29" s="359"/>
      <c r="HM29" s="359"/>
      <c r="HN29" s="358"/>
      <c r="HO29" s="359"/>
      <c r="HP29" s="359"/>
      <c r="HQ29" s="359"/>
      <c r="HR29" s="359"/>
      <c r="HS29" s="358"/>
      <c r="HT29" s="359"/>
      <c r="HU29" s="359"/>
      <c r="HV29" s="359"/>
      <c r="HW29" s="359"/>
      <c r="HX29" s="358"/>
      <c r="HY29" s="359"/>
      <c r="HZ29" s="359"/>
      <c r="IA29" s="359"/>
      <c r="IB29" s="359"/>
      <c r="IC29" s="358"/>
      <c r="ID29" s="359"/>
      <c r="IE29" s="359"/>
      <c r="IF29" s="359"/>
      <c r="IG29" s="359"/>
      <c r="IH29" s="358"/>
      <c r="II29" s="359"/>
      <c r="IJ29" s="359"/>
      <c r="IK29" s="359"/>
      <c r="IL29" s="359"/>
      <c r="IM29" s="358"/>
      <c r="IN29" s="359"/>
      <c r="IO29" s="359"/>
      <c r="IP29" s="359"/>
      <c r="IQ29" s="359"/>
      <c r="IR29" s="358"/>
      <c r="IS29" s="359"/>
      <c r="IT29" s="359"/>
      <c r="IU29" s="359"/>
      <c r="IV29" s="359"/>
      <c r="IW29" s="358"/>
      <c r="IX29" s="359"/>
      <c r="IY29" s="359"/>
      <c r="IZ29" s="359"/>
      <c r="JA29" s="359"/>
      <c r="JB29" s="358"/>
      <c r="JC29" s="359"/>
      <c r="JD29" s="359"/>
      <c r="JE29" s="359"/>
      <c r="JF29" s="359"/>
      <c r="JG29" s="358"/>
      <c r="JH29" s="359"/>
      <c r="JI29" s="359"/>
      <c r="JJ29" s="359"/>
      <c r="JK29" s="359"/>
      <c r="JL29" s="358"/>
      <c r="JM29" s="359"/>
      <c r="JN29" s="359"/>
      <c r="JO29" s="359"/>
      <c r="JP29" s="359"/>
      <c r="JQ29" s="358"/>
      <c r="JR29" s="359"/>
      <c r="JS29" s="359"/>
      <c r="JT29" s="359"/>
      <c r="JU29" s="359"/>
      <c r="JV29" s="358"/>
      <c r="JW29" s="359"/>
      <c r="JX29" s="359"/>
      <c r="JY29" s="359"/>
      <c r="JZ29" s="359"/>
      <c r="KA29" s="358"/>
      <c r="KB29" s="359"/>
      <c r="KC29" s="359"/>
      <c r="KD29" s="359"/>
      <c r="KE29" s="359"/>
      <c r="KF29" s="358"/>
      <c r="KG29" s="359"/>
      <c r="KH29" s="359"/>
      <c r="KI29" s="359"/>
      <c r="KJ29" s="359"/>
      <c r="KK29" s="358"/>
      <c r="KL29" s="359"/>
      <c r="KM29" s="359"/>
      <c r="KN29" s="359"/>
      <c r="KO29" s="359"/>
      <c r="KP29" s="358"/>
      <c r="KQ29" s="359"/>
      <c r="KR29" s="359"/>
      <c r="KS29" s="359"/>
      <c r="KT29" s="359"/>
      <c r="KU29" s="358"/>
      <c r="KV29" s="359"/>
      <c r="KW29" s="359"/>
      <c r="KX29" s="359"/>
      <c r="KY29" s="359"/>
      <c r="KZ29" s="358"/>
      <c r="LA29" s="359"/>
      <c r="LB29" s="359"/>
      <c r="LC29" s="359"/>
      <c r="LD29" s="359"/>
      <c r="LE29" s="358"/>
      <c r="LF29" s="359"/>
      <c r="LG29" s="359"/>
      <c r="LH29" s="359"/>
      <c r="LI29" s="359"/>
      <c r="LJ29" s="358"/>
      <c r="LK29" s="359"/>
      <c r="LL29" s="359"/>
      <c r="LM29" s="359"/>
      <c r="LN29" s="359"/>
      <c r="LO29" s="358"/>
      <c r="LP29" s="359"/>
      <c r="LQ29" s="359"/>
      <c r="LR29" s="359"/>
      <c r="LS29" s="359"/>
      <c r="LT29" s="358"/>
      <c r="LU29" s="359"/>
      <c r="LV29" s="359"/>
      <c r="LW29" s="359"/>
      <c r="LX29" s="359"/>
      <c r="LY29" s="358"/>
      <c r="LZ29" s="359"/>
      <c r="MA29" s="359"/>
      <c r="MB29" s="359"/>
      <c r="MC29" s="359"/>
      <c r="MD29" s="358"/>
      <c r="ME29" s="359"/>
      <c r="MF29" s="359"/>
      <c r="MG29" s="359"/>
      <c r="MH29" s="359"/>
      <c r="MI29" s="358"/>
      <c r="MJ29" s="359"/>
      <c r="MK29" s="359"/>
      <c r="ML29" s="359"/>
      <c r="MM29" s="359"/>
      <c r="MN29" s="358"/>
      <c r="MO29" s="359"/>
      <c r="MP29" s="359"/>
      <c r="MQ29" s="359"/>
      <c r="MR29" s="359"/>
      <c r="MS29" s="358"/>
      <c r="MT29" s="359"/>
      <c r="MU29" s="359"/>
      <c r="MV29" s="359"/>
      <c r="MW29" s="359"/>
      <c r="MX29" s="358"/>
      <c r="MY29" s="359"/>
      <c r="MZ29" s="359"/>
      <c r="NA29" s="359"/>
      <c r="NB29" s="359"/>
      <c r="NC29" s="358"/>
      <c r="ND29" s="359"/>
      <c r="NE29" s="359"/>
      <c r="NF29" s="359"/>
      <c r="NG29" s="359"/>
      <c r="NH29" s="358"/>
      <c r="NI29" s="359"/>
      <c r="NJ29" s="359"/>
      <c r="NK29" s="359"/>
      <c r="NL29" s="359"/>
      <c r="NM29" s="358"/>
      <c r="NN29" s="359"/>
      <c r="NO29" s="359"/>
      <c r="NP29" s="359"/>
      <c r="NQ29" s="359"/>
      <c r="NR29" s="358"/>
      <c r="NS29" s="359"/>
      <c r="NT29" s="359"/>
      <c r="NU29" s="359"/>
      <c r="NV29" s="359"/>
      <c r="NW29" s="358"/>
      <c r="NX29" s="359"/>
      <c r="NY29" s="359"/>
      <c r="NZ29" s="359"/>
      <c r="OA29" s="359"/>
      <c r="OB29" s="358"/>
      <c r="OC29" s="359"/>
      <c r="OD29" s="359"/>
      <c r="OE29" s="359"/>
      <c r="OF29" s="359"/>
      <c r="OG29" s="358"/>
      <c r="OH29" s="359"/>
      <c r="OI29" s="359"/>
      <c r="OJ29" s="359"/>
      <c r="OK29" s="359"/>
      <c r="OL29" s="358"/>
      <c r="OM29" s="359"/>
      <c r="ON29" s="359"/>
      <c r="OO29" s="359"/>
      <c r="OP29" s="359"/>
      <c r="OQ29" s="358"/>
      <c r="OR29" s="359"/>
      <c r="OS29" s="359"/>
      <c r="OT29" s="359"/>
      <c r="OU29" s="359"/>
      <c r="OV29" s="358"/>
      <c r="OW29" s="359"/>
      <c r="OX29" s="359"/>
      <c r="OY29" s="359"/>
      <c r="OZ29" s="359"/>
      <c r="PA29" s="358"/>
      <c r="PB29" s="359"/>
      <c r="PC29" s="359"/>
      <c r="PD29" s="359"/>
      <c r="PE29" s="359"/>
      <c r="PF29" s="358"/>
      <c r="PG29" s="359"/>
      <c r="PH29" s="359"/>
      <c r="PI29" s="359"/>
      <c r="PJ29" s="359"/>
      <c r="PK29" s="358"/>
      <c r="PL29" s="359"/>
      <c r="PM29" s="359"/>
      <c r="PN29" s="359"/>
      <c r="PO29" s="359"/>
      <c r="PP29" s="358"/>
      <c r="PQ29" s="359"/>
      <c r="PR29" s="359"/>
      <c r="PS29" s="359"/>
      <c r="PT29" s="359"/>
      <c r="PU29" s="358"/>
      <c r="PV29" s="359"/>
      <c r="PW29" s="359"/>
      <c r="PX29" s="359"/>
      <c r="PY29" s="359"/>
      <c r="PZ29" s="358"/>
      <c r="QA29" s="359"/>
      <c r="QB29" s="359"/>
      <c r="QC29" s="359"/>
      <c r="QD29" s="359"/>
      <c r="QE29" s="358"/>
      <c r="QF29" s="359"/>
      <c r="QG29" s="359"/>
      <c r="QH29" s="359"/>
      <c r="QI29" s="359"/>
      <c r="QJ29" s="358"/>
      <c r="QK29" s="359"/>
      <c r="QL29" s="359"/>
      <c r="QM29" s="359"/>
      <c r="QN29" s="359"/>
      <c r="QO29" s="358"/>
      <c r="QP29" s="359"/>
      <c r="QQ29" s="359"/>
      <c r="QR29" s="359"/>
      <c r="QS29" s="359"/>
      <c r="QT29" s="358"/>
      <c r="QU29" s="359"/>
      <c r="QV29" s="359"/>
      <c r="QW29" s="359"/>
      <c r="QX29" s="359"/>
      <c r="QY29" s="358"/>
      <c r="QZ29" s="359"/>
      <c r="RA29" s="359"/>
      <c r="RB29" s="359"/>
      <c r="RC29" s="359"/>
      <c r="RD29" s="358"/>
      <c r="RE29" s="359"/>
      <c r="RF29" s="359"/>
      <c r="RG29" s="359"/>
      <c r="RH29" s="359"/>
      <c r="RI29" s="358"/>
      <c r="RJ29" s="359"/>
      <c r="RK29" s="359"/>
      <c r="RL29" s="359"/>
      <c r="RM29" s="359"/>
      <c r="RN29" s="358"/>
      <c r="RO29" s="359"/>
      <c r="RP29" s="359"/>
      <c r="RQ29" s="359"/>
      <c r="RR29" s="359"/>
      <c r="RS29" s="358"/>
      <c r="RT29" s="359"/>
      <c r="RU29" s="359"/>
      <c r="RV29" s="359"/>
      <c r="RW29" s="359"/>
      <c r="RX29" s="358"/>
      <c r="RY29" s="359"/>
      <c r="RZ29" s="359"/>
      <c r="SA29" s="359"/>
      <c r="SB29" s="359"/>
      <c r="SC29" s="358"/>
      <c r="SD29" s="359"/>
      <c r="SE29" s="359"/>
      <c r="SF29" s="359"/>
      <c r="SG29" s="359"/>
      <c r="SH29" s="358"/>
      <c r="SI29" s="359"/>
      <c r="SJ29" s="359"/>
      <c r="SK29" s="359"/>
      <c r="SL29" s="359"/>
      <c r="SM29" s="358"/>
      <c r="SN29" s="359"/>
      <c r="SO29" s="359"/>
      <c r="SP29" s="359"/>
      <c r="SQ29" s="359"/>
      <c r="SR29" s="358"/>
      <c r="SS29" s="359"/>
      <c r="ST29" s="359"/>
      <c r="SU29" s="359"/>
      <c r="SV29" s="359"/>
      <c r="SW29" s="358"/>
      <c r="SX29" s="359"/>
      <c r="SY29" s="359"/>
      <c r="SZ29" s="359"/>
      <c r="TA29" s="359"/>
      <c r="TB29" s="354" t="n">
        <f aca="false">+AVERAGE(B29:IB29)</f>
        <v>3.41558441558442</v>
      </c>
    </row>
    <row r="30" customFormat="false" ht="15.5" hidden="false" customHeight="false" outlineLevel="0" collapsed="false">
      <c r="A30" s="356" t="s">
        <v>521</v>
      </c>
      <c r="B30" s="358" t="n">
        <v>3</v>
      </c>
      <c r="C30" s="359" t="n">
        <v>3</v>
      </c>
      <c r="D30" s="359" t="n">
        <v>5</v>
      </c>
      <c r="E30" s="359" t="n">
        <v>3</v>
      </c>
      <c r="F30" s="359" t="n">
        <v>3</v>
      </c>
      <c r="G30" s="358" t="n">
        <v>1</v>
      </c>
      <c r="H30" s="359" t="n">
        <v>3</v>
      </c>
      <c r="I30" s="359" t="n">
        <v>5</v>
      </c>
      <c r="J30" s="359" t="n">
        <v>1</v>
      </c>
      <c r="K30" s="359" t="n">
        <v>1</v>
      </c>
      <c r="L30" s="358" t="n">
        <v>1</v>
      </c>
      <c r="M30" s="359" t="n">
        <v>3</v>
      </c>
      <c r="N30" s="359" t="n">
        <v>3</v>
      </c>
      <c r="O30" s="359" t="n">
        <v>1</v>
      </c>
      <c r="P30" s="359" t="n">
        <v>1</v>
      </c>
      <c r="Q30" s="358" t="n">
        <v>1</v>
      </c>
      <c r="R30" s="359" t="n">
        <v>3</v>
      </c>
      <c r="S30" s="359" t="n">
        <v>5</v>
      </c>
      <c r="T30" s="359" t="n">
        <v>1</v>
      </c>
      <c r="U30" s="359" t="n">
        <v>3</v>
      </c>
      <c r="V30" s="358" t="n">
        <v>1</v>
      </c>
      <c r="W30" s="359" t="n">
        <v>5</v>
      </c>
      <c r="X30" s="359" t="n">
        <v>5</v>
      </c>
      <c r="Y30" s="359" t="n">
        <v>3</v>
      </c>
      <c r="Z30" s="359" t="n">
        <v>3</v>
      </c>
      <c r="AA30" s="358" t="n">
        <v>3</v>
      </c>
      <c r="AB30" s="359" t="n">
        <v>5</v>
      </c>
      <c r="AC30" s="359" t="n">
        <v>5</v>
      </c>
      <c r="AD30" s="359" t="n">
        <v>3</v>
      </c>
      <c r="AE30" s="359" t="n">
        <v>5</v>
      </c>
      <c r="AF30" s="358" t="n">
        <v>3</v>
      </c>
      <c r="AG30" s="359" t="n">
        <v>5</v>
      </c>
      <c r="AH30" s="359" t="n">
        <v>5</v>
      </c>
      <c r="AI30" s="359" t="n">
        <v>5</v>
      </c>
      <c r="AJ30" s="359" t="n">
        <v>5</v>
      </c>
      <c r="AK30" s="358" t="n">
        <v>3</v>
      </c>
      <c r="AL30" s="359" t="n">
        <v>5</v>
      </c>
      <c r="AM30" s="359" t="n">
        <v>5</v>
      </c>
      <c r="AN30" s="359" t="n">
        <v>5</v>
      </c>
      <c r="AO30" s="359" t="n">
        <v>5</v>
      </c>
      <c r="AP30" s="358" t="n">
        <v>1</v>
      </c>
      <c r="AQ30" s="359" t="n">
        <v>5</v>
      </c>
      <c r="AR30" s="359" t="n">
        <v>5</v>
      </c>
      <c r="AS30" s="359" t="n">
        <v>3</v>
      </c>
      <c r="AT30" s="359" t="n">
        <v>1</v>
      </c>
      <c r="AU30" s="358" t="n">
        <v>3</v>
      </c>
      <c r="AV30" s="359"/>
      <c r="AW30" s="359" t="n">
        <v>5</v>
      </c>
      <c r="AX30" s="359" t="n">
        <v>3</v>
      </c>
      <c r="AY30" s="359" t="n">
        <v>3</v>
      </c>
      <c r="AZ30" s="358" t="n">
        <v>1</v>
      </c>
      <c r="BA30" s="359"/>
      <c r="BB30" s="359" t="n">
        <v>5</v>
      </c>
      <c r="BC30" s="359" t="n">
        <v>1</v>
      </c>
      <c r="BD30" s="359" t="n">
        <v>1</v>
      </c>
      <c r="BE30" s="358" t="n">
        <v>1</v>
      </c>
      <c r="BF30" s="359" t="n">
        <v>5</v>
      </c>
      <c r="BG30" s="359" t="n">
        <v>5</v>
      </c>
      <c r="BH30" s="359" t="n">
        <v>1</v>
      </c>
      <c r="BI30" s="359" t="n">
        <v>1</v>
      </c>
      <c r="BJ30" s="358" t="n">
        <v>3</v>
      </c>
      <c r="BK30" s="359" t="n">
        <v>5</v>
      </c>
      <c r="BL30" s="359" t="n">
        <v>3</v>
      </c>
      <c r="BM30" s="359" t="n">
        <v>3</v>
      </c>
      <c r="BN30" s="359" t="n">
        <v>3</v>
      </c>
      <c r="BO30" s="358" t="n">
        <v>5</v>
      </c>
      <c r="BP30" s="359"/>
      <c r="BQ30" s="359" t="n">
        <v>5</v>
      </c>
      <c r="BR30" s="359" t="n">
        <v>3</v>
      </c>
      <c r="BS30" s="359" t="n">
        <v>5</v>
      </c>
      <c r="BT30" s="358" t="n">
        <v>3</v>
      </c>
      <c r="BU30" s="359" t="n">
        <v>5</v>
      </c>
      <c r="BV30" s="359" t="n">
        <v>5</v>
      </c>
      <c r="BW30" s="359" t="n">
        <v>3</v>
      </c>
      <c r="BX30" s="359" t="n">
        <v>5</v>
      </c>
      <c r="BY30" s="358" t="n">
        <v>5</v>
      </c>
      <c r="BZ30" s="358" t="n">
        <v>5</v>
      </c>
      <c r="CA30" s="359" t="n">
        <v>5</v>
      </c>
      <c r="CB30" s="359" t="n">
        <v>3</v>
      </c>
      <c r="CC30" s="359" t="n">
        <v>5</v>
      </c>
      <c r="CD30" s="358"/>
      <c r="CE30" s="359"/>
      <c r="CF30" s="359"/>
      <c r="CG30" s="359"/>
      <c r="CH30" s="359"/>
      <c r="CI30" s="358"/>
      <c r="CJ30" s="359"/>
      <c r="CK30" s="359"/>
      <c r="CL30" s="359"/>
      <c r="CM30" s="359"/>
      <c r="CN30" s="358"/>
      <c r="CO30" s="359"/>
      <c r="CP30" s="359"/>
      <c r="CQ30" s="359"/>
      <c r="CR30" s="359"/>
      <c r="CS30" s="358"/>
      <c r="CT30" s="359"/>
      <c r="CU30" s="359"/>
      <c r="CV30" s="359"/>
      <c r="CW30" s="359"/>
      <c r="CX30" s="358"/>
      <c r="CY30" s="359"/>
      <c r="CZ30" s="359"/>
      <c r="DA30" s="359"/>
      <c r="DB30" s="359"/>
      <c r="DC30" s="358"/>
      <c r="DD30" s="359"/>
      <c r="DE30" s="359"/>
      <c r="DF30" s="359"/>
      <c r="DG30" s="359"/>
      <c r="DH30" s="358"/>
      <c r="DI30" s="359"/>
      <c r="DJ30" s="359"/>
      <c r="DK30" s="359"/>
      <c r="DL30" s="359"/>
      <c r="DM30" s="358"/>
      <c r="DN30" s="359"/>
      <c r="DO30" s="359"/>
      <c r="DP30" s="359"/>
      <c r="DQ30" s="359"/>
      <c r="DR30" s="358"/>
      <c r="DS30" s="359"/>
      <c r="DT30" s="359"/>
      <c r="DU30" s="359"/>
      <c r="DV30" s="359"/>
      <c r="DW30" s="358"/>
      <c r="DX30" s="359"/>
      <c r="DY30" s="359"/>
      <c r="DZ30" s="359"/>
      <c r="EA30" s="359"/>
      <c r="EB30" s="358"/>
      <c r="EC30" s="359"/>
      <c r="ED30" s="359"/>
      <c r="EE30" s="359"/>
      <c r="EF30" s="359"/>
      <c r="EG30" s="358"/>
      <c r="EH30" s="359"/>
      <c r="EI30" s="359"/>
      <c r="EJ30" s="359"/>
      <c r="EK30" s="359"/>
      <c r="EL30" s="358"/>
      <c r="EM30" s="359"/>
      <c r="EN30" s="359"/>
      <c r="EO30" s="359"/>
      <c r="EP30" s="359"/>
      <c r="EQ30" s="358"/>
      <c r="ER30" s="359"/>
      <c r="ES30" s="359"/>
      <c r="ET30" s="359"/>
      <c r="EU30" s="359"/>
      <c r="EV30" s="358"/>
      <c r="EW30" s="359"/>
      <c r="EX30" s="359"/>
      <c r="EY30" s="359"/>
      <c r="EZ30" s="359"/>
      <c r="FA30" s="358"/>
      <c r="FB30" s="359"/>
      <c r="FC30" s="359"/>
      <c r="FD30" s="359"/>
      <c r="FE30" s="359"/>
      <c r="FF30" s="358"/>
      <c r="FG30" s="359"/>
      <c r="FH30" s="359"/>
      <c r="FI30" s="359"/>
      <c r="FJ30" s="359"/>
      <c r="FK30" s="358"/>
      <c r="FL30" s="359"/>
      <c r="FM30" s="359"/>
      <c r="FN30" s="359"/>
      <c r="FO30" s="359"/>
      <c r="FP30" s="358"/>
      <c r="FQ30" s="359"/>
      <c r="FR30" s="359"/>
      <c r="FS30" s="359"/>
      <c r="FT30" s="359"/>
      <c r="FU30" s="358"/>
      <c r="FV30" s="359"/>
      <c r="FW30" s="359"/>
      <c r="FX30" s="359"/>
      <c r="FY30" s="359"/>
      <c r="FZ30" s="358"/>
      <c r="GA30" s="359"/>
      <c r="GB30" s="359"/>
      <c r="GC30" s="359"/>
      <c r="GD30" s="359"/>
      <c r="GE30" s="358"/>
      <c r="GF30" s="359"/>
      <c r="GG30" s="359"/>
      <c r="GH30" s="359"/>
      <c r="GI30" s="359"/>
      <c r="GJ30" s="358"/>
      <c r="GK30" s="359"/>
      <c r="GL30" s="359"/>
      <c r="GM30" s="359"/>
      <c r="GN30" s="359"/>
      <c r="GO30" s="358"/>
      <c r="GP30" s="359"/>
      <c r="GQ30" s="359"/>
      <c r="GR30" s="359"/>
      <c r="GS30" s="359"/>
      <c r="GT30" s="358"/>
      <c r="GU30" s="359"/>
      <c r="GV30" s="359"/>
      <c r="GW30" s="359"/>
      <c r="GX30" s="359"/>
      <c r="GY30" s="358"/>
      <c r="GZ30" s="359"/>
      <c r="HA30" s="359"/>
      <c r="HB30" s="359"/>
      <c r="HC30" s="359"/>
      <c r="HD30" s="358"/>
      <c r="HE30" s="359"/>
      <c r="HF30" s="359"/>
      <c r="HG30" s="359"/>
      <c r="HH30" s="359"/>
      <c r="HI30" s="358"/>
      <c r="HJ30" s="359"/>
      <c r="HK30" s="359"/>
      <c r="HL30" s="359"/>
      <c r="HM30" s="359"/>
      <c r="HN30" s="358"/>
      <c r="HO30" s="359"/>
      <c r="HP30" s="359"/>
      <c r="HQ30" s="359"/>
      <c r="HR30" s="359"/>
      <c r="HS30" s="358"/>
      <c r="HT30" s="359"/>
      <c r="HU30" s="359"/>
      <c r="HV30" s="359"/>
      <c r="HW30" s="359"/>
      <c r="HX30" s="358"/>
      <c r="HY30" s="359"/>
      <c r="HZ30" s="359"/>
      <c r="IA30" s="359"/>
      <c r="IB30" s="359"/>
      <c r="IC30" s="358"/>
      <c r="ID30" s="359"/>
      <c r="IE30" s="359"/>
      <c r="IF30" s="359"/>
      <c r="IG30" s="359"/>
      <c r="IH30" s="358"/>
      <c r="II30" s="359"/>
      <c r="IJ30" s="359"/>
      <c r="IK30" s="359"/>
      <c r="IL30" s="359"/>
      <c r="IM30" s="358"/>
      <c r="IN30" s="359"/>
      <c r="IO30" s="359"/>
      <c r="IP30" s="359"/>
      <c r="IQ30" s="359"/>
      <c r="IR30" s="358"/>
      <c r="IS30" s="359"/>
      <c r="IT30" s="359"/>
      <c r="IU30" s="359"/>
      <c r="IV30" s="359"/>
      <c r="IW30" s="358"/>
      <c r="IX30" s="359"/>
      <c r="IY30" s="359"/>
      <c r="IZ30" s="359"/>
      <c r="JA30" s="359"/>
      <c r="JB30" s="358"/>
      <c r="JC30" s="359"/>
      <c r="JD30" s="359"/>
      <c r="JE30" s="359"/>
      <c r="JF30" s="359"/>
      <c r="JG30" s="358"/>
      <c r="JH30" s="359"/>
      <c r="JI30" s="359"/>
      <c r="JJ30" s="359"/>
      <c r="JK30" s="359"/>
      <c r="JL30" s="358"/>
      <c r="JM30" s="359"/>
      <c r="JN30" s="359"/>
      <c r="JO30" s="359"/>
      <c r="JP30" s="359"/>
      <c r="JQ30" s="358"/>
      <c r="JR30" s="359"/>
      <c r="JS30" s="359"/>
      <c r="JT30" s="359"/>
      <c r="JU30" s="359"/>
      <c r="JV30" s="358"/>
      <c r="JW30" s="359"/>
      <c r="JX30" s="359"/>
      <c r="JY30" s="359"/>
      <c r="JZ30" s="359"/>
      <c r="KA30" s="358"/>
      <c r="KB30" s="359"/>
      <c r="KC30" s="359"/>
      <c r="KD30" s="359"/>
      <c r="KE30" s="359"/>
      <c r="KF30" s="358"/>
      <c r="KG30" s="359"/>
      <c r="KH30" s="359"/>
      <c r="KI30" s="359"/>
      <c r="KJ30" s="359"/>
      <c r="KK30" s="358"/>
      <c r="KL30" s="359"/>
      <c r="KM30" s="359"/>
      <c r="KN30" s="359"/>
      <c r="KO30" s="359"/>
      <c r="KP30" s="358"/>
      <c r="KQ30" s="359"/>
      <c r="KR30" s="359"/>
      <c r="KS30" s="359"/>
      <c r="KT30" s="359"/>
      <c r="KU30" s="358"/>
      <c r="KV30" s="359"/>
      <c r="KW30" s="359"/>
      <c r="KX30" s="359"/>
      <c r="KY30" s="359"/>
      <c r="KZ30" s="358"/>
      <c r="LA30" s="359"/>
      <c r="LB30" s="359"/>
      <c r="LC30" s="359"/>
      <c r="LD30" s="359"/>
      <c r="LE30" s="358"/>
      <c r="LF30" s="359"/>
      <c r="LG30" s="359"/>
      <c r="LH30" s="359"/>
      <c r="LI30" s="359"/>
      <c r="LJ30" s="358"/>
      <c r="LK30" s="359"/>
      <c r="LL30" s="359"/>
      <c r="LM30" s="359"/>
      <c r="LN30" s="359"/>
      <c r="LO30" s="358"/>
      <c r="LP30" s="359"/>
      <c r="LQ30" s="359"/>
      <c r="LR30" s="359"/>
      <c r="LS30" s="359"/>
      <c r="LT30" s="358"/>
      <c r="LU30" s="359"/>
      <c r="LV30" s="359"/>
      <c r="LW30" s="359"/>
      <c r="LX30" s="359"/>
      <c r="LY30" s="358"/>
      <c r="LZ30" s="359"/>
      <c r="MA30" s="359"/>
      <c r="MB30" s="359"/>
      <c r="MC30" s="359"/>
      <c r="MD30" s="358"/>
      <c r="ME30" s="359"/>
      <c r="MF30" s="359"/>
      <c r="MG30" s="359"/>
      <c r="MH30" s="359"/>
      <c r="MI30" s="358"/>
      <c r="MJ30" s="359"/>
      <c r="MK30" s="359"/>
      <c r="ML30" s="359"/>
      <c r="MM30" s="359"/>
      <c r="MN30" s="358"/>
      <c r="MO30" s="359"/>
      <c r="MP30" s="359"/>
      <c r="MQ30" s="359"/>
      <c r="MR30" s="359"/>
      <c r="MS30" s="358"/>
      <c r="MT30" s="359"/>
      <c r="MU30" s="359"/>
      <c r="MV30" s="359"/>
      <c r="MW30" s="359"/>
      <c r="MX30" s="358"/>
      <c r="MY30" s="359"/>
      <c r="MZ30" s="359"/>
      <c r="NA30" s="359"/>
      <c r="NB30" s="359"/>
      <c r="NC30" s="358"/>
      <c r="ND30" s="359"/>
      <c r="NE30" s="359"/>
      <c r="NF30" s="359"/>
      <c r="NG30" s="359"/>
      <c r="NH30" s="358"/>
      <c r="NI30" s="359"/>
      <c r="NJ30" s="359"/>
      <c r="NK30" s="359"/>
      <c r="NL30" s="359"/>
      <c r="NM30" s="358"/>
      <c r="NN30" s="359"/>
      <c r="NO30" s="359"/>
      <c r="NP30" s="359"/>
      <c r="NQ30" s="359"/>
      <c r="NR30" s="358"/>
      <c r="NS30" s="359"/>
      <c r="NT30" s="359"/>
      <c r="NU30" s="359"/>
      <c r="NV30" s="359"/>
      <c r="NW30" s="358"/>
      <c r="NX30" s="359"/>
      <c r="NY30" s="359"/>
      <c r="NZ30" s="359"/>
      <c r="OA30" s="359"/>
      <c r="OB30" s="358"/>
      <c r="OC30" s="359"/>
      <c r="OD30" s="359"/>
      <c r="OE30" s="359"/>
      <c r="OF30" s="359"/>
      <c r="OG30" s="358"/>
      <c r="OH30" s="359"/>
      <c r="OI30" s="359"/>
      <c r="OJ30" s="359"/>
      <c r="OK30" s="359"/>
      <c r="OL30" s="358"/>
      <c r="OM30" s="359"/>
      <c r="ON30" s="359"/>
      <c r="OO30" s="359"/>
      <c r="OP30" s="359"/>
      <c r="OQ30" s="358"/>
      <c r="OR30" s="359"/>
      <c r="OS30" s="359"/>
      <c r="OT30" s="359"/>
      <c r="OU30" s="359"/>
      <c r="OV30" s="358"/>
      <c r="OW30" s="359"/>
      <c r="OX30" s="359"/>
      <c r="OY30" s="359"/>
      <c r="OZ30" s="359"/>
      <c r="PA30" s="358"/>
      <c r="PB30" s="359"/>
      <c r="PC30" s="359"/>
      <c r="PD30" s="359"/>
      <c r="PE30" s="359"/>
      <c r="PF30" s="358"/>
      <c r="PG30" s="359"/>
      <c r="PH30" s="359"/>
      <c r="PI30" s="359"/>
      <c r="PJ30" s="359"/>
      <c r="PK30" s="358"/>
      <c r="PL30" s="359"/>
      <c r="PM30" s="359"/>
      <c r="PN30" s="359"/>
      <c r="PO30" s="359"/>
      <c r="PP30" s="358"/>
      <c r="PQ30" s="359"/>
      <c r="PR30" s="359"/>
      <c r="PS30" s="359"/>
      <c r="PT30" s="359"/>
      <c r="PU30" s="358"/>
      <c r="PV30" s="359"/>
      <c r="PW30" s="359"/>
      <c r="PX30" s="359"/>
      <c r="PY30" s="359"/>
      <c r="PZ30" s="358"/>
      <c r="QA30" s="359"/>
      <c r="QB30" s="359"/>
      <c r="QC30" s="359"/>
      <c r="QD30" s="359"/>
      <c r="QE30" s="358"/>
      <c r="QF30" s="359"/>
      <c r="QG30" s="359"/>
      <c r="QH30" s="359"/>
      <c r="QI30" s="359"/>
      <c r="QJ30" s="358"/>
      <c r="QK30" s="359"/>
      <c r="QL30" s="359"/>
      <c r="QM30" s="359"/>
      <c r="QN30" s="359"/>
      <c r="QO30" s="358"/>
      <c r="QP30" s="359"/>
      <c r="QQ30" s="359"/>
      <c r="QR30" s="359"/>
      <c r="QS30" s="359"/>
      <c r="QT30" s="358"/>
      <c r="QU30" s="359"/>
      <c r="QV30" s="359"/>
      <c r="QW30" s="359"/>
      <c r="QX30" s="359"/>
      <c r="QY30" s="358"/>
      <c r="QZ30" s="359"/>
      <c r="RA30" s="359"/>
      <c r="RB30" s="359"/>
      <c r="RC30" s="359"/>
      <c r="RD30" s="358"/>
      <c r="RE30" s="359"/>
      <c r="RF30" s="359"/>
      <c r="RG30" s="359"/>
      <c r="RH30" s="359"/>
      <c r="RI30" s="358"/>
      <c r="RJ30" s="359"/>
      <c r="RK30" s="359"/>
      <c r="RL30" s="359"/>
      <c r="RM30" s="359"/>
      <c r="RN30" s="358"/>
      <c r="RO30" s="359"/>
      <c r="RP30" s="359"/>
      <c r="RQ30" s="359"/>
      <c r="RR30" s="359"/>
      <c r="RS30" s="358"/>
      <c r="RT30" s="359"/>
      <c r="RU30" s="359"/>
      <c r="RV30" s="359"/>
      <c r="RW30" s="359"/>
      <c r="RX30" s="358"/>
      <c r="RY30" s="359"/>
      <c r="RZ30" s="359"/>
      <c r="SA30" s="359"/>
      <c r="SB30" s="359"/>
      <c r="SC30" s="358"/>
      <c r="SD30" s="359"/>
      <c r="SE30" s="359"/>
      <c r="SF30" s="359"/>
      <c r="SG30" s="359"/>
      <c r="SH30" s="358"/>
      <c r="SI30" s="359"/>
      <c r="SJ30" s="359"/>
      <c r="SK30" s="359"/>
      <c r="SL30" s="359"/>
      <c r="SM30" s="358"/>
      <c r="SN30" s="359"/>
      <c r="SO30" s="359"/>
      <c r="SP30" s="359"/>
      <c r="SQ30" s="359"/>
      <c r="SR30" s="358"/>
      <c r="SS30" s="359"/>
      <c r="ST30" s="359"/>
      <c r="SU30" s="359"/>
      <c r="SV30" s="359"/>
      <c r="SW30" s="358"/>
      <c r="SX30" s="359"/>
      <c r="SY30" s="359"/>
      <c r="SZ30" s="359"/>
      <c r="TA30" s="359"/>
      <c r="TB30" s="354" t="n">
        <f aca="false">+AVERAGE(B30:IB30)</f>
        <v>3.41558441558442</v>
      </c>
    </row>
    <row r="31" customFormat="false" ht="15.5" hidden="false" customHeight="false" outlineLevel="0" collapsed="false">
      <c r="A31" s="356" t="s">
        <v>521</v>
      </c>
      <c r="B31" s="358" t="n">
        <v>3</v>
      </c>
      <c r="C31" s="359" t="n">
        <v>3</v>
      </c>
      <c r="D31" s="359" t="n">
        <v>5</v>
      </c>
      <c r="E31" s="359" t="n">
        <v>3</v>
      </c>
      <c r="F31" s="359" t="n">
        <v>3</v>
      </c>
      <c r="G31" s="358" t="n">
        <v>1</v>
      </c>
      <c r="H31" s="359" t="n">
        <v>3</v>
      </c>
      <c r="I31" s="359" t="n">
        <v>5</v>
      </c>
      <c r="J31" s="359" t="n">
        <v>1</v>
      </c>
      <c r="K31" s="359" t="n">
        <v>1</v>
      </c>
      <c r="L31" s="358" t="n">
        <v>1</v>
      </c>
      <c r="M31" s="359" t="n">
        <v>3</v>
      </c>
      <c r="N31" s="359" t="n">
        <v>3</v>
      </c>
      <c r="O31" s="359" t="n">
        <v>1</v>
      </c>
      <c r="P31" s="359" t="n">
        <v>1</v>
      </c>
      <c r="Q31" s="358" t="n">
        <v>1</v>
      </c>
      <c r="R31" s="359" t="n">
        <v>3</v>
      </c>
      <c r="S31" s="359" t="n">
        <v>5</v>
      </c>
      <c r="T31" s="359" t="n">
        <v>1</v>
      </c>
      <c r="U31" s="359" t="n">
        <v>3</v>
      </c>
      <c r="V31" s="358" t="n">
        <v>1</v>
      </c>
      <c r="W31" s="359" t="n">
        <v>5</v>
      </c>
      <c r="X31" s="359" t="n">
        <v>5</v>
      </c>
      <c r="Y31" s="359" t="n">
        <v>3</v>
      </c>
      <c r="Z31" s="359" t="n">
        <v>3</v>
      </c>
      <c r="AA31" s="358" t="n">
        <v>3</v>
      </c>
      <c r="AB31" s="359" t="n">
        <v>5</v>
      </c>
      <c r="AC31" s="359" t="n">
        <v>5</v>
      </c>
      <c r="AD31" s="359" t="n">
        <v>3</v>
      </c>
      <c r="AE31" s="359" t="n">
        <v>5</v>
      </c>
      <c r="AF31" s="358" t="n">
        <v>3</v>
      </c>
      <c r="AG31" s="359" t="n">
        <v>5</v>
      </c>
      <c r="AH31" s="359" t="n">
        <v>5</v>
      </c>
      <c r="AI31" s="359" t="n">
        <v>5</v>
      </c>
      <c r="AJ31" s="359" t="n">
        <v>5</v>
      </c>
      <c r="AK31" s="358" t="n">
        <v>3</v>
      </c>
      <c r="AL31" s="359" t="n">
        <v>5</v>
      </c>
      <c r="AM31" s="359" t="n">
        <v>5</v>
      </c>
      <c r="AN31" s="359" t="n">
        <v>5</v>
      </c>
      <c r="AO31" s="359" t="n">
        <v>5</v>
      </c>
      <c r="AP31" s="358" t="n">
        <v>1</v>
      </c>
      <c r="AQ31" s="359" t="n">
        <v>5</v>
      </c>
      <c r="AR31" s="359" t="n">
        <v>5</v>
      </c>
      <c r="AS31" s="359" t="n">
        <v>3</v>
      </c>
      <c r="AT31" s="359" t="n">
        <v>1</v>
      </c>
      <c r="AU31" s="358" t="n">
        <v>3</v>
      </c>
      <c r="AV31" s="359"/>
      <c r="AW31" s="359" t="n">
        <v>5</v>
      </c>
      <c r="AX31" s="359" t="n">
        <v>3</v>
      </c>
      <c r="AY31" s="359" t="n">
        <v>3</v>
      </c>
      <c r="AZ31" s="358" t="n">
        <v>1</v>
      </c>
      <c r="BA31" s="359"/>
      <c r="BB31" s="359" t="n">
        <v>5</v>
      </c>
      <c r="BC31" s="359" t="n">
        <v>1</v>
      </c>
      <c r="BD31" s="359" t="n">
        <v>1</v>
      </c>
      <c r="BE31" s="358" t="n">
        <v>1</v>
      </c>
      <c r="BF31" s="359" t="n">
        <v>5</v>
      </c>
      <c r="BG31" s="359" t="n">
        <v>5</v>
      </c>
      <c r="BH31" s="359" t="n">
        <v>1</v>
      </c>
      <c r="BI31" s="359" t="n">
        <v>1</v>
      </c>
      <c r="BJ31" s="358" t="n">
        <v>3</v>
      </c>
      <c r="BK31" s="359" t="n">
        <v>5</v>
      </c>
      <c r="BL31" s="359" t="n">
        <v>3</v>
      </c>
      <c r="BM31" s="359" t="n">
        <v>3</v>
      </c>
      <c r="BN31" s="359" t="n">
        <v>3</v>
      </c>
      <c r="BO31" s="358" t="n">
        <v>5</v>
      </c>
      <c r="BP31" s="359"/>
      <c r="BQ31" s="359" t="n">
        <v>5</v>
      </c>
      <c r="BR31" s="359" t="n">
        <v>3</v>
      </c>
      <c r="BS31" s="359" t="n">
        <v>5</v>
      </c>
      <c r="BT31" s="358" t="n">
        <v>3</v>
      </c>
      <c r="BU31" s="359" t="n">
        <v>5</v>
      </c>
      <c r="BV31" s="359" t="n">
        <v>5</v>
      </c>
      <c r="BW31" s="359" t="n">
        <v>3</v>
      </c>
      <c r="BX31" s="359" t="n">
        <v>5</v>
      </c>
      <c r="BY31" s="358" t="n">
        <v>5</v>
      </c>
      <c r="BZ31" s="358" t="n">
        <v>5</v>
      </c>
      <c r="CA31" s="359" t="n">
        <v>5</v>
      </c>
      <c r="CB31" s="359" t="n">
        <v>3</v>
      </c>
      <c r="CC31" s="359" t="n">
        <v>5</v>
      </c>
      <c r="CD31" s="358"/>
      <c r="CE31" s="359"/>
      <c r="CF31" s="359"/>
      <c r="CG31" s="359"/>
      <c r="CH31" s="359"/>
      <c r="CI31" s="358"/>
      <c r="CJ31" s="359"/>
      <c r="CK31" s="359"/>
      <c r="CL31" s="359"/>
      <c r="CM31" s="359"/>
      <c r="CN31" s="358"/>
      <c r="CO31" s="359"/>
      <c r="CP31" s="359"/>
      <c r="CQ31" s="359"/>
      <c r="CR31" s="359"/>
      <c r="CS31" s="358"/>
      <c r="CT31" s="359"/>
      <c r="CU31" s="359"/>
      <c r="CV31" s="359"/>
      <c r="CW31" s="359"/>
      <c r="CX31" s="358"/>
      <c r="CY31" s="359"/>
      <c r="CZ31" s="359"/>
      <c r="DA31" s="359"/>
      <c r="DB31" s="359"/>
      <c r="DC31" s="358"/>
      <c r="DD31" s="359"/>
      <c r="DE31" s="359"/>
      <c r="DF31" s="359"/>
      <c r="DG31" s="359"/>
      <c r="DH31" s="358"/>
      <c r="DI31" s="359"/>
      <c r="DJ31" s="359"/>
      <c r="DK31" s="359"/>
      <c r="DL31" s="359"/>
      <c r="DM31" s="358"/>
      <c r="DN31" s="359"/>
      <c r="DO31" s="359"/>
      <c r="DP31" s="359"/>
      <c r="DQ31" s="359"/>
      <c r="DR31" s="358"/>
      <c r="DS31" s="359"/>
      <c r="DT31" s="359"/>
      <c r="DU31" s="359"/>
      <c r="DV31" s="359"/>
      <c r="DW31" s="358"/>
      <c r="DX31" s="359"/>
      <c r="DY31" s="359"/>
      <c r="DZ31" s="359"/>
      <c r="EA31" s="359"/>
      <c r="EB31" s="358"/>
      <c r="EC31" s="359"/>
      <c r="ED31" s="359"/>
      <c r="EE31" s="359"/>
      <c r="EF31" s="359"/>
      <c r="EG31" s="358"/>
      <c r="EH31" s="359"/>
      <c r="EI31" s="359"/>
      <c r="EJ31" s="359"/>
      <c r="EK31" s="359"/>
      <c r="EL31" s="358"/>
      <c r="EM31" s="359"/>
      <c r="EN31" s="359"/>
      <c r="EO31" s="359"/>
      <c r="EP31" s="359"/>
      <c r="EQ31" s="358"/>
      <c r="ER31" s="359"/>
      <c r="ES31" s="359"/>
      <c r="ET31" s="359"/>
      <c r="EU31" s="359"/>
      <c r="EV31" s="358"/>
      <c r="EW31" s="359"/>
      <c r="EX31" s="359"/>
      <c r="EY31" s="359"/>
      <c r="EZ31" s="359"/>
      <c r="FA31" s="358"/>
      <c r="FB31" s="359"/>
      <c r="FC31" s="359"/>
      <c r="FD31" s="359"/>
      <c r="FE31" s="359"/>
      <c r="FF31" s="358"/>
      <c r="FG31" s="359"/>
      <c r="FH31" s="359"/>
      <c r="FI31" s="359"/>
      <c r="FJ31" s="359"/>
      <c r="FK31" s="358"/>
      <c r="FL31" s="359"/>
      <c r="FM31" s="359"/>
      <c r="FN31" s="359"/>
      <c r="FO31" s="359"/>
      <c r="FP31" s="358"/>
      <c r="FQ31" s="359"/>
      <c r="FR31" s="359"/>
      <c r="FS31" s="359"/>
      <c r="FT31" s="359"/>
      <c r="FU31" s="358"/>
      <c r="FV31" s="359"/>
      <c r="FW31" s="359"/>
      <c r="FX31" s="359"/>
      <c r="FY31" s="359"/>
      <c r="FZ31" s="358"/>
      <c r="GA31" s="359"/>
      <c r="GB31" s="359"/>
      <c r="GC31" s="359"/>
      <c r="GD31" s="359"/>
      <c r="GE31" s="358"/>
      <c r="GF31" s="359"/>
      <c r="GG31" s="359"/>
      <c r="GH31" s="359"/>
      <c r="GI31" s="359"/>
      <c r="GJ31" s="358"/>
      <c r="GK31" s="359"/>
      <c r="GL31" s="359"/>
      <c r="GM31" s="359"/>
      <c r="GN31" s="359"/>
      <c r="GO31" s="358"/>
      <c r="GP31" s="359"/>
      <c r="GQ31" s="359"/>
      <c r="GR31" s="359"/>
      <c r="GS31" s="359"/>
      <c r="GT31" s="358"/>
      <c r="GU31" s="359"/>
      <c r="GV31" s="359"/>
      <c r="GW31" s="359"/>
      <c r="GX31" s="359"/>
      <c r="GY31" s="358"/>
      <c r="GZ31" s="359"/>
      <c r="HA31" s="359"/>
      <c r="HB31" s="359"/>
      <c r="HC31" s="359"/>
      <c r="HD31" s="358"/>
      <c r="HE31" s="359"/>
      <c r="HF31" s="359"/>
      <c r="HG31" s="359"/>
      <c r="HH31" s="359"/>
      <c r="HI31" s="358"/>
      <c r="HJ31" s="359"/>
      <c r="HK31" s="359"/>
      <c r="HL31" s="359"/>
      <c r="HM31" s="359"/>
      <c r="HN31" s="358"/>
      <c r="HO31" s="359"/>
      <c r="HP31" s="359"/>
      <c r="HQ31" s="359"/>
      <c r="HR31" s="359"/>
      <c r="HS31" s="358"/>
      <c r="HT31" s="359"/>
      <c r="HU31" s="359"/>
      <c r="HV31" s="359"/>
      <c r="HW31" s="359"/>
      <c r="HX31" s="358"/>
      <c r="HY31" s="359"/>
      <c r="HZ31" s="359"/>
      <c r="IA31" s="359"/>
      <c r="IB31" s="359"/>
      <c r="IC31" s="358"/>
      <c r="ID31" s="359"/>
      <c r="IE31" s="359"/>
      <c r="IF31" s="359"/>
      <c r="IG31" s="359"/>
      <c r="IH31" s="358"/>
      <c r="II31" s="359"/>
      <c r="IJ31" s="359"/>
      <c r="IK31" s="359"/>
      <c r="IL31" s="359"/>
      <c r="IM31" s="358"/>
      <c r="IN31" s="359"/>
      <c r="IO31" s="359"/>
      <c r="IP31" s="359"/>
      <c r="IQ31" s="359"/>
      <c r="IR31" s="358"/>
      <c r="IS31" s="359"/>
      <c r="IT31" s="359"/>
      <c r="IU31" s="359"/>
      <c r="IV31" s="359"/>
      <c r="IW31" s="358"/>
      <c r="IX31" s="359"/>
      <c r="IY31" s="359"/>
      <c r="IZ31" s="359"/>
      <c r="JA31" s="359"/>
      <c r="JB31" s="358"/>
      <c r="JC31" s="359"/>
      <c r="JD31" s="359"/>
      <c r="JE31" s="359"/>
      <c r="JF31" s="359"/>
      <c r="JG31" s="358"/>
      <c r="JH31" s="359"/>
      <c r="JI31" s="359"/>
      <c r="JJ31" s="359"/>
      <c r="JK31" s="359"/>
      <c r="JL31" s="358"/>
      <c r="JM31" s="359"/>
      <c r="JN31" s="359"/>
      <c r="JO31" s="359"/>
      <c r="JP31" s="359"/>
      <c r="JQ31" s="358"/>
      <c r="JR31" s="359"/>
      <c r="JS31" s="359"/>
      <c r="JT31" s="359"/>
      <c r="JU31" s="359"/>
      <c r="JV31" s="358"/>
      <c r="JW31" s="359"/>
      <c r="JX31" s="359"/>
      <c r="JY31" s="359"/>
      <c r="JZ31" s="359"/>
      <c r="KA31" s="358"/>
      <c r="KB31" s="359"/>
      <c r="KC31" s="359"/>
      <c r="KD31" s="359"/>
      <c r="KE31" s="359"/>
      <c r="KF31" s="358"/>
      <c r="KG31" s="359"/>
      <c r="KH31" s="359"/>
      <c r="KI31" s="359"/>
      <c r="KJ31" s="359"/>
      <c r="KK31" s="358"/>
      <c r="KL31" s="359"/>
      <c r="KM31" s="359"/>
      <c r="KN31" s="359"/>
      <c r="KO31" s="359"/>
      <c r="KP31" s="358"/>
      <c r="KQ31" s="359"/>
      <c r="KR31" s="359"/>
      <c r="KS31" s="359"/>
      <c r="KT31" s="359"/>
      <c r="KU31" s="358"/>
      <c r="KV31" s="359"/>
      <c r="KW31" s="359"/>
      <c r="KX31" s="359"/>
      <c r="KY31" s="359"/>
      <c r="KZ31" s="358"/>
      <c r="LA31" s="359"/>
      <c r="LB31" s="359"/>
      <c r="LC31" s="359"/>
      <c r="LD31" s="359"/>
      <c r="LE31" s="358"/>
      <c r="LF31" s="359"/>
      <c r="LG31" s="359"/>
      <c r="LH31" s="359"/>
      <c r="LI31" s="359"/>
      <c r="LJ31" s="358"/>
      <c r="LK31" s="359"/>
      <c r="LL31" s="359"/>
      <c r="LM31" s="359"/>
      <c r="LN31" s="359"/>
      <c r="LO31" s="358"/>
      <c r="LP31" s="359"/>
      <c r="LQ31" s="359"/>
      <c r="LR31" s="359"/>
      <c r="LS31" s="359"/>
      <c r="LT31" s="358"/>
      <c r="LU31" s="359"/>
      <c r="LV31" s="359"/>
      <c r="LW31" s="359"/>
      <c r="LX31" s="359"/>
      <c r="LY31" s="358"/>
      <c r="LZ31" s="359"/>
      <c r="MA31" s="359"/>
      <c r="MB31" s="359"/>
      <c r="MC31" s="359"/>
      <c r="MD31" s="358"/>
      <c r="ME31" s="359"/>
      <c r="MF31" s="359"/>
      <c r="MG31" s="359"/>
      <c r="MH31" s="359"/>
      <c r="MI31" s="358"/>
      <c r="MJ31" s="359"/>
      <c r="MK31" s="359"/>
      <c r="ML31" s="359"/>
      <c r="MM31" s="359"/>
      <c r="MN31" s="358"/>
      <c r="MO31" s="359"/>
      <c r="MP31" s="359"/>
      <c r="MQ31" s="359"/>
      <c r="MR31" s="359"/>
      <c r="MS31" s="358"/>
      <c r="MT31" s="359"/>
      <c r="MU31" s="359"/>
      <c r="MV31" s="359"/>
      <c r="MW31" s="359"/>
      <c r="MX31" s="358"/>
      <c r="MY31" s="359"/>
      <c r="MZ31" s="359"/>
      <c r="NA31" s="359"/>
      <c r="NB31" s="359"/>
      <c r="NC31" s="358"/>
      <c r="ND31" s="359"/>
      <c r="NE31" s="359"/>
      <c r="NF31" s="359"/>
      <c r="NG31" s="359"/>
      <c r="NH31" s="358"/>
      <c r="NI31" s="359"/>
      <c r="NJ31" s="359"/>
      <c r="NK31" s="359"/>
      <c r="NL31" s="359"/>
      <c r="NM31" s="358"/>
      <c r="NN31" s="359"/>
      <c r="NO31" s="359"/>
      <c r="NP31" s="359"/>
      <c r="NQ31" s="359"/>
      <c r="NR31" s="358"/>
      <c r="NS31" s="359"/>
      <c r="NT31" s="359"/>
      <c r="NU31" s="359"/>
      <c r="NV31" s="359"/>
      <c r="NW31" s="358"/>
      <c r="NX31" s="359"/>
      <c r="NY31" s="359"/>
      <c r="NZ31" s="359"/>
      <c r="OA31" s="359"/>
      <c r="OB31" s="358"/>
      <c r="OC31" s="359"/>
      <c r="OD31" s="359"/>
      <c r="OE31" s="359"/>
      <c r="OF31" s="359"/>
      <c r="OG31" s="358"/>
      <c r="OH31" s="359"/>
      <c r="OI31" s="359"/>
      <c r="OJ31" s="359"/>
      <c r="OK31" s="359"/>
      <c r="OL31" s="358"/>
      <c r="OM31" s="359"/>
      <c r="ON31" s="359"/>
      <c r="OO31" s="359"/>
      <c r="OP31" s="359"/>
      <c r="OQ31" s="358"/>
      <c r="OR31" s="359"/>
      <c r="OS31" s="359"/>
      <c r="OT31" s="359"/>
      <c r="OU31" s="359"/>
      <c r="OV31" s="358"/>
      <c r="OW31" s="359"/>
      <c r="OX31" s="359"/>
      <c r="OY31" s="359"/>
      <c r="OZ31" s="359"/>
      <c r="PA31" s="358"/>
      <c r="PB31" s="359"/>
      <c r="PC31" s="359"/>
      <c r="PD31" s="359"/>
      <c r="PE31" s="359"/>
      <c r="PF31" s="358"/>
      <c r="PG31" s="359"/>
      <c r="PH31" s="359"/>
      <c r="PI31" s="359"/>
      <c r="PJ31" s="359"/>
      <c r="PK31" s="358"/>
      <c r="PL31" s="359"/>
      <c r="PM31" s="359"/>
      <c r="PN31" s="359"/>
      <c r="PO31" s="359"/>
      <c r="PP31" s="358"/>
      <c r="PQ31" s="359"/>
      <c r="PR31" s="359"/>
      <c r="PS31" s="359"/>
      <c r="PT31" s="359"/>
      <c r="PU31" s="358"/>
      <c r="PV31" s="359"/>
      <c r="PW31" s="359"/>
      <c r="PX31" s="359"/>
      <c r="PY31" s="359"/>
      <c r="PZ31" s="358"/>
      <c r="QA31" s="359"/>
      <c r="QB31" s="359"/>
      <c r="QC31" s="359"/>
      <c r="QD31" s="359"/>
      <c r="QE31" s="358"/>
      <c r="QF31" s="359"/>
      <c r="QG31" s="359"/>
      <c r="QH31" s="359"/>
      <c r="QI31" s="359"/>
      <c r="QJ31" s="358"/>
      <c r="QK31" s="359"/>
      <c r="QL31" s="359"/>
      <c r="QM31" s="359"/>
      <c r="QN31" s="359"/>
      <c r="QO31" s="358"/>
      <c r="QP31" s="359"/>
      <c r="QQ31" s="359"/>
      <c r="QR31" s="359"/>
      <c r="QS31" s="359"/>
      <c r="QT31" s="358"/>
      <c r="QU31" s="359"/>
      <c r="QV31" s="359"/>
      <c r="QW31" s="359"/>
      <c r="QX31" s="359"/>
      <c r="QY31" s="358"/>
      <c r="QZ31" s="359"/>
      <c r="RA31" s="359"/>
      <c r="RB31" s="359"/>
      <c r="RC31" s="359"/>
      <c r="RD31" s="358"/>
      <c r="RE31" s="359"/>
      <c r="RF31" s="359"/>
      <c r="RG31" s="359"/>
      <c r="RH31" s="359"/>
      <c r="RI31" s="358"/>
      <c r="RJ31" s="359"/>
      <c r="RK31" s="359"/>
      <c r="RL31" s="359"/>
      <c r="RM31" s="359"/>
      <c r="RN31" s="358"/>
      <c r="RO31" s="359"/>
      <c r="RP31" s="359"/>
      <c r="RQ31" s="359"/>
      <c r="RR31" s="359"/>
      <c r="RS31" s="358"/>
      <c r="RT31" s="359"/>
      <c r="RU31" s="359"/>
      <c r="RV31" s="359"/>
      <c r="RW31" s="359"/>
      <c r="RX31" s="358"/>
      <c r="RY31" s="359"/>
      <c r="RZ31" s="359"/>
      <c r="SA31" s="359"/>
      <c r="SB31" s="359"/>
      <c r="SC31" s="358"/>
      <c r="SD31" s="359"/>
      <c r="SE31" s="359"/>
      <c r="SF31" s="359"/>
      <c r="SG31" s="359"/>
      <c r="SH31" s="358"/>
      <c r="SI31" s="359"/>
      <c r="SJ31" s="359"/>
      <c r="SK31" s="359"/>
      <c r="SL31" s="359"/>
      <c r="SM31" s="358"/>
      <c r="SN31" s="359"/>
      <c r="SO31" s="359"/>
      <c r="SP31" s="359"/>
      <c r="SQ31" s="359"/>
      <c r="SR31" s="358"/>
      <c r="SS31" s="359"/>
      <c r="ST31" s="359"/>
      <c r="SU31" s="359"/>
      <c r="SV31" s="359"/>
      <c r="SW31" s="358"/>
      <c r="SX31" s="359"/>
      <c r="SY31" s="359"/>
      <c r="SZ31" s="359"/>
      <c r="TA31" s="359"/>
      <c r="TB31" s="354" t="n">
        <f aca="false">+AVERAGE(B31:IB31)</f>
        <v>3.41558441558442</v>
      </c>
    </row>
    <row r="32" customFormat="false" ht="15.5" hidden="false" customHeight="false" outlineLevel="0" collapsed="false">
      <c r="A32" s="356" t="s">
        <v>521</v>
      </c>
      <c r="B32" s="358" t="n">
        <v>3</v>
      </c>
      <c r="C32" s="359" t="n">
        <v>3</v>
      </c>
      <c r="D32" s="359" t="n">
        <v>5</v>
      </c>
      <c r="E32" s="359" t="n">
        <v>3</v>
      </c>
      <c r="F32" s="359" t="n">
        <v>3</v>
      </c>
      <c r="G32" s="358" t="n">
        <v>1</v>
      </c>
      <c r="H32" s="359" t="n">
        <v>3</v>
      </c>
      <c r="I32" s="359" t="n">
        <v>5</v>
      </c>
      <c r="J32" s="359" t="n">
        <v>1</v>
      </c>
      <c r="K32" s="359" t="n">
        <v>1</v>
      </c>
      <c r="L32" s="358" t="n">
        <v>1</v>
      </c>
      <c r="M32" s="359" t="n">
        <v>3</v>
      </c>
      <c r="N32" s="359" t="n">
        <v>3</v>
      </c>
      <c r="O32" s="359" t="n">
        <v>1</v>
      </c>
      <c r="P32" s="359" t="n">
        <v>1</v>
      </c>
      <c r="Q32" s="358" t="n">
        <v>1</v>
      </c>
      <c r="R32" s="359" t="n">
        <v>3</v>
      </c>
      <c r="S32" s="359" t="n">
        <v>5</v>
      </c>
      <c r="T32" s="359" t="n">
        <v>1</v>
      </c>
      <c r="U32" s="359" t="n">
        <v>3</v>
      </c>
      <c r="V32" s="358" t="n">
        <v>1</v>
      </c>
      <c r="W32" s="359" t="n">
        <v>5</v>
      </c>
      <c r="X32" s="359" t="n">
        <v>5</v>
      </c>
      <c r="Y32" s="359" t="n">
        <v>3</v>
      </c>
      <c r="Z32" s="359" t="n">
        <v>3</v>
      </c>
      <c r="AA32" s="358" t="n">
        <v>3</v>
      </c>
      <c r="AB32" s="359" t="n">
        <v>5</v>
      </c>
      <c r="AC32" s="359" t="n">
        <v>5</v>
      </c>
      <c r="AD32" s="359" t="n">
        <v>3</v>
      </c>
      <c r="AE32" s="359" t="n">
        <v>5</v>
      </c>
      <c r="AF32" s="358" t="n">
        <v>3</v>
      </c>
      <c r="AG32" s="359" t="n">
        <v>5</v>
      </c>
      <c r="AH32" s="359" t="n">
        <v>5</v>
      </c>
      <c r="AI32" s="359" t="n">
        <v>5</v>
      </c>
      <c r="AJ32" s="359" t="n">
        <v>5</v>
      </c>
      <c r="AK32" s="358" t="n">
        <v>3</v>
      </c>
      <c r="AL32" s="359" t="n">
        <v>5</v>
      </c>
      <c r="AM32" s="359" t="n">
        <v>5</v>
      </c>
      <c r="AN32" s="359" t="n">
        <v>5</v>
      </c>
      <c r="AO32" s="359" t="n">
        <v>5</v>
      </c>
      <c r="AP32" s="358" t="n">
        <v>1</v>
      </c>
      <c r="AQ32" s="359" t="n">
        <v>5</v>
      </c>
      <c r="AR32" s="359" t="n">
        <v>5</v>
      </c>
      <c r="AS32" s="359" t="n">
        <v>3</v>
      </c>
      <c r="AT32" s="359" t="n">
        <v>1</v>
      </c>
      <c r="AU32" s="358" t="n">
        <v>3</v>
      </c>
      <c r="AV32" s="359"/>
      <c r="AW32" s="359" t="n">
        <v>5</v>
      </c>
      <c r="AX32" s="359" t="n">
        <v>3</v>
      </c>
      <c r="AY32" s="359" t="n">
        <v>3</v>
      </c>
      <c r="AZ32" s="358" t="n">
        <v>1</v>
      </c>
      <c r="BA32" s="359"/>
      <c r="BB32" s="359" t="n">
        <v>5</v>
      </c>
      <c r="BC32" s="359" t="n">
        <v>1</v>
      </c>
      <c r="BD32" s="359" t="n">
        <v>1</v>
      </c>
      <c r="BE32" s="358" t="n">
        <v>1</v>
      </c>
      <c r="BF32" s="359" t="n">
        <v>5</v>
      </c>
      <c r="BG32" s="359" t="n">
        <v>5</v>
      </c>
      <c r="BH32" s="359" t="n">
        <v>1</v>
      </c>
      <c r="BI32" s="359" t="n">
        <v>1</v>
      </c>
      <c r="BJ32" s="358" t="n">
        <v>3</v>
      </c>
      <c r="BK32" s="359" t="n">
        <v>5</v>
      </c>
      <c r="BL32" s="359" t="n">
        <v>3</v>
      </c>
      <c r="BM32" s="359" t="n">
        <v>3</v>
      </c>
      <c r="BN32" s="359" t="n">
        <v>3</v>
      </c>
      <c r="BO32" s="358" t="n">
        <v>5</v>
      </c>
      <c r="BP32" s="359"/>
      <c r="BQ32" s="359" t="n">
        <v>5</v>
      </c>
      <c r="BR32" s="359" t="n">
        <v>3</v>
      </c>
      <c r="BS32" s="359" t="n">
        <v>5</v>
      </c>
      <c r="BT32" s="358" t="n">
        <v>3</v>
      </c>
      <c r="BU32" s="359" t="n">
        <v>5</v>
      </c>
      <c r="BV32" s="359" t="n">
        <v>5</v>
      </c>
      <c r="BW32" s="359" t="n">
        <v>3</v>
      </c>
      <c r="BX32" s="359" t="n">
        <v>5</v>
      </c>
      <c r="BY32" s="358" t="n">
        <v>5</v>
      </c>
      <c r="BZ32" s="358" t="n">
        <v>5</v>
      </c>
      <c r="CA32" s="359" t="n">
        <v>5</v>
      </c>
      <c r="CB32" s="359" t="n">
        <v>3</v>
      </c>
      <c r="CC32" s="359" t="n">
        <v>5</v>
      </c>
      <c r="CD32" s="358"/>
      <c r="CE32" s="359"/>
      <c r="CF32" s="359"/>
      <c r="CG32" s="359"/>
      <c r="CH32" s="359"/>
      <c r="CI32" s="358"/>
      <c r="CJ32" s="359"/>
      <c r="CK32" s="359"/>
      <c r="CL32" s="359"/>
      <c r="CM32" s="359"/>
      <c r="CN32" s="358"/>
      <c r="CO32" s="359"/>
      <c r="CP32" s="359"/>
      <c r="CQ32" s="359"/>
      <c r="CR32" s="359"/>
      <c r="CS32" s="358"/>
      <c r="CT32" s="359"/>
      <c r="CU32" s="359"/>
      <c r="CV32" s="359"/>
      <c r="CW32" s="359"/>
      <c r="CX32" s="358"/>
      <c r="CY32" s="359"/>
      <c r="CZ32" s="359"/>
      <c r="DA32" s="359"/>
      <c r="DB32" s="359"/>
      <c r="DC32" s="358"/>
      <c r="DD32" s="359"/>
      <c r="DE32" s="359"/>
      <c r="DF32" s="359"/>
      <c r="DG32" s="359"/>
      <c r="DH32" s="358"/>
      <c r="DI32" s="359"/>
      <c r="DJ32" s="359"/>
      <c r="DK32" s="359"/>
      <c r="DL32" s="359"/>
      <c r="DM32" s="358"/>
      <c r="DN32" s="359"/>
      <c r="DO32" s="359"/>
      <c r="DP32" s="359"/>
      <c r="DQ32" s="359"/>
      <c r="DR32" s="358"/>
      <c r="DS32" s="359"/>
      <c r="DT32" s="359"/>
      <c r="DU32" s="359"/>
      <c r="DV32" s="359"/>
      <c r="DW32" s="358"/>
      <c r="DX32" s="359"/>
      <c r="DY32" s="359"/>
      <c r="DZ32" s="359"/>
      <c r="EA32" s="359"/>
      <c r="EB32" s="358"/>
      <c r="EC32" s="359"/>
      <c r="ED32" s="359"/>
      <c r="EE32" s="359"/>
      <c r="EF32" s="359"/>
      <c r="EG32" s="358"/>
      <c r="EH32" s="359"/>
      <c r="EI32" s="359"/>
      <c r="EJ32" s="359"/>
      <c r="EK32" s="359"/>
      <c r="EL32" s="358"/>
      <c r="EM32" s="359"/>
      <c r="EN32" s="359"/>
      <c r="EO32" s="359"/>
      <c r="EP32" s="359"/>
      <c r="EQ32" s="358"/>
      <c r="ER32" s="359"/>
      <c r="ES32" s="359"/>
      <c r="ET32" s="359"/>
      <c r="EU32" s="359"/>
      <c r="EV32" s="358"/>
      <c r="EW32" s="359"/>
      <c r="EX32" s="359"/>
      <c r="EY32" s="359"/>
      <c r="EZ32" s="359"/>
      <c r="FA32" s="358"/>
      <c r="FB32" s="359"/>
      <c r="FC32" s="359"/>
      <c r="FD32" s="359"/>
      <c r="FE32" s="359"/>
      <c r="FF32" s="358"/>
      <c r="FG32" s="359"/>
      <c r="FH32" s="359"/>
      <c r="FI32" s="359"/>
      <c r="FJ32" s="359"/>
      <c r="FK32" s="358"/>
      <c r="FL32" s="359"/>
      <c r="FM32" s="359"/>
      <c r="FN32" s="359"/>
      <c r="FO32" s="359"/>
      <c r="FP32" s="358"/>
      <c r="FQ32" s="359"/>
      <c r="FR32" s="359"/>
      <c r="FS32" s="359"/>
      <c r="FT32" s="359"/>
      <c r="FU32" s="358"/>
      <c r="FV32" s="359"/>
      <c r="FW32" s="359"/>
      <c r="FX32" s="359"/>
      <c r="FY32" s="359"/>
      <c r="FZ32" s="358"/>
      <c r="GA32" s="359"/>
      <c r="GB32" s="359"/>
      <c r="GC32" s="359"/>
      <c r="GD32" s="359"/>
      <c r="GE32" s="358"/>
      <c r="GF32" s="359"/>
      <c r="GG32" s="359"/>
      <c r="GH32" s="359"/>
      <c r="GI32" s="359"/>
      <c r="GJ32" s="358"/>
      <c r="GK32" s="359"/>
      <c r="GL32" s="359"/>
      <c r="GM32" s="359"/>
      <c r="GN32" s="359"/>
      <c r="GO32" s="358"/>
      <c r="GP32" s="359"/>
      <c r="GQ32" s="359"/>
      <c r="GR32" s="359"/>
      <c r="GS32" s="359"/>
      <c r="GT32" s="358"/>
      <c r="GU32" s="359"/>
      <c r="GV32" s="359"/>
      <c r="GW32" s="359"/>
      <c r="GX32" s="359"/>
      <c r="GY32" s="358"/>
      <c r="GZ32" s="359"/>
      <c r="HA32" s="359"/>
      <c r="HB32" s="359"/>
      <c r="HC32" s="359"/>
      <c r="HD32" s="358"/>
      <c r="HE32" s="359"/>
      <c r="HF32" s="359"/>
      <c r="HG32" s="359"/>
      <c r="HH32" s="359"/>
      <c r="HI32" s="358"/>
      <c r="HJ32" s="359"/>
      <c r="HK32" s="359"/>
      <c r="HL32" s="359"/>
      <c r="HM32" s="359"/>
      <c r="HN32" s="358"/>
      <c r="HO32" s="359"/>
      <c r="HP32" s="359"/>
      <c r="HQ32" s="359"/>
      <c r="HR32" s="359"/>
      <c r="HS32" s="358"/>
      <c r="HT32" s="359"/>
      <c r="HU32" s="359"/>
      <c r="HV32" s="359"/>
      <c r="HW32" s="359"/>
      <c r="HX32" s="358"/>
      <c r="HY32" s="359"/>
      <c r="HZ32" s="359"/>
      <c r="IA32" s="359"/>
      <c r="IB32" s="359"/>
      <c r="IC32" s="358"/>
      <c r="ID32" s="359"/>
      <c r="IE32" s="359"/>
      <c r="IF32" s="359"/>
      <c r="IG32" s="359"/>
      <c r="IH32" s="358"/>
      <c r="II32" s="359"/>
      <c r="IJ32" s="359"/>
      <c r="IK32" s="359"/>
      <c r="IL32" s="359"/>
      <c r="IM32" s="358"/>
      <c r="IN32" s="359"/>
      <c r="IO32" s="359"/>
      <c r="IP32" s="359"/>
      <c r="IQ32" s="359"/>
      <c r="IR32" s="358"/>
      <c r="IS32" s="359"/>
      <c r="IT32" s="359"/>
      <c r="IU32" s="359"/>
      <c r="IV32" s="359"/>
      <c r="IW32" s="358"/>
      <c r="IX32" s="359"/>
      <c r="IY32" s="359"/>
      <c r="IZ32" s="359"/>
      <c r="JA32" s="359"/>
      <c r="JB32" s="358"/>
      <c r="JC32" s="359"/>
      <c r="JD32" s="359"/>
      <c r="JE32" s="359"/>
      <c r="JF32" s="359"/>
      <c r="JG32" s="358"/>
      <c r="JH32" s="359"/>
      <c r="JI32" s="359"/>
      <c r="JJ32" s="359"/>
      <c r="JK32" s="359"/>
      <c r="JL32" s="358"/>
      <c r="JM32" s="359"/>
      <c r="JN32" s="359"/>
      <c r="JO32" s="359"/>
      <c r="JP32" s="359"/>
      <c r="JQ32" s="358"/>
      <c r="JR32" s="359"/>
      <c r="JS32" s="359"/>
      <c r="JT32" s="359"/>
      <c r="JU32" s="359"/>
      <c r="JV32" s="358"/>
      <c r="JW32" s="359"/>
      <c r="JX32" s="359"/>
      <c r="JY32" s="359"/>
      <c r="JZ32" s="359"/>
      <c r="KA32" s="358"/>
      <c r="KB32" s="359"/>
      <c r="KC32" s="359"/>
      <c r="KD32" s="359"/>
      <c r="KE32" s="359"/>
      <c r="KF32" s="358"/>
      <c r="KG32" s="359"/>
      <c r="KH32" s="359"/>
      <c r="KI32" s="359"/>
      <c r="KJ32" s="359"/>
      <c r="KK32" s="358"/>
      <c r="KL32" s="359"/>
      <c r="KM32" s="359"/>
      <c r="KN32" s="359"/>
      <c r="KO32" s="359"/>
      <c r="KP32" s="358"/>
      <c r="KQ32" s="359"/>
      <c r="KR32" s="359"/>
      <c r="KS32" s="359"/>
      <c r="KT32" s="359"/>
      <c r="KU32" s="358"/>
      <c r="KV32" s="359"/>
      <c r="KW32" s="359"/>
      <c r="KX32" s="359"/>
      <c r="KY32" s="359"/>
      <c r="KZ32" s="358"/>
      <c r="LA32" s="359"/>
      <c r="LB32" s="359"/>
      <c r="LC32" s="359"/>
      <c r="LD32" s="359"/>
      <c r="LE32" s="358"/>
      <c r="LF32" s="359"/>
      <c r="LG32" s="359"/>
      <c r="LH32" s="359"/>
      <c r="LI32" s="359"/>
      <c r="LJ32" s="358"/>
      <c r="LK32" s="359"/>
      <c r="LL32" s="359"/>
      <c r="LM32" s="359"/>
      <c r="LN32" s="359"/>
      <c r="LO32" s="358"/>
      <c r="LP32" s="359"/>
      <c r="LQ32" s="359"/>
      <c r="LR32" s="359"/>
      <c r="LS32" s="359"/>
      <c r="LT32" s="358"/>
      <c r="LU32" s="359"/>
      <c r="LV32" s="359"/>
      <c r="LW32" s="359"/>
      <c r="LX32" s="359"/>
      <c r="LY32" s="358"/>
      <c r="LZ32" s="359"/>
      <c r="MA32" s="359"/>
      <c r="MB32" s="359"/>
      <c r="MC32" s="359"/>
      <c r="MD32" s="358"/>
      <c r="ME32" s="359"/>
      <c r="MF32" s="359"/>
      <c r="MG32" s="359"/>
      <c r="MH32" s="359"/>
      <c r="MI32" s="358"/>
      <c r="MJ32" s="359"/>
      <c r="MK32" s="359"/>
      <c r="ML32" s="359"/>
      <c r="MM32" s="359"/>
      <c r="MN32" s="358"/>
      <c r="MO32" s="359"/>
      <c r="MP32" s="359"/>
      <c r="MQ32" s="359"/>
      <c r="MR32" s="359"/>
      <c r="MS32" s="358"/>
      <c r="MT32" s="359"/>
      <c r="MU32" s="359"/>
      <c r="MV32" s="359"/>
      <c r="MW32" s="359"/>
      <c r="MX32" s="358"/>
      <c r="MY32" s="359"/>
      <c r="MZ32" s="359"/>
      <c r="NA32" s="359"/>
      <c r="NB32" s="359"/>
      <c r="NC32" s="358"/>
      <c r="ND32" s="359"/>
      <c r="NE32" s="359"/>
      <c r="NF32" s="359"/>
      <c r="NG32" s="359"/>
      <c r="NH32" s="358"/>
      <c r="NI32" s="359"/>
      <c r="NJ32" s="359"/>
      <c r="NK32" s="359"/>
      <c r="NL32" s="359"/>
      <c r="NM32" s="358"/>
      <c r="NN32" s="359"/>
      <c r="NO32" s="359"/>
      <c r="NP32" s="359"/>
      <c r="NQ32" s="359"/>
      <c r="NR32" s="358"/>
      <c r="NS32" s="359"/>
      <c r="NT32" s="359"/>
      <c r="NU32" s="359"/>
      <c r="NV32" s="359"/>
      <c r="NW32" s="358"/>
      <c r="NX32" s="359"/>
      <c r="NY32" s="359"/>
      <c r="NZ32" s="359"/>
      <c r="OA32" s="359"/>
      <c r="OB32" s="358"/>
      <c r="OC32" s="359"/>
      <c r="OD32" s="359"/>
      <c r="OE32" s="359"/>
      <c r="OF32" s="359"/>
      <c r="OG32" s="358"/>
      <c r="OH32" s="359"/>
      <c r="OI32" s="359"/>
      <c r="OJ32" s="359"/>
      <c r="OK32" s="359"/>
      <c r="OL32" s="358"/>
      <c r="OM32" s="359"/>
      <c r="ON32" s="359"/>
      <c r="OO32" s="359"/>
      <c r="OP32" s="359"/>
      <c r="OQ32" s="358"/>
      <c r="OR32" s="359"/>
      <c r="OS32" s="359"/>
      <c r="OT32" s="359"/>
      <c r="OU32" s="359"/>
      <c r="OV32" s="358"/>
      <c r="OW32" s="359"/>
      <c r="OX32" s="359"/>
      <c r="OY32" s="359"/>
      <c r="OZ32" s="359"/>
      <c r="PA32" s="358"/>
      <c r="PB32" s="359"/>
      <c r="PC32" s="359"/>
      <c r="PD32" s="359"/>
      <c r="PE32" s="359"/>
      <c r="PF32" s="358"/>
      <c r="PG32" s="359"/>
      <c r="PH32" s="359"/>
      <c r="PI32" s="359"/>
      <c r="PJ32" s="359"/>
      <c r="PK32" s="358"/>
      <c r="PL32" s="359"/>
      <c r="PM32" s="359"/>
      <c r="PN32" s="359"/>
      <c r="PO32" s="359"/>
      <c r="PP32" s="358"/>
      <c r="PQ32" s="359"/>
      <c r="PR32" s="359"/>
      <c r="PS32" s="359"/>
      <c r="PT32" s="359"/>
      <c r="PU32" s="358"/>
      <c r="PV32" s="359"/>
      <c r="PW32" s="359"/>
      <c r="PX32" s="359"/>
      <c r="PY32" s="359"/>
      <c r="PZ32" s="358"/>
      <c r="QA32" s="359"/>
      <c r="QB32" s="359"/>
      <c r="QC32" s="359"/>
      <c r="QD32" s="359"/>
      <c r="QE32" s="358"/>
      <c r="QF32" s="359"/>
      <c r="QG32" s="359"/>
      <c r="QH32" s="359"/>
      <c r="QI32" s="359"/>
      <c r="QJ32" s="358"/>
      <c r="QK32" s="359"/>
      <c r="QL32" s="359"/>
      <c r="QM32" s="359"/>
      <c r="QN32" s="359"/>
      <c r="QO32" s="358"/>
      <c r="QP32" s="359"/>
      <c r="QQ32" s="359"/>
      <c r="QR32" s="359"/>
      <c r="QS32" s="359"/>
      <c r="QT32" s="358"/>
      <c r="QU32" s="359"/>
      <c r="QV32" s="359"/>
      <c r="QW32" s="359"/>
      <c r="QX32" s="359"/>
      <c r="QY32" s="358"/>
      <c r="QZ32" s="359"/>
      <c r="RA32" s="359"/>
      <c r="RB32" s="359"/>
      <c r="RC32" s="359"/>
      <c r="RD32" s="358"/>
      <c r="RE32" s="359"/>
      <c r="RF32" s="359"/>
      <c r="RG32" s="359"/>
      <c r="RH32" s="359"/>
      <c r="RI32" s="358"/>
      <c r="RJ32" s="359"/>
      <c r="RK32" s="359"/>
      <c r="RL32" s="359"/>
      <c r="RM32" s="359"/>
      <c r="RN32" s="358"/>
      <c r="RO32" s="359"/>
      <c r="RP32" s="359"/>
      <c r="RQ32" s="359"/>
      <c r="RR32" s="359"/>
      <c r="RS32" s="358"/>
      <c r="RT32" s="359"/>
      <c r="RU32" s="359"/>
      <c r="RV32" s="359"/>
      <c r="RW32" s="359"/>
      <c r="RX32" s="358"/>
      <c r="RY32" s="359"/>
      <c r="RZ32" s="359"/>
      <c r="SA32" s="359"/>
      <c r="SB32" s="359"/>
      <c r="SC32" s="358"/>
      <c r="SD32" s="359"/>
      <c r="SE32" s="359"/>
      <c r="SF32" s="359"/>
      <c r="SG32" s="359"/>
      <c r="SH32" s="358"/>
      <c r="SI32" s="359"/>
      <c r="SJ32" s="359"/>
      <c r="SK32" s="359"/>
      <c r="SL32" s="359"/>
      <c r="SM32" s="358"/>
      <c r="SN32" s="359"/>
      <c r="SO32" s="359"/>
      <c r="SP32" s="359"/>
      <c r="SQ32" s="359"/>
      <c r="SR32" s="358"/>
      <c r="SS32" s="359"/>
      <c r="ST32" s="359"/>
      <c r="SU32" s="359"/>
      <c r="SV32" s="359"/>
      <c r="SW32" s="358"/>
      <c r="SX32" s="359"/>
      <c r="SY32" s="359"/>
      <c r="SZ32" s="359"/>
      <c r="TA32" s="359"/>
      <c r="TB32" s="354" t="n">
        <f aca="false">+AVERAGE(B32:IB32)</f>
        <v>3.41558441558442</v>
      </c>
    </row>
    <row r="33" customFormat="false" ht="15.5" hidden="false" customHeight="false" outlineLevel="0" collapsed="false">
      <c r="A33" s="356" t="s">
        <v>521</v>
      </c>
      <c r="B33" s="358" t="n">
        <v>3</v>
      </c>
      <c r="C33" s="359" t="n">
        <v>3</v>
      </c>
      <c r="D33" s="359" t="n">
        <v>5</v>
      </c>
      <c r="E33" s="359" t="n">
        <v>3</v>
      </c>
      <c r="F33" s="359" t="n">
        <v>3</v>
      </c>
      <c r="G33" s="358" t="n">
        <v>1</v>
      </c>
      <c r="H33" s="359" t="n">
        <v>3</v>
      </c>
      <c r="I33" s="359" t="n">
        <v>5</v>
      </c>
      <c r="J33" s="359" t="n">
        <v>1</v>
      </c>
      <c r="K33" s="359" t="n">
        <v>1</v>
      </c>
      <c r="L33" s="358" t="n">
        <v>1</v>
      </c>
      <c r="M33" s="359" t="n">
        <v>3</v>
      </c>
      <c r="N33" s="359" t="n">
        <v>3</v>
      </c>
      <c r="O33" s="359" t="n">
        <v>1</v>
      </c>
      <c r="P33" s="359" t="n">
        <v>1</v>
      </c>
      <c r="Q33" s="358" t="n">
        <v>1</v>
      </c>
      <c r="R33" s="359" t="n">
        <v>3</v>
      </c>
      <c r="S33" s="359" t="n">
        <v>5</v>
      </c>
      <c r="T33" s="359" t="n">
        <v>1</v>
      </c>
      <c r="U33" s="359" t="n">
        <v>3</v>
      </c>
      <c r="V33" s="358" t="n">
        <v>1</v>
      </c>
      <c r="W33" s="359" t="n">
        <v>5</v>
      </c>
      <c r="X33" s="359" t="n">
        <v>5</v>
      </c>
      <c r="Y33" s="359" t="n">
        <v>3</v>
      </c>
      <c r="Z33" s="359" t="n">
        <v>3</v>
      </c>
      <c r="AA33" s="358" t="n">
        <v>3</v>
      </c>
      <c r="AB33" s="359" t="n">
        <v>5</v>
      </c>
      <c r="AC33" s="359" t="n">
        <v>5</v>
      </c>
      <c r="AD33" s="359" t="n">
        <v>3</v>
      </c>
      <c r="AE33" s="359" t="n">
        <v>5</v>
      </c>
      <c r="AF33" s="358" t="n">
        <v>3</v>
      </c>
      <c r="AG33" s="359" t="n">
        <v>5</v>
      </c>
      <c r="AH33" s="359" t="n">
        <v>5</v>
      </c>
      <c r="AI33" s="359" t="n">
        <v>5</v>
      </c>
      <c r="AJ33" s="359" t="n">
        <v>5</v>
      </c>
      <c r="AK33" s="358" t="n">
        <v>3</v>
      </c>
      <c r="AL33" s="359" t="n">
        <v>5</v>
      </c>
      <c r="AM33" s="359" t="n">
        <v>5</v>
      </c>
      <c r="AN33" s="359" t="n">
        <v>5</v>
      </c>
      <c r="AO33" s="359" t="n">
        <v>5</v>
      </c>
      <c r="AP33" s="358" t="n">
        <v>1</v>
      </c>
      <c r="AQ33" s="359" t="n">
        <v>5</v>
      </c>
      <c r="AR33" s="359" t="n">
        <v>5</v>
      </c>
      <c r="AS33" s="359" t="n">
        <v>3</v>
      </c>
      <c r="AT33" s="359" t="n">
        <v>1</v>
      </c>
      <c r="AU33" s="358" t="n">
        <v>3</v>
      </c>
      <c r="AV33" s="359"/>
      <c r="AW33" s="359" t="n">
        <v>5</v>
      </c>
      <c r="AX33" s="359" t="n">
        <v>3</v>
      </c>
      <c r="AY33" s="359" t="n">
        <v>3</v>
      </c>
      <c r="AZ33" s="358" t="n">
        <v>1</v>
      </c>
      <c r="BA33" s="359"/>
      <c r="BB33" s="359" t="n">
        <v>5</v>
      </c>
      <c r="BC33" s="359" t="n">
        <v>1</v>
      </c>
      <c r="BD33" s="359" t="n">
        <v>1</v>
      </c>
      <c r="BE33" s="358" t="n">
        <v>1</v>
      </c>
      <c r="BF33" s="359" t="n">
        <v>5</v>
      </c>
      <c r="BG33" s="359" t="n">
        <v>5</v>
      </c>
      <c r="BH33" s="359" t="n">
        <v>1</v>
      </c>
      <c r="BI33" s="359" t="n">
        <v>1</v>
      </c>
      <c r="BJ33" s="358" t="n">
        <v>3</v>
      </c>
      <c r="BK33" s="359" t="n">
        <v>5</v>
      </c>
      <c r="BL33" s="359" t="n">
        <v>3</v>
      </c>
      <c r="BM33" s="359" t="n">
        <v>3</v>
      </c>
      <c r="BN33" s="359" t="n">
        <v>3</v>
      </c>
      <c r="BO33" s="358" t="n">
        <v>5</v>
      </c>
      <c r="BP33" s="359"/>
      <c r="BQ33" s="359" t="n">
        <v>5</v>
      </c>
      <c r="BR33" s="359" t="n">
        <v>3</v>
      </c>
      <c r="BS33" s="359" t="n">
        <v>5</v>
      </c>
      <c r="BT33" s="358" t="n">
        <v>3</v>
      </c>
      <c r="BU33" s="359" t="n">
        <v>5</v>
      </c>
      <c r="BV33" s="359" t="n">
        <v>5</v>
      </c>
      <c r="BW33" s="359" t="n">
        <v>3</v>
      </c>
      <c r="BX33" s="359" t="n">
        <v>5</v>
      </c>
      <c r="BY33" s="358" t="n">
        <v>5</v>
      </c>
      <c r="BZ33" s="358" t="n">
        <v>5</v>
      </c>
      <c r="CA33" s="359" t="n">
        <v>5</v>
      </c>
      <c r="CB33" s="359" t="n">
        <v>3</v>
      </c>
      <c r="CC33" s="359" t="n">
        <v>5</v>
      </c>
      <c r="CD33" s="358"/>
      <c r="CE33" s="359"/>
      <c r="CF33" s="359"/>
      <c r="CG33" s="359"/>
      <c r="CH33" s="359"/>
      <c r="CI33" s="358"/>
      <c r="CJ33" s="359"/>
      <c r="CK33" s="359"/>
      <c r="CL33" s="359"/>
      <c r="CM33" s="359"/>
      <c r="CN33" s="358"/>
      <c r="CO33" s="359"/>
      <c r="CP33" s="359"/>
      <c r="CQ33" s="359"/>
      <c r="CR33" s="359"/>
      <c r="CS33" s="358"/>
      <c r="CT33" s="359"/>
      <c r="CU33" s="359"/>
      <c r="CV33" s="359"/>
      <c r="CW33" s="359"/>
      <c r="CX33" s="358"/>
      <c r="CY33" s="359"/>
      <c r="CZ33" s="359"/>
      <c r="DA33" s="359"/>
      <c r="DB33" s="359"/>
      <c r="DC33" s="358"/>
      <c r="DD33" s="359"/>
      <c r="DE33" s="359"/>
      <c r="DF33" s="359"/>
      <c r="DG33" s="359"/>
      <c r="DH33" s="358"/>
      <c r="DI33" s="359"/>
      <c r="DJ33" s="359"/>
      <c r="DK33" s="359"/>
      <c r="DL33" s="359"/>
      <c r="DM33" s="358"/>
      <c r="DN33" s="359"/>
      <c r="DO33" s="359"/>
      <c r="DP33" s="359"/>
      <c r="DQ33" s="359"/>
      <c r="DR33" s="358"/>
      <c r="DS33" s="359"/>
      <c r="DT33" s="359"/>
      <c r="DU33" s="359"/>
      <c r="DV33" s="359"/>
      <c r="DW33" s="358"/>
      <c r="DX33" s="359"/>
      <c r="DY33" s="359"/>
      <c r="DZ33" s="359"/>
      <c r="EA33" s="359"/>
      <c r="EB33" s="358"/>
      <c r="EC33" s="359"/>
      <c r="ED33" s="359"/>
      <c r="EE33" s="359"/>
      <c r="EF33" s="359"/>
      <c r="EG33" s="358"/>
      <c r="EH33" s="359"/>
      <c r="EI33" s="359"/>
      <c r="EJ33" s="359"/>
      <c r="EK33" s="359"/>
      <c r="EL33" s="358"/>
      <c r="EM33" s="359"/>
      <c r="EN33" s="359"/>
      <c r="EO33" s="359"/>
      <c r="EP33" s="359"/>
      <c r="EQ33" s="358"/>
      <c r="ER33" s="359"/>
      <c r="ES33" s="359"/>
      <c r="ET33" s="359"/>
      <c r="EU33" s="359"/>
      <c r="EV33" s="358"/>
      <c r="EW33" s="359"/>
      <c r="EX33" s="359"/>
      <c r="EY33" s="359"/>
      <c r="EZ33" s="359"/>
      <c r="FA33" s="358"/>
      <c r="FB33" s="359"/>
      <c r="FC33" s="359"/>
      <c r="FD33" s="359"/>
      <c r="FE33" s="359"/>
      <c r="FF33" s="358"/>
      <c r="FG33" s="359"/>
      <c r="FH33" s="359"/>
      <c r="FI33" s="359"/>
      <c r="FJ33" s="359"/>
      <c r="FK33" s="358"/>
      <c r="FL33" s="359"/>
      <c r="FM33" s="359"/>
      <c r="FN33" s="359"/>
      <c r="FO33" s="359"/>
      <c r="FP33" s="358"/>
      <c r="FQ33" s="359"/>
      <c r="FR33" s="359"/>
      <c r="FS33" s="359"/>
      <c r="FT33" s="359"/>
      <c r="FU33" s="358"/>
      <c r="FV33" s="359"/>
      <c r="FW33" s="359"/>
      <c r="FX33" s="359"/>
      <c r="FY33" s="359"/>
      <c r="FZ33" s="358"/>
      <c r="GA33" s="359"/>
      <c r="GB33" s="359"/>
      <c r="GC33" s="359"/>
      <c r="GD33" s="359"/>
      <c r="GE33" s="358"/>
      <c r="GF33" s="359"/>
      <c r="GG33" s="359"/>
      <c r="GH33" s="359"/>
      <c r="GI33" s="359"/>
      <c r="GJ33" s="358"/>
      <c r="GK33" s="359"/>
      <c r="GL33" s="359"/>
      <c r="GM33" s="359"/>
      <c r="GN33" s="359"/>
      <c r="GO33" s="358"/>
      <c r="GP33" s="359"/>
      <c r="GQ33" s="359"/>
      <c r="GR33" s="359"/>
      <c r="GS33" s="359"/>
      <c r="GT33" s="358"/>
      <c r="GU33" s="359"/>
      <c r="GV33" s="359"/>
      <c r="GW33" s="359"/>
      <c r="GX33" s="359"/>
      <c r="GY33" s="358"/>
      <c r="GZ33" s="359"/>
      <c r="HA33" s="359"/>
      <c r="HB33" s="359"/>
      <c r="HC33" s="359"/>
      <c r="HD33" s="358"/>
      <c r="HE33" s="359"/>
      <c r="HF33" s="359"/>
      <c r="HG33" s="359"/>
      <c r="HH33" s="359"/>
      <c r="HI33" s="358"/>
      <c r="HJ33" s="359"/>
      <c r="HK33" s="359"/>
      <c r="HL33" s="359"/>
      <c r="HM33" s="359"/>
      <c r="HN33" s="358"/>
      <c r="HO33" s="359"/>
      <c r="HP33" s="359"/>
      <c r="HQ33" s="359"/>
      <c r="HR33" s="359"/>
      <c r="HS33" s="358"/>
      <c r="HT33" s="359"/>
      <c r="HU33" s="359"/>
      <c r="HV33" s="359"/>
      <c r="HW33" s="359"/>
      <c r="HX33" s="358"/>
      <c r="HY33" s="359"/>
      <c r="HZ33" s="359"/>
      <c r="IA33" s="359"/>
      <c r="IB33" s="359"/>
      <c r="IC33" s="358"/>
      <c r="ID33" s="359"/>
      <c r="IE33" s="359"/>
      <c r="IF33" s="359"/>
      <c r="IG33" s="359"/>
      <c r="IH33" s="358"/>
      <c r="II33" s="359"/>
      <c r="IJ33" s="359"/>
      <c r="IK33" s="359"/>
      <c r="IL33" s="359"/>
      <c r="IM33" s="358"/>
      <c r="IN33" s="359"/>
      <c r="IO33" s="359"/>
      <c r="IP33" s="359"/>
      <c r="IQ33" s="359"/>
      <c r="IR33" s="358"/>
      <c r="IS33" s="359"/>
      <c r="IT33" s="359"/>
      <c r="IU33" s="359"/>
      <c r="IV33" s="359"/>
      <c r="IW33" s="358"/>
      <c r="IX33" s="359"/>
      <c r="IY33" s="359"/>
      <c r="IZ33" s="359"/>
      <c r="JA33" s="359"/>
      <c r="JB33" s="358"/>
      <c r="JC33" s="359"/>
      <c r="JD33" s="359"/>
      <c r="JE33" s="359"/>
      <c r="JF33" s="359"/>
      <c r="JG33" s="358"/>
      <c r="JH33" s="359"/>
      <c r="JI33" s="359"/>
      <c r="JJ33" s="359"/>
      <c r="JK33" s="359"/>
      <c r="JL33" s="358"/>
      <c r="JM33" s="359"/>
      <c r="JN33" s="359"/>
      <c r="JO33" s="359"/>
      <c r="JP33" s="359"/>
      <c r="JQ33" s="358"/>
      <c r="JR33" s="359"/>
      <c r="JS33" s="359"/>
      <c r="JT33" s="359"/>
      <c r="JU33" s="359"/>
      <c r="JV33" s="358"/>
      <c r="JW33" s="359"/>
      <c r="JX33" s="359"/>
      <c r="JY33" s="359"/>
      <c r="JZ33" s="359"/>
      <c r="KA33" s="358"/>
      <c r="KB33" s="359"/>
      <c r="KC33" s="359"/>
      <c r="KD33" s="359"/>
      <c r="KE33" s="359"/>
      <c r="KF33" s="358"/>
      <c r="KG33" s="359"/>
      <c r="KH33" s="359"/>
      <c r="KI33" s="359"/>
      <c r="KJ33" s="359"/>
      <c r="KK33" s="358"/>
      <c r="KL33" s="359"/>
      <c r="KM33" s="359"/>
      <c r="KN33" s="359"/>
      <c r="KO33" s="359"/>
      <c r="KP33" s="358"/>
      <c r="KQ33" s="359"/>
      <c r="KR33" s="359"/>
      <c r="KS33" s="359"/>
      <c r="KT33" s="359"/>
      <c r="KU33" s="358"/>
      <c r="KV33" s="359"/>
      <c r="KW33" s="359"/>
      <c r="KX33" s="359"/>
      <c r="KY33" s="359"/>
      <c r="KZ33" s="358"/>
      <c r="LA33" s="359"/>
      <c r="LB33" s="359"/>
      <c r="LC33" s="359"/>
      <c r="LD33" s="359"/>
      <c r="LE33" s="358"/>
      <c r="LF33" s="359"/>
      <c r="LG33" s="359"/>
      <c r="LH33" s="359"/>
      <c r="LI33" s="359"/>
      <c r="LJ33" s="358"/>
      <c r="LK33" s="359"/>
      <c r="LL33" s="359"/>
      <c r="LM33" s="359"/>
      <c r="LN33" s="359"/>
      <c r="LO33" s="358"/>
      <c r="LP33" s="359"/>
      <c r="LQ33" s="359"/>
      <c r="LR33" s="359"/>
      <c r="LS33" s="359"/>
      <c r="LT33" s="358"/>
      <c r="LU33" s="359"/>
      <c r="LV33" s="359"/>
      <c r="LW33" s="359"/>
      <c r="LX33" s="359"/>
      <c r="LY33" s="358"/>
      <c r="LZ33" s="359"/>
      <c r="MA33" s="359"/>
      <c r="MB33" s="359"/>
      <c r="MC33" s="359"/>
      <c r="MD33" s="358"/>
      <c r="ME33" s="359"/>
      <c r="MF33" s="359"/>
      <c r="MG33" s="359"/>
      <c r="MH33" s="359"/>
      <c r="MI33" s="358"/>
      <c r="MJ33" s="359"/>
      <c r="MK33" s="359"/>
      <c r="ML33" s="359"/>
      <c r="MM33" s="359"/>
      <c r="MN33" s="358"/>
      <c r="MO33" s="359"/>
      <c r="MP33" s="359"/>
      <c r="MQ33" s="359"/>
      <c r="MR33" s="359"/>
      <c r="MS33" s="358"/>
      <c r="MT33" s="359"/>
      <c r="MU33" s="359"/>
      <c r="MV33" s="359"/>
      <c r="MW33" s="359"/>
      <c r="MX33" s="358"/>
      <c r="MY33" s="359"/>
      <c r="MZ33" s="359"/>
      <c r="NA33" s="359"/>
      <c r="NB33" s="359"/>
      <c r="NC33" s="358"/>
      <c r="ND33" s="359"/>
      <c r="NE33" s="359"/>
      <c r="NF33" s="359"/>
      <c r="NG33" s="359"/>
      <c r="NH33" s="358"/>
      <c r="NI33" s="359"/>
      <c r="NJ33" s="359"/>
      <c r="NK33" s="359"/>
      <c r="NL33" s="359"/>
      <c r="NM33" s="358"/>
      <c r="NN33" s="359"/>
      <c r="NO33" s="359"/>
      <c r="NP33" s="359"/>
      <c r="NQ33" s="359"/>
      <c r="NR33" s="358"/>
      <c r="NS33" s="359"/>
      <c r="NT33" s="359"/>
      <c r="NU33" s="359"/>
      <c r="NV33" s="359"/>
      <c r="NW33" s="358"/>
      <c r="NX33" s="359"/>
      <c r="NY33" s="359"/>
      <c r="NZ33" s="359"/>
      <c r="OA33" s="359"/>
      <c r="OB33" s="358"/>
      <c r="OC33" s="359"/>
      <c r="OD33" s="359"/>
      <c r="OE33" s="359"/>
      <c r="OF33" s="359"/>
      <c r="OG33" s="358"/>
      <c r="OH33" s="359"/>
      <c r="OI33" s="359"/>
      <c r="OJ33" s="359"/>
      <c r="OK33" s="359"/>
      <c r="OL33" s="358"/>
      <c r="OM33" s="359"/>
      <c r="ON33" s="359"/>
      <c r="OO33" s="359"/>
      <c r="OP33" s="359"/>
      <c r="OQ33" s="358"/>
      <c r="OR33" s="359"/>
      <c r="OS33" s="359"/>
      <c r="OT33" s="359"/>
      <c r="OU33" s="359"/>
      <c r="OV33" s="358"/>
      <c r="OW33" s="359"/>
      <c r="OX33" s="359"/>
      <c r="OY33" s="359"/>
      <c r="OZ33" s="359"/>
      <c r="PA33" s="358"/>
      <c r="PB33" s="359"/>
      <c r="PC33" s="359"/>
      <c r="PD33" s="359"/>
      <c r="PE33" s="359"/>
      <c r="PF33" s="358"/>
      <c r="PG33" s="359"/>
      <c r="PH33" s="359"/>
      <c r="PI33" s="359"/>
      <c r="PJ33" s="359"/>
      <c r="PK33" s="358"/>
      <c r="PL33" s="359"/>
      <c r="PM33" s="359"/>
      <c r="PN33" s="359"/>
      <c r="PO33" s="359"/>
      <c r="PP33" s="358"/>
      <c r="PQ33" s="359"/>
      <c r="PR33" s="359"/>
      <c r="PS33" s="359"/>
      <c r="PT33" s="359"/>
      <c r="PU33" s="358"/>
      <c r="PV33" s="359"/>
      <c r="PW33" s="359"/>
      <c r="PX33" s="359"/>
      <c r="PY33" s="359"/>
      <c r="PZ33" s="358"/>
      <c r="QA33" s="359"/>
      <c r="QB33" s="359"/>
      <c r="QC33" s="359"/>
      <c r="QD33" s="359"/>
      <c r="QE33" s="358"/>
      <c r="QF33" s="359"/>
      <c r="QG33" s="359"/>
      <c r="QH33" s="359"/>
      <c r="QI33" s="359"/>
      <c r="QJ33" s="358"/>
      <c r="QK33" s="359"/>
      <c r="QL33" s="359"/>
      <c r="QM33" s="359"/>
      <c r="QN33" s="359"/>
      <c r="QO33" s="358"/>
      <c r="QP33" s="359"/>
      <c r="QQ33" s="359"/>
      <c r="QR33" s="359"/>
      <c r="QS33" s="359"/>
      <c r="QT33" s="358"/>
      <c r="QU33" s="359"/>
      <c r="QV33" s="359"/>
      <c r="QW33" s="359"/>
      <c r="QX33" s="359"/>
      <c r="QY33" s="358"/>
      <c r="QZ33" s="359"/>
      <c r="RA33" s="359"/>
      <c r="RB33" s="359"/>
      <c r="RC33" s="359"/>
      <c r="RD33" s="358"/>
      <c r="RE33" s="359"/>
      <c r="RF33" s="359"/>
      <c r="RG33" s="359"/>
      <c r="RH33" s="359"/>
      <c r="RI33" s="358"/>
      <c r="RJ33" s="359"/>
      <c r="RK33" s="359"/>
      <c r="RL33" s="359"/>
      <c r="RM33" s="359"/>
      <c r="RN33" s="358"/>
      <c r="RO33" s="359"/>
      <c r="RP33" s="359"/>
      <c r="RQ33" s="359"/>
      <c r="RR33" s="359"/>
      <c r="RS33" s="358"/>
      <c r="RT33" s="359"/>
      <c r="RU33" s="359"/>
      <c r="RV33" s="359"/>
      <c r="RW33" s="359"/>
      <c r="RX33" s="358"/>
      <c r="RY33" s="359"/>
      <c r="RZ33" s="359"/>
      <c r="SA33" s="359"/>
      <c r="SB33" s="359"/>
      <c r="SC33" s="358"/>
      <c r="SD33" s="359"/>
      <c r="SE33" s="359"/>
      <c r="SF33" s="359"/>
      <c r="SG33" s="359"/>
      <c r="SH33" s="358"/>
      <c r="SI33" s="359"/>
      <c r="SJ33" s="359"/>
      <c r="SK33" s="359"/>
      <c r="SL33" s="359"/>
      <c r="SM33" s="358"/>
      <c r="SN33" s="359"/>
      <c r="SO33" s="359"/>
      <c r="SP33" s="359"/>
      <c r="SQ33" s="359"/>
      <c r="SR33" s="358"/>
      <c r="SS33" s="359"/>
      <c r="ST33" s="359"/>
      <c r="SU33" s="359"/>
      <c r="SV33" s="359"/>
      <c r="SW33" s="358"/>
      <c r="SX33" s="359"/>
      <c r="SY33" s="359"/>
      <c r="SZ33" s="359"/>
      <c r="TA33" s="359"/>
      <c r="TB33" s="354" t="n">
        <f aca="false">+AVERAGE(B33:IB33)</f>
        <v>3.41558441558442</v>
      </c>
    </row>
    <row r="34" customFormat="false" ht="15.5" hidden="false" customHeight="false" outlineLevel="0" collapsed="false">
      <c r="A34" s="356" t="s">
        <v>521</v>
      </c>
      <c r="B34" s="358" t="n">
        <v>3</v>
      </c>
      <c r="C34" s="359" t="n">
        <v>3</v>
      </c>
      <c r="D34" s="359" t="n">
        <v>5</v>
      </c>
      <c r="E34" s="359" t="n">
        <v>3</v>
      </c>
      <c r="F34" s="359" t="n">
        <v>3</v>
      </c>
      <c r="G34" s="358" t="n">
        <v>1</v>
      </c>
      <c r="H34" s="359" t="n">
        <v>3</v>
      </c>
      <c r="I34" s="359" t="n">
        <v>5</v>
      </c>
      <c r="J34" s="359" t="n">
        <v>1</v>
      </c>
      <c r="K34" s="359" t="n">
        <v>1</v>
      </c>
      <c r="L34" s="358" t="n">
        <v>1</v>
      </c>
      <c r="M34" s="359" t="n">
        <v>3</v>
      </c>
      <c r="N34" s="359" t="n">
        <v>3</v>
      </c>
      <c r="O34" s="359" t="n">
        <v>1</v>
      </c>
      <c r="P34" s="359" t="n">
        <v>1</v>
      </c>
      <c r="Q34" s="358" t="n">
        <v>1</v>
      </c>
      <c r="R34" s="359" t="n">
        <v>3</v>
      </c>
      <c r="S34" s="359" t="n">
        <v>5</v>
      </c>
      <c r="T34" s="359" t="n">
        <v>1</v>
      </c>
      <c r="U34" s="359" t="n">
        <v>3</v>
      </c>
      <c r="V34" s="358" t="n">
        <v>1</v>
      </c>
      <c r="W34" s="359" t="n">
        <v>5</v>
      </c>
      <c r="X34" s="359" t="n">
        <v>5</v>
      </c>
      <c r="Y34" s="359" t="n">
        <v>3</v>
      </c>
      <c r="Z34" s="359" t="n">
        <v>3</v>
      </c>
      <c r="AA34" s="358" t="n">
        <v>3</v>
      </c>
      <c r="AB34" s="359" t="n">
        <v>5</v>
      </c>
      <c r="AC34" s="359" t="n">
        <v>5</v>
      </c>
      <c r="AD34" s="359" t="n">
        <v>3</v>
      </c>
      <c r="AE34" s="359" t="n">
        <v>5</v>
      </c>
      <c r="AF34" s="358" t="n">
        <v>3</v>
      </c>
      <c r="AG34" s="359" t="n">
        <v>5</v>
      </c>
      <c r="AH34" s="359" t="n">
        <v>5</v>
      </c>
      <c r="AI34" s="359" t="n">
        <v>5</v>
      </c>
      <c r="AJ34" s="359" t="n">
        <v>5</v>
      </c>
      <c r="AK34" s="358" t="n">
        <v>3</v>
      </c>
      <c r="AL34" s="359" t="n">
        <v>5</v>
      </c>
      <c r="AM34" s="359" t="n">
        <v>5</v>
      </c>
      <c r="AN34" s="359" t="n">
        <v>5</v>
      </c>
      <c r="AO34" s="359" t="n">
        <v>5</v>
      </c>
      <c r="AP34" s="358" t="n">
        <v>1</v>
      </c>
      <c r="AQ34" s="359" t="n">
        <v>5</v>
      </c>
      <c r="AR34" s="359" t="n">
        <v>5</v>
      </c>
      <c r="AS34" s="359" t="n">
        <v>3</v>
      </c>
      <c r="AT34" s="359" t="n">
        <v>1</v>
      </c>
      <c r="AU34" s="358" t="n">
        <v>3</v>
      </c>
      <c r="AV34" s="359"/>
      <c r="AW34" s="359" t="n">
        <v>5</v>
      </c>
      <c r="AX34" s="359" t="n">
        <v>3</v>
      </c>
      <c r="AY34" s="359" t="n">
        <v>3</v>
      </c>
      <c r="AZ34" s="358" t="n">
        <v>1</v>
      </c>
      <c r="BA34" s="359"/>
      <c r="BB34" s="359" t="n">
        <v>5</v>
      </c>
      <c r="BC34" s="359" t="n">
        <v>1</v>
      </c>
      <c r="BD34" s="359" t="n">
        <v>1</v>
      </c>
      <c r="BE34" s="358" t="n">
        <v>1</v>
      </c>
      <c r="BF34" s="359" t="n">
        <v>5</v>
      </c>
      <c r="BG34" s="359" t="n">
        <v>5</v>
      </c>
      <c r="BH34" s="359" t="n">
        <v>1</v>
      </c>
      <c r="BI34" s="359" t="n">
        <v>1</v>
      </c>
      <c r="BJ34" s="358" t="n">
        <v>3</v>
      </c>
      <c r="BK34" s="359" t="n">
        <v>5</v>
      </c>
      <c r="BL34" s="359" t="n">
        <v>3</v>
      </c>
      <c r="BM34" s="359" t="n">
        <v>3</v>
      </c>
      <c r="BN34" s="359" t="n">
        <v>3</v>
      </c>
      <c r="BO34" s="358" t="n">
        <v>5</v>
      </c>
      <c r="BP34" s="359"/>
      <c r="BQ34" s="359" t="n">
        <v>5</v>
      </c>
      <c r="BR34" s="359" t="n">
        <v>3</v>
      </c>
      <c r="BS34" s="359" t="n">
        <v>5</v>
      </c>
      <c r="BT34" s="358" t="n">
        <v>3</v>
      </c>
      <c r="BU34" s="359" t="n">
        <v>5</v>
      </c>
      <c r="BV34" s="359" t="n">
        <v>5</v>
      </c>
      <c r="BW34" s="359" t="n">
        <v>3</v>
      </c>
      <c r="BX34" s="359" t="n">
        <v>5</v>
      </c>
      <c r="BY34" s="358" t="n">
        <v>5</v>
      </c>
      <c r="BZ34" s="358" t="n">
        <v>5</v>
      </c>
      <c r="CA34" s="359" t="n">
        <v>5</v>
      </c>
      <c r="CB34" s="359" t="n">
        <v>3</v>
      </c>
      <c r="CC34" s="359" t="n">
        <v>5</v>
      </c>
      <c r="CD34" s="358"/>
      <c r="CE34" s="359"/>
      <c r="CF34" s="359"/>
      <c r="CG34" s="359"/>
      <c r="CH34" s="359"/>
      <c r="CI34" s="358"/>
      <c r="CJ34" s="359"/>
      <c r="CK34" s="359"/>
      <c r="CL34" s="359"/>
      <c r="CM34" s="359"/>
      <c r="CN34" s="358"/>
      <c r="CO34" s="359"/>
      <c r="CP34" s="359"/>
      <c r="CQ34" s="359"/>
      <c r="CR34" s="359"/>
      <c r="CS34" s="358"/>
      <c r="CT34" s="359"/>
      <c r="CU34" s="359"/>
      <c r="CV34" s="359"/>
      <c r="CW34" s="359"/>
      <c r="CX34" s="358"/>
      <c r="CY34" s="359"/>
      <c r="CZ34" s="359"/>
      <c r="DA34" s="359"/>
      <c r="DB34" s="359"/>
      <c r="DC34" s="358"/>
      <c r="DD34" s="359"/>
      <c r="DE34" s="359"/>
      <c r="DF34" s="359"/>
      <c r="DG34" s="359"/>
      <c r="DH34" s="358"/>
      <c r="DI34" s="359"/>
      <c r="DJ34" s="359"/>
      <c r="DK34" s="359"/>
      <c r="DL34" s="359"/>
      <c r="DM34" s="358"/>
      <c r="DN34" s="359"/>
      <c r="DO34" s="359"/>
      <c r="DP34" s="359"/>
      <c r="DQ34" s="359"/>
      <c r="DR34" s="358"/>
      <c r="DS34" s="359"/>
      <c r="DT34" s="359"/>
      <c r="DU34" s="359"/>
      <c r="DV34" s="359"/>
      <c r="DW34" s="358"/>
      <c r="DX34" s="359"/>
      <c r="DY34" s="359"/>
      <c r="DZ34" s="359"/>
      <c r="EA34" s="359"/>
      <c r="EB34" s="358"/>
      <c r="EC34" s="359"/>
      <c r="ED34" s="359"/>
      <c r="EE34" s="359"/>
      <c r="EF34" s="359"/>
      <c r="EG34" s="358"/>
      <c r="EH34" s="359"/>
      <c r="EI34" s="359"/>
      <c r="EJ34" s="359"/>
      <c r="EK34" s="359"/>
      <c r="EL34" s="358"/>
      <c r="EM34" s="359"/>
      <c r="EN34" s="359"/>
      <c r="EO34" s="359"/>
      <c r="EP34" s="359"/>
      <c r="EQ34" s="358"/>
      <c r="ER34" s="359"/>
      <c r="ES34" s="359"/>
      <c r="ET34" s="359"/>
      <c r="EU34" s="359"/>
      <c r="EV34" s="358"/>
      <c r="EW34" s="359"/>
      <c r="EX34" s="359"/>
      <c r="EY34" s="359"/>
      <c r="EZ34" s="359"/>
      <c r="FA34" s="358"/>
      <c r="FB34" s="359"/>
      <c r="FC34" s="359"/>
      <c r="FD34" s="359"/>
      <c r="FE34" s="359"/>
      <c r="FF34" s="358"/>
      <c r="FG34" s="359"/>
      <c r="FH34" s="359"/>
      <c r="FI34" s="359"/>
      <c r="FJ34" s="359"/>
      <c r="FK34" s="358"/>
      <c r="FL34" s="359"/>
      <c r="FM34" s="359"/>
      <c r="FN34" s="359"/>
      <c r="FO34" s="359"/>
      <c r="FP34" s="358"/>
      <c r="FQ34" s="359"/>
      <c r="FR34" s="359"/>
      <c r="FS34" s="359"/>
      <c r="FT34" s="359"/>
      <c r="FU34" s="358"/>
      <c r="FV34" s="359"/>
      <c r="FW34" s="359"/>
      <c r="FX34" s="359"/>
      <c r="FY34" s="359"/>
      <c r="FZ34" s="358"/>
      <c r="GA34" s="359"/>
      <c r="GB34" s="359"/>
      <c r="GC34" s="359"/>
      <c r="GD34" s="359"/>
      <c r="GE34" s="358"/>
      <c r="GF34" s="359"/>
      <c r="GG34" s="359"/>
      <c r="GH34" s="359"/>
      <c r="GI34" s="359"/>
      <c r="GJ34" s="358"/>
      <c r="GK34" s="359"/>
      <c r="GL34" s="359"/>
      <c r="GM34" s="359"/>
      <c r="GN34" s="359"/>
      <c r="GO34" s="358"/>
      <c r="GP34" s="359"/>
      <c r="GQ34" s="359"/>
      <c r="GR34" s="359"/>
      <c r="GS34" s="359"/>
      <c r="GT34" s="358"/>
      <c r="GU34" s="359"/>
      <c r="GV34" s="359"/>
      <c r="GW34" s="359"/>
      <c r="GX34" s="359"/>
      <c r="GY34" s="358"/>
      <c r="GZ34" s="359"/>
      <c r="HA34" s="359"/>
      <c r="HB34" s="359"/>
      <c r="HC34" s="359"/>
      <c r="HD34" s="358"/>
      <c r="HE34" s="359"/>
      <c r="HF34" s="359"/>
      <c r="HG34" s="359"/>
      <c r="HH34" s="359"/>
      <c r="HI34" s="358"/>
      <c r="HJ34" s="359"/>
      <c r="HK34" s="359"/>
      <c r="HL34" s="359"/>
      <c r="HM34" s="359"/>
      <c r="HN34" s="358"/>
      <c r="HO34" s="359"/>
      <c r="HP34" s="359"/>
      <c r="HQ34" s="359"/>
      <c r="HR34" s="359"/>
      <c r="HS34" s="358"/>
      <c r="HT34" s="359"/>
      <c r="HU34" s="359"/>
      <c r="HV34" s="359"/>
      <c r="HW34" s="359"/>
      <c r="HX34" s="358"/>
      <c r="HY34" s="359"/>
      <c r="HZ34" s="359"/>
      <c r="IA34" s="359"/>
      <c r="IB34" s="359"/>
      <c r="IC34" s="358"/>
      <c r="ID34" s="359"/>
      <c r="IE34" s="359"/>
      <c r="IF34" s="359"/>
      <c r="IG34" s="359"/>
      <c r="IH34" s="358"/>
      <c r="II34" s="359"/>
      <c r="IJ34" s="359"/>
      <c r="IK34" s="359"/>
      <c r="IL34" s="359"/>
      <c r="IM34" s="358"/>
      <c r="IN34" s="359"/>
      <c r="IO34" s="359"/>
      <c r="IP34" s="359"/>
      <c r="IQ34" s="359"/>
      <c r="IR34" s="358"/>
      <c r="IS34" s="359"/>
      <c r="IT34" s="359"/>
      <c r="IU34" s="359"/>
      <c r="IV34" s="359"/>
      <c r="IW34" s="358"/>
      <c r="IX34" s="359"/>
      <c r="IY34" s="359"/>
      <c r="IZ34" s="359"/>
      <c r="JA34" s="359"/>
      <c r="JB34" s="358"/>
      <c r="JC34" s="359"/>
      <c r="JD34" s="359"/>
      <c r="JE34" s="359"/>
      <c r="JF34" s="359"/>
      <c r="JG34" s="358"/>
      <c r="JH34" s="359"/>
      <c r="JI34" s="359"/>
      <c r="JJ34" s="359"/>
      <c r="JK34" s="359"/>
      <c r="JL34" s="358"/>
      <c r="JM34" s="359"/>
      <c r="JN34" s="359"/>
      <c r="JO34" s="359"/>
      <c r="JP34" s="359"/>
      <c r="JQ34" s="358"/>
      <c r="JR34" s="359"/>
      <c r="JS34" s="359"/>
      <c r="JT34" s="359"/>
      <c r="JU34" s="359"/>
      <c r="JV34" s="358"/>
      <c r="JW34" s="359"/>
      <c r="JX34" s="359"/>
      <c r="JY34" s="359"/>
      <c r="JZ34" s="359"/>
      <c r="KA34" s="358"/>
      <c r="KB34" s="359"/>
      <c r="KC34" s="359"/>
      <c r="KD34" s="359"/>
      <c r="KE34" s="359"/>
      <c r="KF34" s="358"/>
      <c r="KG34" s="359"/>
      <c r="KH34" s="359"/>
      <c r="KI34" s="359"/>
      <c r="KJ34" s="359"/>
      <c r="KK34" s="358"/>
      <c r="KL34" s="359"/>
      <c r="KM34" s="359"/>
      <c r="KN34" s="359"/>
      <c r="KO34" s="359"/>
      <c r="KP34" s="358"/>
      <c r="KQ34" s="359"/>
      <c r="KR34" s="359"/>
      <c r="KS34" s="359"/>
      <c r="KT34" s="359"/>
      <c r="KU34" s="358"/>
      <c r="KV34" s="359"/>
      <c r="KW34" s="359"/>
      <c r="KX34" s="359"/>
      <c r="KY34" s="359"/>
      <c r="KZ34" s="358"/>
      <c r="LA34" s="359"/>
      <c r="LB34" s="359"/>
      <c r="LC34" s="359"/>
      <c r="LD34" s="359"/>
      <c r="LE34" s="358"/>
      <c r="LF34" s="359"/>
      <c r="LG34" s="359"/>
      <c r="LH34" s="359"/>
      <c r="LI34" s="359"/>
      <c r="LJ34" s="358"/>
      <c r="LK34" s="359"/>
      <c r="LL34" s="359"/>
      <c r="LM34" s="359"/>
      <c r="LN34" s="359"/>
      <c r="LO34" s="358"/>
      <c r="LP34" s="359"/>
      <c r="LQ34" s="359"/>
      <c r="LR34" s="359"/>
      <c r="LS34" s="359"/>
      <c r="LT34" s="358"/>
      <c r="LU34" s="359"/>
      <c r="LV34" s="359"/>
      <c r="LW34" s="359"/>
      <c r="LX34" s="359"/>
      <c r="LY34" s="358"/>
      <c r="LZ34" s="359"/>
      <c r="MA34" s="359"/>
      <c r="MB34" s="359"/>
      <c r="MC34" s="359"/>
      <c r="MD34" s="358"/>
      <c r="ME34" s="359"/>
      <c r="MF34" s="359"/>
      <c r="MG34" s="359"/>
      <c r="MH34" s="359"/>
      <c r="MI34" s="358"/>
      <c r="MJ34" s="359"/>
      <c r="MK34" s="359"/>
      <c r="ML34" s="359"/>
      <c r="MM34" s="359"/>
      <c r="MN34" s="358"/>
      <c r="MO34" s="359"/>
      <c r="MP34" s="359"/>
      <c r="MQ34" s="359"/>
      <c r="MR34" s="359"/>
      <c r="MS34" s="358"/>
      <c r="MT34" s="359"/>
      <c r="MU34" s="359"/>
      <c r="MV34" s="359"/>
      <c r="MW34" s="359"/>
      <c r="MX34" s="358"/>
      <c r="MY34" s="359"/>
      <c r="MZ34" s="359"/>
      <c r="NA34" s="359"/>
      <c r="NB34" s="359"/>
      <c r="NC34" s="358"/>
      <c r="ND34" s="359"/>
      <c r="NE34" s="359"/>
      <c r="NF34" s="359"/>
      <c r="NG34" s="359"/>
      <c r="NH34" s="358"/>
      <c r="NI34" s="359"/>
      <c r="NJ34" s="359"/>
      <c r="NK34" s="359"/>
      <c r="NL34" s="359"/>
      <c r="NM34" s="358"/>
      <c r="NN34" s="359"/>
      <c r="NO34" s="359"/>
      <c r="NP34" s="359"/>
      <c r="NQ34" s="359"/>
      <c r="NR34" s="358"/>
      <c r="NS34" s="359"/>
      <c r="NT34" s="359"/>
      <c r="NU34" s="359"/>
      <c r="NV34" s="359"/>
      <c r="NW34" s="358"/>
      <c r="NX34" s="359"/>
      <c r="NY34" s="359"/>
      <c r="NZ34" s="359"/>
      <c r="OA34" s="359"/>
      <c r="OB34" s="358"/>
      <c r="OC34" s="359"/>
      <c r="OD34" s="359"/>
      <c r="OE34" s="359"/>
      <c r="OF34" s="359"/>
      <c r="OG34" s="358"/>
      <c r="OH34" s="359"/>
      <c r="OI34" s="359"/>
      <c r="OJ34" s="359"/>
      <c r="OK34" s="359"/>
      <c r="OL34" s="358"/>
      <c r="OM34" s="359"/>
      <c r="ON34" s="359"/>
      <c r="OO34" s="359"/>
      <c r="OP34" s="359"/>
      <c r="OQ34" s="358"/>
      <c r="OR34" s="359"/>
      <c r="OS34" s="359"/>
      <c r="OT34" s="359"/>
      <c r="OU34" s="359"/>
      <c r="OV34" s="358"/>
      <c r="OW34" s="359"/>
      <c r="OX34" s="359"/>
      <c r="OY34" s="359"/>
      <c r="OZ34" s="359"/>
      <c r="PA34" s="358"/>
      <c r="PB34" s="359"/>
      <c r="PC34" s="359"/>
      <c r="PD34" s="359"/>
      <c r="PE34" s="359"/>
      <c r="PF34" s="358"/>
      <c r="PG34" s="359"/>
      <c r="PH34" s="359"/>
      <c r="PI34" s="359"/>
      <c r="PJ34" s="359"/>
      <c r="PK34" s="358"/>
      <c r="PL34" s="359"/>
      <c r="PM34" s="359"/>
      <c r="PN34" s="359"/>
      <c r="PO34" s="359"/>
      <c r="PP34" s="358"/>
      <c r="PQ34" s="359"/>
      <c r="PR34" s="359"/>
      <c r="PS34" s="359"/>
      <c r="PT34" s="359"/>
      <c r="PU34" s="358"/>
      <c r="PV34" s="359"/>
      <c r="PW34" s="359"/>
      <c r="PX34" s="359"/>
      <c r="PY34" s="359"/>
      <c r="PZ34" s="358"/>
      <c r="QA34" s="359"/>
      <c r="QB34" s="359"/>
      <c r="QC34" s="359"/>
      <c r="QD34" s="359"/>
      <c r="QE34" s="358"/>
      <c r="QF34" s="359"/>
      <c r="QG34" s="359"/>
      <c r="QH34" s="359"/>
      <c r="QI34" s="359"/>
      <c r="QJ34" s="358"/>
      <c r="QK34" s="359"/>
      <c r="QL34" s="359"/>
      <c r="QM34" s="359"/>
      <c r="QN34" s="359"/>
      <c r="QO34" s="358"/>
      <c r="QP34" s="359"/>
      <c r="QQ34" s="359"/>
      <c r="QR34" s="359"/>
      <c r="QS34" s="359"/>
      <c r="QT34" s="358"/>
      <c r="QU34" s="359"/>
      <c r="QV34" s="359"/>
      <c r="QW34" s="359"/>
      <c r="QX34" s="359"/>
      <c r="QY34" s="358"/>
      <c r="QZ34" s="359"/>
      <c r="RA34" s="359"/>
      <c r="RB34" s="359"/>
      <c r="RC34" s="359"/>
      <c r="RD34" s="358"/>
      <c r="RE34" s="359"/>
      <c r="RF34" s="359"/>
      <c r="RG34" s="359"/>
      <c r="RH34" s="359"/>
      <c r="RI34" s="358"/>
      <c r="RJ34" s="359"/>
      <c r="RK34" s="359"/>
      <c r="RL34" s="359"/>
      <c r="RM34" s="359"/>
      <c r="RN34" s="358"/>
      <c r="RO34" s="359"/>
      <c r="RP34" s="359"/>
      <c r="RQ34" s="359"/>
      <c r="RR34" s="359"/>
      <c r="RS34" s="358"/>
      <c r="RT34" s="359"/>
      <c r="RU34" s="359"/>
      <c r="RV34" s="359"/>
      <c r="RW34" s="359"/>
      <c r="RX34" s="358"/>
      <c r="RY34" s="359"/>
      <c r="RZ34" s="359"/>
      <c r="SA34" s="359"/>
      <c r="SB34" s="359"/>
      <c r="SC34" s="358"/>
      <c r="SD34" s="359"/>
      <c r="SE34" s="359"/>
      <c r="SF34" s="359"/>
      <c r="SG34" s="359"/>
      <c r="SH34" s="358"/>
      <c r="SI34" s="359"/>
      <c r="SJ34" s="359"/>
      <c r="SK34" s="359"/>
      <c r="SL34" s="359"/>
      <c r="SM34" s="358"/>
      <c r="SN34" s="359"/>
      <c r="SO34" s="359"/>
      <c r="SP34" s="359"/>
      <c r="SQ34" s="359"/>
      <c r="SR34" s="358"/>
      <c r="SS34" s="359"/>
      <c r="ST34" s="359"/>
      <c r="SU34" s="359"/>
      <c r="SV34" s="359"/>
      <c r="SW34" s="358"/>
      <c r="SX34" s="359"/>
      <c r="SY34" s="359"/>
      <c r="SZ34" s="359"/>
      <c r="TA34" s="359"/>
      <c r="TB34" s="354" t="n">
        <f aca="false">+AVERAGE(B34:IB34)</f>
        <v>3.41558441558442</v>
      </c>
    </row>
    <row r="35" customFormat="false" ht="15.5" hidden="false" customHeight="false" outlineLevel="0" collapsed="false">
      <c r="A35" s="356" t="s">
        <v>521</v>
      </c>
      <c r="B35" s="358" t="n">
        <v>3</v>
      </c>
      <c r="C35" s="359" t="n">
        <v>3</v>
      </c>
      <c r="D35" s="359" t="n">
        <v>5</v>
      </c>
      <c r="E35" s="359" t="n">
        <v>3</v>
      </c>
      <c r="F35" s="359" t="n">
        <v>3</v>
      </c>
      <c r="G35" s="358" t="n">
        <v>1</v>
      </c>
      <c r="H35" s="359" t="n">
        <v>3</v>
      </c>
      <c r="I35" s="359" t="n">
        <v>5</v>
      </c>
      <c r="J35" s="359" t="n">
        <v>1</v>
      </c>
      <c r="K35" s="359" t="n">
        <v>1</v>
      </c>
      <c r="L35" s="358" t="n">
        <v>1</v>
      </c>
      <c r="M35" s="359" t="n">
        <v>3</v>
      </c>
      <c r="N35" s="359" t="n">
        <v>3</v>
      </c>
      <c r="O35" s="359" t="n">
        <v>1</v>
      </c>
      <c r="P35" s="359" t="n">
        <v>1</v>
      </c>
      <c r="Q35" s="358" t="n">
        <v>1</v>
      </c>
      <c r="R35" s="359" t="n">
        <v>3</v>
      </c>
      <c r="S35" s="359" t="n">
        <v>5</v>
      </c>
      <c r="T35" s="359" t="n">
        <v>1</v>
      </c>
      <c r="U35" s="359" t="n">
        <v>3</v>
      </c>
      <c r="V35" s="358" t="n">
        <v>1</v>
      </c>
      <c r="W35" s="359" t="n">
        <v>5</v>
      </c>
      <c r="X35" s="359" t="n">
        <v>5</v>
      </c>
      <c r="Y35" s="359" t="n">
        <v>3</v>
      </c>
      <c r="Z35" s="359" t="n">
        <v>3</v>
      </c>
      <c r="AA35" s="358" t="n">
        <v>3</v>
      </c>
      <c r="AB35" s="359" t="n">
        <v>5</v>
      </c>
      <c r="AC35" s="359" t="n">
        <v>5</v>
      </c>
      <c r="AD35" s="359" t="n">
        <v>3</v>
      </c>
      <c r="AE35" s="359" t="n">
        <v>5</v>
      </c>
      <c r="AF35" s="358" t="n">
        <v>3</v>
      </c>
      <c r="AG35" s="359" t="n">
        <v>5</v>
      </c>
      <c r="AH35" s="359" t="n">
        <v>5</v>
      </c>
      <c r="AI35" s="359" t="n">
        <v>5</v>
      </c>
      <c r="AJ35" s="359" t="n">
        <v>5</v>
      </c>
      <c r="AK35" s="358" t="n">
        <v>3</v>
      </c>
      <c r="AL35" s="359" t="n">
        <v>5</v>
      </c>
      <c r="AM35" s="359" t="n">
        <v>5</v>
      </c>
      <c r="AN35" s="359" t="n">
        <v>5</v>
      </c>
      <c r="AO35" s="359" t="n">
        <v>5</v>
      </c>
      <c r="AP35" s="358" t="n">
        <v>1</v>
      </c>
      <c r="AQ35" s="359" t="n">
        <v>5</v>
      </c>
      <c r="AR35" s="359" t="n">
        <v>5</v>
      </c>
      <c r="AS35" s="359" t="n">
        <v>3</v>
      </c>
      <c r="AT35" s="359" t="n">
        <v>1</v>
      </c>
      <c r="AU35" s="358" t="n">
        <v>3</v>
      </c>
      <c r="AV35" s="359"/>
      <c r="AW35" s="359" t="n">
        <v>5</v>
      </c>
      <c r="AX35" s="359" t="n">
        <v>3</v>
      </c>
      <c r="AY35" s="359" t="n">
        <v>3</v>
      </c>
      <c r="AZ35" s="358" t="n">
        <v>1</v>
      </c>
      <c r="BA35" s="359"/>
      <c r="BB35" s="359" t="n">
        <v>5</v>
      </c>
      <c r="BC35" s="359" t="n">
        <v>1</v>
      </c>
      <c r="BD35" s="359" t="n">
        <v>1</v>
      </c>
      <c r="BE35" s="358" t="n">
        <v>1</v>
      </c>
      <c r="BF35" s="359" t="n">
        <v>5</v>
      </c>
      <c r="BG35" s="359" t="n">
        <v>5</v>
      </c>
      <c r="BH35" s="359" t="n">
        <v>1</v>
      </c>
      <c r="BI35" s="359" t="n">
        <v>1</v>
      </c>
      <c r="BJ35" s="358" t="n">
        <v>3</v>
      </c>
      <c r="BK35" s="359" t="n">
        <v>5</v>
      </c>
      <c r="BL35" s="359" t="n">
        <v>3</v>
      </c>
      <c r="BM35" s="359" t="n">
        <v>3</v>
      </c>
      <c r="BN35" s="359" t="n">
        <v>3</v>
      </c>
      <c r="BO35" s="358" t="n">
        <v>5</v>
      </c>
      <c r="BP35" s="359"/>
      <c r="BQ35" s="359" t="n">
        <v>5</v>
      </c>
      <c r="BR35" s="359" t="n">
        <v>3</v>
      </c>
      <c r="BS35" s="359" t="n">
        <v>5</v>
      </c>
      <c r="BT35" s="358" t="n">
        <v>3</v>
      </c>
      <c r="BU35" s="359" t="n">
        <v>5</v>
      </c>
      <c r="BV35" s="359" t="n">
        <v>5</v>
      </c>
      <c r="BW35" s="359" t="n">
        <v>3</v>
      </c>
      <c r="BX35" s="359" t="n">
        <v>5</v>
      </c>
      <c r="BY35" s="358" t="n">
        <v>5</v>
      </c>
      <c r="BZ35" s="358" t="n">
        <v>5</v>
      </c>
      <c r="CA35" s="359" t="n">
        <v>5</v>
      </c>
      <c r="CB35" s="359" t="n">
        <v>3</v>
      </c>
      <c r="CC35" s="359" t="n">
        <v>5</v>
      </c>
      <c r="CD35" s="358"/>
      <c r="CE35" s="359"/>
      <c r="CF35" s="359"/>
      <c r="CG35" s="359"/>
      <c r="CH35" s="359"/>
      <c r="CI35" s="358"/>
      <c r="CJ35" s="359"/>
      <c r="CK35" s="359"/>
      <c r="CL35" s="359"/>
      <c r="CM35" s="359"/>
      <c r="CN35" s="358"/>
      <c r="CO35" s="359"/>
      <c r="CP35" s="359"/>
      <c r="CQ35" s="359"/>
      <c r="CR35" s="359"/>
      <c r="CS35" s="358"/>
      <c r="CT35" s="359"/>
      <c r="CU35" s="359"/>
      <c r="CV35" s="359"/>
      <c r="CW35" s="359"/>
      <c r="CX35" s="358"/>
      <c r="CY35" s="359"/>
      <c r="CZ35" s="359"/>
      <c r="DA35" s="359"/>
      <c r="DB35" s="359"/>
      <c r="DC35" s="358"/>
      <c r="DD35" s="359"/>
      <c r="DE35" s="359"/>
      <c r="DF35" s="359"/>
      <c r="DG35" s="359"/>
      <c r="DH35" s="358"/>
      <c r="DI35" s="359"/>
      <c r="DJ35" s="359"/>
      <c r="DK35" s="359"/>
      <c r="DL35" s="359"/>
      <c r="DM35" s="358"/>
      <c r="DN35" s="359"/>
      <c r="DO35" s="359"/>
      <c r="DP35" s="359"/>
      <c r="DQ35" s="359"/>
      <c r="DR35" s="358"/>
      <c r="DS35" s="359"/>
      <c r="DT35" s="359"/>
      <c r="DU35" s="359"/>
      <c r="DV35" s="359"/>
      <c r="DW35" s="358"/>
      <c r="DX35" s="359"/>
      <c r="DY35" s="359"/>
      <c r="DZ35" s="359"/>
      <c r="EA35" s="359"/>
      <c r="EB35" s="358"/>
      <c r="EC35" s="359"/>
      <c r="ED35" s="359"/>
      <c r="EE35" s="359"/>
      <c r="EF35" s="359"/>
      <c r="EG35" s="358"/>
      <c r="EH35" s="359"/>
      <c r="EI35" s="359"/>
      <c r="EJ35" s="359"/>
      <c r="EK35" s="359"/>
      <c r="EL35" s="358"/>
      <c r="EM35" s="359"/>
      <c r="EN35" s="359"/>
      <c r="EO35" s="359"/>
      <c r="EP35" s="359"/>
      <c r="EQ35" s="358"/>
      <c r="ER35" s="359"/>
      <c r="ES35" s="359"/>
      <c r="ET35" s="359"/>
      <c r="EU35" s="359"/>
      <c r="EV35" s="358"/>
      <c r="EW35" s="359"/>
      <c r="EX35" s="359"/>
      <c r="EY35" s="359"/>
      <c r="EZ35" s="359"/>
      <c r="FA35" s="358"/>
      <c r="FB35" s="359"/>
      <c r="FC35" s="359"/>
      <c r="FD35" s="359"/>
      <c r="FE35" s="359"/>
      <c r="FF35" s="358"/>
      <c r="FG35" s="359"/>
      <c r="FH35" s="359"/>
      <c r="FI35" s="359"/>
      <c r="FJ35" s="359"/>
      <c r="FK35" s="358"/>
      <c r="FL35" s="359"/>
      <c r="FM35" s="359"/>
      <c r="FN35" s="359"/>
      <c r="FO35" s="359"/>
      <c r="FP35" s="358"/>
      <c r="FQ35" s="359"/>
      <c r="FR35" s="359"/>
      <c r="FS35" s="359"/>
      <c r="FT35" s="359"/>
      <c r="FU35" s="358"/>
      <c r="FV35" s="359"/>
      <c r="FW35" s="359"/>
      <c r="FX35" s="359"/>
      <c r="FY35" s="359"/>
      <c r="FZ35" s="358"/>
      <c r="GA35" s="359"/>
      <c r="GB35" s="359"/>
      <c r="GC35" s="359"/>
      <c r="GD35" s="359"/>
      <c r="GE35" s="358"/>
      <c r="GF35" s="359"/>
      <c r="GG35" s="359"/>
      <c r="GH35" s="359"/>
      <c r="GI35" s="359"/>
      <c r="GJ35" s="358"/>
      <c r="GK35" s="359"/>
      <c r="GL35" s="359"/>
      <c r="GM35" s="359"/>
      <c r="GN35" s="359"/>
      <c r="GO35" s="358"/>
      <c r="GP35" s="359"/>
      <c r="GQ35" s="359"/>
      <c r="GR35" s="359"/>
      <c r="GS35" s="359"/>
      <c r="GT35" s="358"/>
      <c r="GU35" s="359"/>
      <c r="GV35" s="359"/>
      <c r="GW35" s="359"/>
      <c r="GX35" s="359"/>
      <c r="GY35" s="358"/>
      <c r="GZ35" s="359"/>
      <c r="HA35" s="359"/>
      <c r="HB35" s="359"/>
      <c r="HC35" s="359"/>
      <c r="HD35" s="358"/>
      <c r="HE35" s="359"/>
      <c r="HF35" s="359"/>
      <c r="HG35" s="359"/>
      <c r="HH35" s="359"/>
      <c r="HI35" s="358"/>
      <c r="HJ35" s="359"/>
      <c r="HK35" s="359"/>
      <c r="HL35" s="359"/>
      <c r="HM35" s="359"/>
      <c r="HN35" s="358"/>
      <c r="HO35" s="359"/>
      <c r="HP35" s="359"/>
      <c r="HQ35" s="359"/>
      <c r="HR35" s="359"/>
      <c r="HS35" s="358"/>
      <c r="HT35" s="359"/>
      <c r="HU35" s="359"/>
      <c r="HV35" s="359"/>
      <c r="HW35" s="359"/>
      <c r="HX35" s="358"/>
      <c r="HY35" s="359"/>
      <c r="HZ35" s="359"/>
      <c r="IA35" s="359"/>
      <c r="IB35" s="359"/>
      <c r="IC35" s="358"/>
      <c r="ID35" s="359"/>
      <c r="IE35" s="359"/>
      <c r="IF35" s="359"/>
      <c r="IG35" s="359"/>
      <c r="IH35" s="358"/>
      <c r="II35" s="359"/>
      <c r="IJ35" s="359"/>
      <c r="IK35" s="359"/>
      <c r="IL35" s="359"/>
      <c r="IM35" s="358"/>
      <c r="IN35" s="359"/>
      <c r="IO35" s="359"/>
      <c r="IP35" s="359"/>
      <c r="IQ35" s="359"/>
      <c r="IR35" s="358"/>
      <c r="IS35" s="359"/>
      <c r="IT35" s="359"/>
      <c r="IU35" s="359"/>
      <c r="IV35" s="359"/>
      <c r="IW35" s="358"/>
      <c r="IX35" s="359"/>
      <c r="IY35" s="359"/>
      <c r="IZ35" s="359"/>
      <c r="JA35" s="359"/>
      <c r="JB35" s="358"/>
      <c r="JC35" s="359"/>
      <c r="JD35" s="359"/>
      <c r="JE35" s="359"/>
      <c r="JF35" s="359"/>
      <c r="JG35" s="358"/>
      <c r="JH35" s="359"/>
      <c r="JI35" s="359"/>
      <c r="JJ35" s="359"/>
      <c r="JK35" s="359"/>
      <c r="JL35" s="358"/>
      <c r="JM35" s="359"/>
      <c r="JN35" s="359"/>
      <c r="JO35" s="359"/>
      <c r="JP35" s="359"/>
      <c r="JQ35" s="358"/>
      <c r="JR35" s="359"/>
      <c r="JS35" s="359"/>
      <c r="JT35" s="359"/>
      <c r="JU35" s="359"/>
      <c r="JV35" s="358"/>
      <c r="JW35" s="359"/>
      <c r="JX35" s="359"/>
      <c r="JY35" s="359"/>
      <c r="JZ35" s="359"/>
      <c r="KA35" s="358"/>
      <c r="KB35" s="359"/>
      <c r="KC35" s="359"/>
      <c r="KD35" s="359"/>
      <c r="KE35" s="359"/>
      <c r="KF35" s="358"/>
      <c r="KG35" s="359"/>
      <c r="KH35" s="359"/>
      <c r="KI35" s="359"/>
      <c r="KJ35" s="359"/>
      <c r="KK35" s="358"/>
      <c r="KL35" s="359"/>
      <c r="KM35" s="359"/>
      <c r="KN35" s="359"/>
      <c r="KO35" s="359"/>
      <c r="KP35" s="358"/>
      <c r="KQ35" s="359"/>
      <c r="KR35" s="359"/>
      <c r="KS35" s="359"/>
      <c r="KT35" s="359"/>
      <c r="KU35" s="358"/>
      <c r="KV35" s="359"/>
      <c r="KW35" s="359"/>
      <c r="KX35" s="359"/>
      <c r="KY35" s="359"/>
      <c r="KZ35" s="358"/>
      <c r="LA35" s="359"/>
      <c r="LB35" s="359"/>
      <c r="LC35" s="359"/>
      <c r="LD35" s="359"/>
      <c r="LE35" s="358"/>
      <c r="LF35" s="359"/>
      <c r="LG35" s="359"/>
      <c r="LH35" s="359"/>
      <c r="LI35" s="359"/>
      <c r="LJ35" s="358"/>
      <c r="LK35" s="359"/>
      <c r="LL35" s="359"/>
      <c r="LM35" s="359"/>
      <c r="LN35" s="359"/>
      <c r="LO35" s="358"/>
      <c r="LP35" s="359"/>
      <c r="LQ35" s="359"/>
      <c r="LR35" s="359"/>
      <c r="LS35" s="359"/>
      <c r="LT35" s="358"/>
      <c r="LU35" s="359"/>
      <c r="LV35" s="359"/>
      <c r="LW35" s="359"/>
      <c r="LX35" s="359"/>
      <c r="LY35" s="358"/>
      <c r="LZ35" s="359"/>
      <c r="MA35" s="359"/>
      <c r="MB35" s="359"/>
      <c r="MC35" s="359"/>
      <c r="MD35" s="358"/>
      <c r="ME35" s="359"/>
      <c r="MF35" s="359"/>
      <c r="MG35" s="359"/>
      <c r="MH35" s="359"/>
      <c r="MI35" s="358"/>
      <c r="MJ35" s="359"/>
      <c r="MK35" s="359"/>
      <c r="ML35" s="359"/>
      <c r="MM35" s="359"/>
      <c r="MN35" s="358"/>
      <c r="MO35" s="359"/>
      <c r="MP35" s="359"/>
      <c r="MQ35" s="359"/>
      <c r="MR35" s="359"/>
      <c r="MS35" s="358"/>
      <c r="MT35" s="359"/>
      <c r="MU35" s="359"/>
      <c r="MV35" s="359"/>
      <c r="MW35" s="359"/>
      <c r="MX35" s="358"/>
      <c r="MY35" s="359"/>
      <c r="MZ35" s="359"/>
      <c r="NA35" s="359"/>
      <c r="NB35" s="359"/>
      <c r="NC35" s="358"/>
      <c r="ND35" s="359"/>
      <c r="NE35" s="359"/>
      <c r="NF35" s="359"/>
      <c r="NG35" s="359"/>
      <c r="NH35" s="358"/>
      <c r="NI35" s="359"/>
      <c r="NJ35" s="359"/>
      <c r="NK35" s="359"/>
      <c r="NL35" s="359"/>
      <c r="NM35" s="358"/>
      <c r="NN35" s="359"/>
      <c r="NO35" s="359"/>
      <c r="NP35" s="359"/>
      <c r="NQ35" s="359"/>
      <c r="NR35" s="358"/>
      <c r="NS35" s="359"/>
      <c r="NT35" s="359"/>
      <c r="NU35" s="359"/>
      <c r="NV35" s="359"/>
      <c r="NW35" s="358"/>
      <c r="NX35" s="359"/>
      <c r="NY35" s="359"/>
      <c r="NZ35" s="359"/>
      <c r="OA35" s="359"/>
      <c r="OB35" s="358"/>
      <c r="OC35" s="359"/>
      <c r="OD35" s="359"/>
      <c r="OE35" s="359"/>
      <c r="OF35" s="359"/>
      <c r="OG35" s="358"/>
      <c r="OH35" s="359"/>
      <c r="OI35" s="359"/>
      <c r="OJ35" s="359"/>
      <c r="OK35" s="359"/>
      <c r="OL35" s="358"/>
      <c r="OM35" s="359"/>
      <c r="ON35" s="359"/>
      <c r="OO35" s="359"/>
      <c r="OP35" s="359"/>
      <c r="OQ35" s="358"/>
      <c r="OR35" s="359"/>
      <c r="OS35" s="359"/>
      <c r="OT35" s="359"/>
      <c r="OU35" s="359"/>
      <c r="OV35" s="358"/>
      <c r="OW35" s="359"/>
      <c r="OX35" s="359"/>
      <c r="OY35" s="359"/>
      <c r="OZ35" s="359"/>
      <c r="PA35" s="358"/>
      <c r="PB35" s="359"/>
      <c r="PC35" s="359"/>
      <c r="PD35" s="359"/>
      <c r="PE35" s="359"/>
      <c r="PF35" s="358"/>
      <c r="PG35" s="359"/>
      <c r="PH35" s="359"/>
      <c r="PI35" s="359"/>
      <c r="PJ35" s="359"/>
      <c r="PK35" s="358"/>
      <c r="PL35" s="359"/>
      <c r="PM35" s="359"/>
      <c r="PN35" s="359"/>
      <c r="PO35" s="359"/>
      <c r="PP35" s="358"/>
      <c r="PQ35" s="359"/>
      <c r="PR35" s="359"/>
      <c r="PS35" s="359"/>
      <c r="PT35" s="359"/>
      <c r="PU35" s="358"/>
      <c r="PV35" s="359"/>
      <c r="PW35" s="359"/>
      <c r="PX35" s="359"/>
      <c r="PY35" s="359"/>
      <c r="PZ35" s="358"/>
      <c r="QA35" s="359"/>
      <c r="QB35" s="359"/>
      <c r="QC35" s="359"/>
      <c r="QD35" s="359"/>
      <c r="QE35" s="358"/>
      <c r="QF35" s="359"/>
      <c r="QG35" s="359"/>
      <c r="QH35" s="359"/>
      <c r="QI35" s="359"/>
      <c r="QJ35" s="358"/>
      <c r="QK35" s="359"/>
      <c r="QL35" s="359"/>
      <c r="QM35" s="359"/>
      <c r="QN35" s="359"/>
      <c r="QO35" s="358"/>
      <c r="QP35" s="359"/>
      <c r="QQ35" s="359"/>
      <c r="QR35" s="359"/>
      <c r="QS35" s="359"/>
      <c r="QT35" s="358"/>
      <c r="QU35" s="359"/>
      <c r="QV35" s="359"/>
      <c r="QW35" s="359"/>
      <c r="QX35" s="359"/>
      <c r="QY35" s="358"/>
      <c r="QZ35" s="359"/>
      <c r="RA35" s="359"/>
      <c r="RB35" s="359"/>
      <c r="RC35" s="359"/>
      <c r="RD35" s="358"/>
      <c r="RE35" s="359"/>
      <c r="RF35" s="359"/>
      <c r="RG35" s="359"/>
      <c r="RH35" s="359"/>
      <c r="RI35" s="358"/>
      <c r="RJ35" s="359"/>
      <c r="RK35" s="359"/>
      <c r="RL35" s="359"/>
      <c r="RM35" s="359"/>
      <c r="RN35" s="358"/>
      <c r="RO35" s="359"/>
      <c r="RP35" s="359"/>
      <c r="RQ35" s="359"/>
      <c r="RR35" s="359"/>
      <c r="RS35" s="358"/>
      <c r="RT35" s="359"/>
      <c r="RU35" s="359"/>
      <c r="RV35" s="359"/>
      <c r="RW35" s="359"/>
      <c r="RX35" s="358"/>
      <c r="RY35" s="359"/>
      <c r="RZ35" s="359"/>
      <c r="SA35" s="359"/>
      <c r="SB35" s="359"/>
      <c r="SC35" s="358"/>
      <c r="SD35" s="359"/>
      <c r="SE35" s="359"/>
      <c r="SF35" s="359"/>
      <c r="SG35" s="359"/>
      <c r="SH35" s="358"/>
      <c r="SI35" s="359"/>
      <c r="SJ35" s="359"/>
      <c r="SK35" s="359"/>
      <c r="SL35" s="359"/>
      <c r="SM35" s="358"/>
      <c r="SN35" s="359"/>
      <c r="SO35" s="359"/>
      <c r="SP35" s="359"/>
      <c r="SQ35" s="359"/>
      <c r="SR35" s="358"/>
      <c r="SS35" s="359"/>
      <c r="ST35" s="359"/>
      <c r="SU35" s="359"/>
      <c r="SV35" s="359"/>
      <c r="SW35" s="358"/>
      <c r="SX35" s="359"/>
      <c r="SY35" s="359"/>
      <c r="SZ35" s="359"/>
      <c r="TA35" s="359"/>
      <c r="TB35" s="354" t="n">
        <f aca="false">+AVERAGE(B35:IB35)</f>
        <v>3.41558441558442</v>
      </c>
    </row>
    <row r="36" customFormat="false" ht="15.5" hidden="false" customHeight="false" outlineLevel="0" collapsed="false">
      <c r="A36" s="356" t="s">
        <v>521</v>
      </c>
      <c r="B36" s="358" t="n">
        <v>3</v>
      </c>
      <c r="C36" s="359" t="n">
        <v>3</v>
      </c>
      <c r="D36" s="359" t="n">
        <v>5</v>
      </c>
      <c r="E36" s="359" t="n">
        <v>3</v>
      </c>
      <c r="F36" s="359" t="n">
        <v>3</v>
      </c>
      <c r="G36" s="358" t="n">
        <v>1</v>
      </c>
      <c r="H36" s="359" t="n">
        <v>3</v>
      </c>
      <c r="I36" s="359" t="n">
        <v>5</v>
      </c>
      <c r="J36" s="359" t="n">
        <v>1</v>
      </c>
      <c r="K36" s="359" t="n">
        <v>1</v>
      </c>
      <c r="L36" s="358" t="n">
        <v>1</v>
      </c>
      <c r="M36" s="359" t="n">
        <v>3</v>
      </c>
      <c r="N36" s="359" t="n">
        <v>3</v>
      </c>
      <c r="O36" s="359" t="n">
        <v>1</v>
      </c>
      <c r="P36" s="359" t="n">
        <v>1</v>
      </c>
      <c r="Q36" s="358" t="n">
        <v>1</v>
      </c>
      <c r="R36" s="359" t="n">
        <v>3</v>
      </c>
      <c r="S36" s="359" t="n">
        <v>5</v>
      </c>
      <c r="T36" s="359" t="n">
        <v>1</v>
      </c>
      <c r="U36" s="359" t="n">
        <v>3</v>
      </c>
      <c r="V36" s="358" t="n">
        <v>1</v>
      </c>
      <c r="W36" s="359" t="n">
        <v>5</v>
      </c>
      <c r="X36" s="359" t="n">
        <v>5</v>
      </c>
      <c r="Y36" s="359" t="n">
        <v>3</v>
      </c>
      <c r="Z36" s="359" t="n">
        <v>3</v>
      </c>
      <c r="AA36" s="358" t="n">
        <v>3</v>
      </c>
      <c r="AB36" s="359" t="n">
        <v>5</v>
      </c>
      <c r="AC36" s="359" t="n">
        <v>5</v>
      </c>
      <c r="AD36" s="359" t="n">
        <v>3</v>
      </c>
      <c r="AE36" s="359" t="n">
        <v>5</v>
      </c>
      <c r="AF36" s="358" t="n">
        <v>3</v>
      </c>
      <c r="AG36" s="359" t="n">
        <v>5</v>
      </c>
      <c r="AH36" s="359" t="n">
        <v>5</v>
      </c>
      <c r="AI36" s="359" t="n">
        <v>5</v>
      </c>
      <c r="AJ36" s="359" t="n">
        <v>5</v>
      </c>
      <c r="AK36" s="358" t="n">
        <v>3</v>
      </c>
      <c r="AL36" s="359" t="n">
        <v>5</v>
      </c>
      <c r="AM36" s="359" t="n">
        <v>5</v>
      </c>
      <c r="AN36" s="359" t="n">
        <v>5</v>
      </c>
      <c r="AO36" s="359" t="n">
        <v>5</v>
      </c>
      <c r="AP36" s="358" t="n">
        <v>1</v>
      </c>
      <c r="AQ36" s="359" t="n">
        <v>5</v>
      </c>
      <c r="AR36" s="359" t="n">
        <v>5</v>
      </c>
      <c r="AS36" s="359" t="n">
        <v>3</v>
      </c>
      <c r="AT36" s="359" t="n">
        <v>1</v>
      </c>
      <c r="AU36" s="358" t="n">
        <v>3</v>
      </c>
      <c r="AV36" s="359"/>
      <c r="AW36" s="359" t="n">
        <v>5</v>
      </c>
      <c r="AX36" s="359" t="n">
        <v>3</v>
      </c>
      <c r="AY36" s="359" t="n">
        <v>3</v>
      </c>
      <c r="AZ36" s="358" t="n">
        <v>1</v>
      </c>
      <c r="BA36" s="359"/>
      <c r="BB36" s="359" t="n">
        <v>5</v>
      </c>
      <c r="BC36" s="359" t="n">
        <v>1</v>
      </c>
      <c r="BD36" s="359" t="n">
        <v>1</v>
      </c>
      <c r="BE36" s="358" t="n">
        <v>1</v>
      </c>
      <c r="BF36" s="359" t="n">
        <v>5</v>
      </c>
      <c r="BG36" s="359" t="n">
        <v>5</v>
      </c>
      <c r="BH36" s="359" t="n">
        <v>1</v>
      </c>
      <c r="BI36" s="359" t="n">
        <v>1</v>
      </c>
      <c r="BJ36" s="358" t="n">
        <v>3</v>
      </c>
      <c r="BK36" s="359" t="n">
        <v>5</v>
      </c>
      <c r="BL36" s="359" t="n">
        <v>3</v>
      </c>
      <c r="BM36" s="359" t="n">
        <v>3</v>
      </c>
      <c r="BN36" s="359" t="n">
        <v>3</v>
      </c>
      <c r="BO36" s="358" t="n">
        <v>5</v>
      </c>
      <c r="BP36" s="359"/>
      <c r="BQ36" s="359" t="n">
        <v>5</v>
      </c>
      <c r="BR36" s="359" t="n">
        <v>3</v>
      </c>
      <c r="BS36" s="359" t="n">
        <v>5</v>
      </c>
      <c r="BT36" s="358" t="n">
        <v>3</v>
      </c>
      <c r="BU36" s="359" t="n">
        <v>5</v>
      </c>
      <c r="BV36" s="359" t="n">
        <v>5</v>
      </c>
      <c r="BW36" s="359" t="n">
        <v>3</v>
      </c>
      <c r="BX36" s="359" t="n">
        <v>5</v>
      </c>
      <c r="BY36" s="358" t="n">
        <v>5</v>
      </c>
      <c r="BZ36" s="358" t="n">
        <v>5</v>
      </c>
      <c r="CA36" s="359" t="n">
        <v>5</v>
      </c>
      <c r="CB36" s="359" t="n">
        <v>3</v>
      </c>
      <c r="CC36" s="359" t="n">
        <v>5</v>
      </c>
      <c r="CD36" s="358"/>
      <c r="CE36" s="359"/>
      <c r="CF36" s="359"/>
      <c r="CG36" s="359"/>
      <c r="CH36" s="359"/>
      <c r="CI36" s="358"/>
      <c r="CJ36" s="359"/>
      <c r="CK36" s="359"/>
      <c r="CL36" s="359"/>
      <c r="CM36" s="359"/>
      <c r="CN36" s="358"/>
      <c r="CO36" s="359"/>
      <c r="CP36" s="359"/>
      <c r="CQ36" s="359"/>
      <c r="CR36" s="359"/>
      <c r="CS36" s="358"/>
      <c r="CT36" s="359"/>
      <c r="CU36" s="359"/>
      <c r="CV36" s="359"/>
      <c r="CW36" s="359"/>
      <c r="CX36" s="358"/>
      <c r="CY36" s="359"/>
      <c r="CZ36" s="359"/>
      <c r="DA36" s="359"/>
      <c r="DB36" s="359"/>
      <c r="DC36" s="358"/>
      <c r="DD36" s="359"/>
      <c r="DE36" s="359"/>
      <c r="DF36" s="359"/>
      <c r="DG36" s="359"/>
      <c r="DH36" s="358"/>
      <c r="DI36" s="359"/>
      <c r="DJ36" s="359"/>
      <c r="DK36" s="359"/>
      <c r="DL36" s="359"/>
      <c r="DM36" s="358"/>
      <c r="DN36" s="359"/>
      <c r="DO36" s="359"/>
      <c r="DP36" s="359"/>
      <c r="DQ36" s="359"/>
      <c r="DR36" s="358"/>
      <c r="DS36" s="359"/>
      <c r="DT36" s="359"/>
      <c r="DU36" s="359"/>
      <c r="DV36" s="359"/>
      <c r="DW36" s="358"/>
      <c r="DX36" s="359"/>
      <c r="DY36" s="359"/>
      <c r="DZ36" s="359"/>
      <c r="EA36" s="359"/>
      <c r="EB36" s="358"/>
      <c r="EC36" s="359"/>
      <c r="ED36" s="359"/>
      <c r="EE36" s="359"/>
      <c r="EF36" s="359"/>
      <c r="EG36" s="358"/>
      <c r="EH36" s="359"/>
      <c r="EI36" s="359"/>
      <c r="EJ36" s="359"/>
      <c r="EK36" s="359"/>
      <c r="EL36" s="358"/>
      <c r="EM36" s="359"/>
      <c r="EN36" s="359"/>
      <c r="EO36" s="359"/>
      <c r="EP36" s="359"/>
      <c r="EQ36" s="358"/>
      <c r="ER36" s="359"/>
      <c r="ES36" s="359"/>
      <c r="ET36" s="359"/>
      <c r="EU36" s="359"/>
      <c r="EV36" s="358"/>
      <c r="EW36" s="359"/>
      <c r="EX36" s="359"/>
      <c r="EY36" s="359"/>
      <c r="EZ36" s="359"/>
      <c r="FA36" s="358"/>
      <c r="FB36" s="359"/>
      <c r="FC36" s="359"/>
      <c r="FD36" s="359"/>
      <c r="FE36" s="359"/>
      <c r="FF36" s="358"/>
      <c r="FG36" s="359"/>
      <c r="FH36" s="359"/>
      <c r="FI36" s="359"/>
      <c r="FJ36" s="359"/>
      <c r="FK36" s="358"/>
      <c r="FL36" s="359"/>
      <c r="FM36" s="359"/>
      <c r="FN36" s="359"/>
      <c r="FO36" s="359"/>
      <c r="FP36" s="358"/>
      <c r="FQ36" s="359"/>
      <c r="FR36" s="359"/>
      <c r="FS36" s="359"/>
      <c r="FT36" s="359"/>
      <c r="FU36" s="358"/>
      <c r="FV36" s="359"/>
      <c r="FW36" s="359"/>
      <c r="FX36" s="359"/>
      <c r="FY36" s="359"/>
      <c r="FZ36" s="358"/>
      <c r="GA36" s="359"/>
      <c r="GB36" s="359"/>
      <c r="GC36" s="359"/>
      <c r="GD36" s="359"/>
      <c r="GE36" s="358"/>
      <c r="GF36" s="359"/>
      <c r="GG36" s="359"/>
      <c r="GH36" s="359"/>
      <c r="GI36" s="359"/>
      <c r="GJ36" s="358"/>
      <c r="GK36" s="359"/>
      <c r="GL36" s="359"/>
      <c r="GM36" s="359"/>
      <c r="GN36" s="359"/>
      <c r="GO36" s="358"/>
      <c r="GP36" s="359"/>
      <c r="GQ36" s="359"/>
      <c r="GR36" s="359"/>
      <c r="GS36" s="359"/>
      <c r="GT36" s="358"/>
      <c r="GU36" s="359"/>
      <c r="GV36" s="359"/>
      <c r="GW36" s="359"/>
      <c r="GX36" s="359"/>
      <c r="GY36" s="358"/>
      <c r="GZ36" s="359"/>
      <c r="HA36" s="359"/>
      <c r="HB36" s="359"/>
      <c r="HC36" s="359"/>
      <c r="HD36" s="358"/>
      <c r="HE36" s="359"/>
      <c r="HF36" s="359"/>
      <c r="HG36" s="359"/>
      <c r="HH36" s="359"/>
      <c r="HI36" s="358"/>
      <c r="HJ36" s="359"/>
      <c r="HK36" s="359"/>
      <c r="HL36" s="359"/>
      <c r="HM36" s="359"/>
      <c r="HN36" s="358"/>
      <c r="HO36" s="359"/>
      <c r="HP36" s="359"/>
      <c r="HQ36" s="359"/>
      <c r="HR36" s="359"/>
      <c r="HS36" s="358"/>
      <c r="HT36" s="359"/>
      <c r="HU36" s="359"/>
      <c r="HV36" s="359"/>
      <c r="HW36" s="359"/>
      <c r="HX36" s="358"/>
      <c r="HY36" s="359"/>
      <c r="HZ36" s="359"/>
      <c r="IA36" s="359"/>
      <c r="IB36" s="359"/>
      <c r="IC36" s="358"/>
      <c r="ID36" s="359"/>
      <c r="IE36" s="359"/>
      <c r="IF36" s="359"/>
      <c r="IG36" s="359"/>
      <c r="IH36" s="358"/>
      <c r="II36" s="359"/>
      <c r="IJ36" s="359"/>
      <c r="IK36" s="359"/>
      <c r="IL36" s="359"/>
      <c r="IM36" s="358"/>
      <c r="IN36" s="359"/>
      <c r="IO36" s="359"/>
      <c r="IP36" s="359"/>
      <c r="IQ36" s="359"/>
      <c r="IR36" s="358"/>
      <c r="IS36" s="359"/>
      <c r="IT36" s="359"/>
      <c r="IU36" s="359"/>
      <c r="IV36" s="359"/>
      <c r="IW36" s="358"/>
      <c r="IX36" s="359"/>
      <c r="IY36" s="359"/>
      <c r="IZ36" s="359"/>
      <c r="JA36" s="359"/>
      <c r="JB36" s="358"/>
      <c r="JC36" s="359"/>
      <c r="JD36" s="359"/>
      <c r="JE36" s="359"/>
      <c r="JF36" s="359"/>
      <c r="JG36" s="358"/>
      <c r="JH36" s="359"/>
      <c r="JI36" s="359"/>
      <c r="JJ36" s="359"/>
      <c r="JK36" s="359"/>
      <c r="JL36" s="358"/>
      <c r="JM36" s="359"/>
      <c r="JN36" s="359"/>
      <c r="JO36" s="359"/>
      <c r="JP36" s="359"/>
      <c r="JQ36" s="358"/>
      <c r="JR36" s="359"/>
      <c r="JS36" s="359"/>
      <c r="JT36" s="359"/>
      <c r="JU36" s="359"/>
      <c r="JV36" s="358"/>
      <c r="JW36" s="359"/>
      <c r="JX36" s="359"/>
      <c r="JY36" s="359"/>
      <c r="JZ36" s="359"/>
      <c r="KA36" s="358"/>
      <c r="KB36" s="359"/>
      <c r="KC36" s="359"/>
      <c r="KD36" s="359"/>
      <c r="KE36" s="359"/>
      <c r="KF36" s="358"/>
      <c r="KG36" s="359"/>
      <c r="KH36" s="359"/>
      <c r="KI36" s="359"/>
      <c r="KJ36" s="359"/>
      <c r="KK36" s="358"/>
      <c r="KL36" s="359"/>
      <c r="KM36" s="359"/>
      <c r="KN36" s="359"/>
      <c r="KO36" s="359"/>
      <c r="KP36" s="358"/>
      <c r="KQ36" s="359"/>
      <c r="KR36" s="359"/>
      <c r="KS36" s="359"/>
      <c r="KT36" s="359"/>
      <c r="KU36" s="358"/>
      <c r="KV36" s="359"/>
      <c r="KW36" s="359"/>
      <c r="KX36" s="359"/>
      <c r="KY36" s="359"/>
      <c r="KZ36" s="358"/>
      <c r="LA36" s="359"/>
      <c r="LB36" s="359"/>
      <c r="LC36" s="359"/>
      <c r="LD36" s="359"/>
      <c r="LE36" s="358"/>
      <c r="LF36" s="359"/>
      <c r="LG36" s="359"/>
      <c r="LH36" s="359"/>
      <c r="LI36" s="359"/>
      <c r="LJ36" s="358"/>
      <c r="LK36" s="359"/>
      <c r="LL36" s="359"/>
      <c r="LM36" s="359"/>
      <c r="LN36" s="359"/>
      <c r="LO36" s="358"/>
      <c r="LP36" s="359"/>
      <c r="LQ36" s="359"/>
      <c r="LR36" s="359"/>
      <c r="LS36" s="359"/>
      <c r="LT36" s="358"/>
      <c r="LU36" s="359"/>
      <c r="LV36" s="359"/>
      <c r="LW36" s="359"/>
      <c r="LX36" s="359"/>
      <c r="LY36" s="358"/>
      <c r="LZ36" s="359"/>
      <c r="MA36" s="359"/>
      <c r="MB36" s="359"/>
      <c r="MC36" s="359"/>
      <c r="MD36" s="358"/>
      <c r="ME36" s="359"/>
      <c r="MF36" s="359"/>
      <c r="MG36" s="359"/>
      <c r="MH36" s="359"/>
      <c r="MI36" s="358"/>
      <c r="MJ36" s="359"/>
      <c r="MK36" s="359"/>
      <c r="ML36" s="359"/>
      <c r="MM36" s="359"/>
      <c r="MN36" s="358"/>
      <c r="MO36" s="359"/>
      <c r="MP36" s="359"/>
      <c r="MQ36" s="359"/>
      <c r="MR36" s="359"/>
      <c r="MS36" s="358"/>
      <c r="MT36" s="359"/>
      <c r="MU36" s="359"/>
      <c r="MV36" s="359"/>
      <c r="MW36" s="359"/>
      <c r="MX36" s="358"/>
      <c r="MY36" s="359"/>
      <c r="MZ36" s="359"/>
      <c r="NA36" s="359"/>
      <c r="NB36" s="359"/>
      <c r="NC36" s="358"/>
      <c r="ND36" s="359"/>
      <c r="NE36" s="359"/>
      <c r="NF36" s="359"/>
      <c r="NG36" s="359"/>
      <c r="NH36" s="358"/>
      <c r="NI36" s="359"/>
      <c r="NJ36" s="359"/>
      <c r="NK36" s="359"/>
      <c r="NL36" s="359"/>
      <c r="NM36" s="358"/>
      <c r="NN36" s="359"/>
      <c r="NO36" s="359"/>
      <c r="NP36" s="359"/>
      <c r="NQ36" s="359"/>
      <c r="NR36" s="358"/>
      <c r="NS36" s="359"/>
      <c r="NT36" s="359"/>
      <c r="NU36" s="359"/>
      <c r="NV36" s="359"/>
      <c r="NW36" s="358"/>
      <c r="NX36" s="359"/>
      <c r="NY36" s="359"/>
      <c r="NZ36" s="359"/>
      <c r="OA36" s="359"/>
      <c r="OB36" s="358"/>
      <c r="OC36" s="359"/>
      <c r="OD36" s="359"/>
      <c r="OE36" s="359"/>
      <c r="OF36" s="359"/>
      <c r="OG36" s="358"/>
      <c r="OH36" s="359"/>
      <c r="OI36" s="359"/>
      <c r="OJ36" s="359"/>
      <c r="OK36" s="359"/>
      <c r="OL36" s="358"/>
      <c r="OM36" s="359"/>
      <c r="ON36" s="359"/>
      <c r="OO36" s="359"/>
      <c r="OP36" s="359"/>
      <c r="OQ36" s="358"/>
      <c r="OR36" s="359"/>
      <c r="OS36" s="359"/>
      <c r="OT36" s="359"/>
      <c r="OU36" s="359"/>
      <c r="OV36" s="358"/>
      <c r="OW36" s="359"/>
      <c r="OX36" s="359"/>
      <c r="OY36" s="359"/>
      <c r="OZ36" s="359"/>
      <c r="PA36" s="358"/>
      <c r="PB36" s="359"/>
      <c r="PC36" s="359"/>
      <c r="PD36" s="359"/>
      <c r="PE36" s="359"/>
      <c r="PF36" s="358"/>
      <c r="PG36" s="359"/>
      <c r="PH36" s="359"/>
      <c r="PI36" s="359"/>
      <c r="PJ36" s="359"/>
      <c r="PK36" s="358"/>
      <c r="PL36" s="359"/>
      <c r="PM36" s="359"/>
      <c r="PN36" s="359"/>
      <c r="PO36" s="359"/>
      <c r="PP36" s="358"/>
      <c r="PQ36" s="359"/>
      <c r="PR36" s="359"/>
      <c r="PS36" s="359"/>
      <c r="PT36" s="359"/>
      <c r="PU36" s="358"/>
      <c r="PV36" s="359"/>
      <c r="PW36" s="359"/>
      <c r="PX36" s="359"/>
      <c r="PY36" s="359"/>
      <c r="PZ36" s="358"/>
      <c r="QA36" s="359"/>
      <c r="QB36" s="359"/>
      <c r="QC36" s="359"/>
      <c r="QD36" s="359"/>
      <c r="QE36" s="358"/>
      <c r="QF36" s="359"/>
      <c r="QG36" s="359"/>
      <c r="QH36" s="359"/>
      <c r="QI36" s="359"/>
      <c r="QJ36" s="358"/>
      <c r="QK36" s="359"/>
      <c r="QL36" s="359"/>
      <c r="QM36" s="359"/>
      <c r="QN36" s="359"/>
      <c r="QO36" s="358"/>
      <c r="QP36" s="359"/>
      <c r="QQ36" s="359"/>
      <c r="QR36" s="359"/>
      <c r="QS36" s="359"/>
      <c r="QT36" s="358"/>
      <c r="QU36" s="359"/>
      <c r="QV36" s="359"/>
      <c r="QW36" s="359"/>
      <c r="QX36" s="359"/>
      <c r="QY36" s="358"/>
      <c r="QZ36" s="359"/>
      <c r="RA36" s="359"/>
      <c r="RB36" s="359"/>
      <c r="RC36" s="359"/>
      <c r="RD36" s="358"/>
      <c r="RE36" s="359"/>
      <c r="RF36" s="359"/>
      <c r="RG36" s="359"/>
      <c r="RH36" s="359"/>
      <c r="RI36" s="358"/>
      <c r="RJ36" s="359"/>
      <c r="RK36" s="359"/>
      <c r="RL36" s="359"/>
      <c r="RM36" s="359"/>
      <c r="RN36" s="358"/>
      <c r="RO36" s="359"/>
      <c r="RP36" s="359"/>
      <c r="RQ36" s="359"/>
      <c r="RR36" s="359"/>
      <c r="RS36" s="358"/>
      <c r="RT36" s="359"/>
      <c r="RU36" s="359"/>
      <c r="RV36" s="359"/>
      <c r="RW36" s="359"/>
      <c r="RX36" s="358"/>
      <c r="RY36" s="359"/>
      <c r="RZ36" s="359"/>
      <c r="SA36" s="359"/>
      <c r="SB36" s="359"/>
      <c r="SC36" s="358"/>
      <c r="SD36" s="359"/>
      <c r="SE36" s="359"/>
      <c r="SF36" s="359"/>
      <c r="SG36" s="359"/>
      <c r="SH36" s="358"/>
      <c r="SI36" s="359"/>
      <c r="SJ36" s="359"/>
      <c r="SK36" s="359"/>
      <c r="SL36" s="359"/>
      <c r="SM36" s="358"/>
      <c r="SN36" s="359"/>
      <c r="SO36" s="359"/>
      <c r="SP36" s="359"/>
      <c r="SQ36" s="359"/>
      <c r="SR36" s="358"/>
      <c r="SS36" s="359"/>
      <c r="ST36" s="359"/>
      <c r="SU36" s="359"/>
      <c r="SV36" s="359"/>
      <c r="SW36" s="358"/>
      <c r="SX36" s="359"/>
      <c r="SY36" s="359"/>
      <c r="SZ36" s="359"/>
      <c r="TA36" s="359"/>
      <c r="TB36" s="354" t="n">
        <f aca="false">+AVERAGE(B36:IB36)</f>
        <v>3.41558441558442</v>
      </c>
    </row>
    <row r="37" customFormat="false" ht="15.5" hidden="false" customHeight="false" outlineLevel="0" collapsed="false">
      <c r="A37" s="356" t="s">
        <v>521</v>
      </c>
      <c r="B37" s="358" t="n">
        <v>3</v>
      </c>
      <c r="C37" s="359" t="n">
        <v>3</v>
      </c>
      <c r="D37" s="359" t="n">
        <v>5</v>
      </c>
      <c r="E37" s="359" t="n">
        <v>3</v>
      </c>
      <c r="F37" s="359" t="n">
        <v>3</v>
      </c>
      <c r="G37" s="358" t="n">
        <v>1</v>
      </c>
      <c r="H37" s="359" t="n">
        <v>3</v>
      </c>
      <c r="I37" s="359" t="n">
        <v>5</v>
      </c>
      <c r="J37" s="359" t="n">
        <v>1</v>
      </c>
      <c r="K37" s="359" t="n">
        <v>1</v>
      </c>
      <c r="L37" s="358" t="n">
        <v>1</v>
      </c>
      <c r="M37" s="359" t="n">
        <v>3</v>
      </c>
      <c r="N37" s="359" t="n">
        <v>3</v>
      </c>
      <c r="O37" s="359" t="n">
        <v>1</v>
      </c>
      <c r="P37" s="359" t="n">
        <v>1</v>
      </c>
      <c r="Q37" s="358" t="n">
        <v>1</v>
      </c>
      <c r="R37" s="359" t="n">
        <v>3</v>
      </c>
      <c r="S37" s="359" t="n">
        <v>5</v>
      </c>
      <c r="T37" s="359" t="n">
        <v>1</v>
      </c>
      <c r="U37" s="359" t="n">
        <v>3</v>
      </c>
      <c r="V37" s="358" t="n">
        <v>1</v>
      </c>
      <c r="W37" s="359" t="n">
        <v>5</v>
      </c>
      <c r="X37" s="359" t="n">
        <v>5</v>
      </c>
      <c r="Y37" s="359" t="n">
        <v>3</v>
      </c>
      <c r="Z37" s="359" t="n">
        <v>3</v>
      </c>
      <c r="AA37" s="358" t="n">
        <v>3</v>
      </c>
      <c r="AB37" s="359" t="n">
        <v>5</v>
      </c>
      <c r="AC37" s="359" t="n">
        <v>5</v>
      </c>
      <c r="AD37" s="359" t="n">
        <v>3</v>
      </c>
      <c r="AE37" s="359" t="n">
        <v>5</v>
      </c>
      <c r="AF37" s="358" t="n">
        <v>3</v>
      </c>
      <c r="AG37" s="359" t="n">
        <v>5</v>
      </c>
      <c r="AH37" s="359" t="n">
        <v>5</v>
      </c>
      <c r="AI37" s="359" t="n">
        <v>5</v>
      </c>
      <c r="AJ37" s="359" t="n">
        <v>5</v>
      </c>
      <c r="AK37" s="358" t="n">
        <v>3</v>
      </c>
      <c r="AL37" s="359" t="n">
        <v>5</v>
      </c>
      <c r="AM37" s="359" t="n">
        <v>5</v>
      </c>
      <c r="AN37" s="359" t="n">
        <v>5</v>
      </c>
      <c r="AO37" s="359" t="n">
        <v>5</v>
      </c>
      <c r="AP37" s="358" t="n">
        <v>1</v>
      </c>
      <c r="AQ37" s="359" t="n">
        <v>5</v>
      </c>
      <c r="AR37" s="359" t="n">
        <v>5</v>
      </c>
      <c r="AS37" s="359" t="n">
        <v>3</v>
      </c>
      <c r="AT37" s="359" t="n">
        <v>1</v>
      </c>
      <c r="AU37" s="358" t="n">
        <v>3</v>
      </c>
      <c r="AV37" s="359"/>
      <c r="AW37" s="359" t="n">
        <v>5</v>
      </c>
      <c r="AX37" s="359" t="n">
        <v>3</v>
      </c>
      <c r="AY37" s="359" t="n">
        <v>3</v>
      </c>
      <c r="AZ37" s="358" t="n">
        <v>1</v>
      </c>
      <c r="BA37" s="359"/>
      <c r="BB37" s="359" t="n">
        <v>5</v>
      </c>
      <c r="BC37" s="359" t="n">
        <v>1</v>
      </c>
      <c r="BD37" s="359" t="n">
        <v>1</v>
      </c>
      <c r="BE37" s="358" t="n">
        <v>1</v>
      </c>
      <c r="BF37" s="359" t="n">
        <v>5</v>
      </c>
      <c r="BG37" s="359" t="n">
        <v>5</v>
      </c>
      <c r="BH37" s="359" t="n">
        <v>1</v>
      </c>
      <c r="BI37" s="359" t="n">
        <v>1</v>
      </c>
      <c r="BJ37" s="358" t="n">
        <v>3</v>
      </c>
      <c r="BK37" s="359" t="n">
        <v>5</v>
      </c>
      <c r="BL37" s="359" t="n">
        <v>3</v>
      </c>
      <c r="BM37" s="359" t="n">
        <v>3</v>
      </c>
      <c r="BN37" s="359" t="n">
        <v>3</v>
      </c>
      <c r="BO37" s="358" t="n">
        <v>5</v>
      </c>
      <c r="BP37" s="359"/>
      <c r="BQ37" s="359" t="n">
        <v>5</v>
      </c>
      <c r="BR37" s="359" t="n">
        <v>3</v>
      </c>
      <c r="BS37" s="359" t="n">
        <v>5</v>
      </c>
      <c r="BT37" s="358" t="n">
        <v>3</v>
      </c>
      <c r="BU37" s="359" t="n">
        <v>5</v>
      </c>
      <c r="BV37" s="359" t="n">
        <v>5</v>
      </c>
      <c r="BW37" s="359" t="n">
        <v>3</v>
      </c>
      <c r="BX37" s="359" t="n">
        <v>5</v>
      </c>
      <c r="BY37" s="358" t="n">
        <v>5</v>
      </c>
      <c r="BZ37" s="358" t="n">
        <v>5</v>
      </c>
      <c r="CA37" s="359" t="n">
        <v>5</v>
      </c>
      <c r="CB37" s="359" t="n">
        <v>3</v>
      </c>
      <c r="CC37" s="359" t="n">
        <v>5</v>
      </c>
      <c r="CD37" s="358"/>
      <c r="CE37" s="359"/>
      <c r="CF37" s="359"/>
      <c r="CG37" s="359"/>
      <c r="CH37" s="359"/>
      <c r="CI37" s="358"/>
      <c r="CJ37" s="359"/>
      <c r="CK37" s="359"/>
      <c r="CL37" s="359"/>
      <c r="CM37" s="359"/>
      <c r="CN37" s="358"/>
      <c r="CO37" s="359"/>
      <c r="CP37" s="359"/>
      <c r="CQ37" s="359"/>
      <c r="CR37" s="359"/>
      <c r="CS37" s="358"/>
      <c r="CT37" s="359"/>
      <c r="CU37" s="359"/>
      <c r="CV37" s="359"/>
      <c r="CW37" s="359"/>
      <c r="CX37" s="358"/>
      <c r="CY37" s="359"/>
      <c r="CZ37" s="359"/>
      <c r="DA37" s="359"/>
      <c r="DB37" s="359"/>
      <c r="DC37" s="358"/>
      <c r="DD37" s="359"/>
      <c r="DE37" s="359"/>
      <c r="DF37" s="359"/>
      <c r="DG37" s="359"/>
      <c r="DH37" s="358"/>
      <c r="DI37" s="359"/>
      <c r="DJ37" s="359"/>
      <c r="DK37" s="359"/>
      <c r="DL37" s="359"/>
      <c r="DM37" s="358"/>
      <c r="DN37" s="359"/>
      <c r="DO37" s="359"/>
      <c r="DP37" s="359"/>
      <c r="DQ37" s="359"/>
      <c r="DR37" s="358"/>
      <c r="DS37" s="359"/>
      <c r="DT37" s="359"/>
      <c r="DU37" s="359"/>
      <c r="DV37" s="359"/>
      <c r="DW37" s="358"/>
      <c r="DX37" s="359"/>
      <c r="DY37" s="359"/>
      <c r="DZ37" s="359"/>
      <c r="EA37" s="359"/>
      <c r="EB37" s="358"/>
      <c r="EC37" s="359"/>
      <c r="ED37" s="359"/>
      <c r="EE37" s="359"/>
      <c r="EF37" s="359"/>
      <c r="EG37" s="358"/>
      <c r="EH37" s="359"/>
      <c r="EI37" s="359"/>
      <c r="EJ37" s="359"/>
      <c r="EK37" s="359"/>
      <c r="EL37" s="358"/>
      <c r="EM37" s="359"/>
      <c r="EN37" s="359"/>
      <c r="EO37" s="359"/>
      <c r="EP37" s="359"/>
      <c r="EQ37" s="358"/>
      <c r="ER37" s="359"/>
      <c r="ES37" s="359"/>
      <c r="ET37" s="359"/>
      <c r="EU37" s="359"/>
      <c r="EV37" s="358"/>
      <c r="EW37" s="359"/>
      <c r="EX37" s="359"/>
      <c r="EY37" s="359"/>
      <c r="EZ37" s="359"/>
      <c r="FA37" s="358"/>
      <c r="FB37" s="359"/>
      <c r="FC37" s="359"/>
      <c r="FD37" s="359"/>
      <c r="FE37" s="359"/>
      <c r="FF37" s="358"/>
      <c r="FG37" s="359"/>
      <c r="FH37" s="359"/>
      <c r="FI37" s="359"/>
      <c r="FJ37" s="359"/>
      <c r="FK37" s="358"/>
      <c r="FL37" s="359"/>
      <c r="FM37" s="359"/>
      <c r="FN37" s="359"/>
      <c r="FO37" s="359"/>
      <c r="FP37" s="358"/>
      <c r="FQ37" s="359"/>
      <c r="FR37" s="359"/>
      <c r="FS37" s="359"/>
      <c r="FT37" s="359"/>
      <c r="FU37" s="358"/>
      <c r="FV37" s="359"/>
      <c r="FW37" s="359"/>
      <c r="FX37" s="359"/>
      <c r="FY37" s="359"/>
      <c r="FZ37" s="358"/>
      <c r="GA37" s="359"/>
      <c r="GB37" s="359"/>
      <c r="GC37" s="359"/>
      <c r="GD37" s="359"/>
      <c r="GE37" s="358"/>
      <c r="GF37" s="359"/>
      <c r="GG37" s="359"/>
      <c r="GH37" s="359"/>
      <c r="GI37" s="359"/>
      <c r="GJ37" s="358"/>
      <c r="GK37" s="359"/>
      <c r="GL37" s="359"/>
      <c r="GM37" s="359"/>
      <c r="GN37" s="359"/>
      <c r="GO37" s="358"/>
      <c r="GP37" s="359"/>
      <c r="GQ37" s="359"/>
      <c r="GR37" s="359"/>
      <c r="GS37" s="359"/>
      <c r="GT37" s="358"/>
      <c r="GU37" s="359"/>
      <c r="GV37" s="359"/>
      <c r="GW37" s="359"/>
      <c r="GX37" s="359"/>
      <c r="GY37" s="358"/>
      <c r="GZ37" s="359"/>
      <c r="HA37" s="359"/>
      <c r="HB37" s="359"/>
      <c r="HC37" s="359"/>
      <c r="HD37" s="358"/>
      <c r="HE37" s="359"/>
      <c r="HF37" s="359"/>
      <c r="HG37" s="359"/>
      <c r="HH37" s="359"/>
      <c r="HI37" s="358"/>
      <c r="HJ37" s="359"/>
      <c r="HK37" s="359"/>
      <c r="HL37" s="359"/>
      <c r="HM37" s="359"/>
      <c r="HN37" s="358"/>
      <c r="HO37" s="359"/>
      <c r="HP37" s="359"/>
      <c r="HQ37" s="359"/>
      <c r="HR37" s="359"/>
      <c r="HS37" s="358"/>
      <c r="HT37" s="359"/>
      <c r="HU37" s="359"/>
      <c r="HV37" s="359"/>
      <c r="HW37" s="359"/>
      <c r="HX37" s="358"/>
      <c r="HY37" s="359"/>
      <c r="HZ37" s="359"/>
      <c r="IA37" s="359"/>
      <c r="IB37" s="359"/>
      <c r="IC37" s="358"/>
      <c r="ID37" s="359"/>
      <c r="IE37" s="359"/>
      <c r="IF37" s="359"/>
      <c r="IG37" s="359"/>
      <c r="IH37" s="358"/>
      <c r="II37" s="359"/>
      <c r="IJ37" s="359"/>
      <c r="IK37" s="359"/>
      <c r="IL37" s="359"/>
      <c r="IM37" s="358"/>
      <c r="IN37" s="359"/>
      <c r="IO37" s="359"/>
      <c r="IP37" s="359"/>
      <c r="IQ37" s="359"/>
      <c r="IR37" s="358"/>
      <c r="IS37" s="359"/>
      <c r="IT37" s="359"/>
      <c r="IU37" s="359"/>
      <c r="IV37" s="359"/>
      <c r="IW37" s="358"/>
      <c r="IX37" s="359"/>
      <c r="IY37" s="359"/>
      <c r="IZ37" s="359"/>
      <c r="JA37" s="359"/>
      <c r="JB37" s="358"/>
      <c r="JC37" s="359"/>
      <c r="JD37" s="359"/>
      <c r="JE37" s="359"/>
      <c r="JF37" s="359"/>
      <c r="JG37" s="358"/>
      <c r="JH37" s="359"/>
      <c r="JI37" s="359"/>
      <c r="JJ37" s="359"/>
      <c r="JK37" s="359"/>
      <c r="JL37" s="358"/>
      <c r="JM37" s="359"/>
      <c r="JN37" s="359"/>
      <c r="JO37" s="359"/>
      <c r="JP37" s="359"/>
      <c r="JQ37" s="358"/>
      <c r="JR37" s="359"/>
      <c r="JS37" s="359"/>
      <c r="JT37" s="359"/>
      <c r="JU37" s="359"/>
      <c r="JV37" s="358"/>
      <c r="JW37" s="359"/>
      <c r="JX37" s="359"/>
      <c r="JY37" s="359"/>
      <c r="JZ37" s="359"/>
      <c r="KA37" s="358"/>
      <c r="KB37" s="359"/>
      <c r="KC37" s="359"/>
      <c r="KD37" s="359"/>
      <c r="KE37" s="359"/>
      <c r="KF37" s="358"/>
      <c r="KG37" s="359"/>
      <c r="KH37" s="359"/>
      <c r="KI37" s="359"/>
      <c r="KJ37" s="359"/>
      <c r="KK37" s="358"/>
      <c r="KL37" s="359"/>
      <c r="KM37" s="359"/>
      <c r="KN37" s="359"/>
      <c r="KO37" s="359"/>
      <c r="KP37" s="358"/>
      <c r="KQ37" s="359"/>
      <c r="KR37" s="359"/>
      <c r="KS37" s="359"/>
      <c r="KT37" s="359"/>
      <c r="KU37" s="358"/>
      <c r="KV37" s="359"/>
      <c r="KW37" s="359"/>
      <c r="KX37" s="359"/>
      <c r="KY37" s="359"/>
      <c r="KZ37" s="358"/>
      <c r="LA37" s="359"/>
      <c r="LB37" s="359"/>
      <c r="LC37" s="359"/>
      <c r="LD37" s="359"/>
      <c r="LE37" s="358"/>
      <c r="LF37" s="359"/>
      <c r="LG37" s="359"/>
      <c r="LH37" s="359"/>
      <c r="LI37" s="359"/>
      <c r="LJ37" s="358"/>
      <c r="LK37" s="359"/>
      <c r="LL37" s="359"/>
      <c r="LM37" s="359"/>
      <c r="LN37" s="359"/>
      <c r="LO37" s="358"/>
      <c r="LP37" s="359"/>
      <c r="LQ37" s="359"/>
      <c r="LR37" s="359"/>
      <c r="LS37" s="359"/>
      <c r="LT37" s="358"/>
      <c r="LU37" s="359"/>
      <c r="LV37" s="359"/>
      <c r="LW37" s="359"/>
      <c r="LX37" s="359"/>
      <c r="LY37" s="358"/>
      <c r="LZ37" s="359"/>
      <c r="MA37" s="359"/>
      <c r="MB37" s="359"/>
      <c r="MC37" s="359"/>
      <c r="MD37" s="358"/>
      <c r="ME37" s="359"/>
      <c r="MF37" s="359"/>
      <c r="MG37" s="359"/>
      <c r="MH37" s="359"/>
      <c r="MI37" s="358"/>
      <c r="MJ37" s="359"/>
      <c r="MK37" s="359"/>
      <c r="ML37" s="359"/>
      <c r="MM37" s="359"/>
      <c r="MN37" s="358"/>
      <c r="MO37" s="359"/>
      <c r="MP37" s="359"/>
      <c r="MQ37" s="359"/>
      <c r="MR37" s="359"/>
      <c r="MS37" s="358"/>
      <c r="MT37" s="359"/>
      <c r="MU37" s="359"/>
      <c r="MV37" s="359"/>
      <c r="MW37" s="359"/>
      <c r="MX37" s="358"/>
      <c r="MY37" s="359"/>
      <c r="MZ37" s="359"/>
      <c r="NA37" s="359"/>
      <c r="NB37" s="359"/>
      <c r="NC37" s="358"/>
      <c r="ND37" s="359"/>
      <c r="NE37" s="359"/>
      <c r="NF37" s="359"/>
      <c r="NG37" s="359"/>
      <c r="NH37" s="358"/>
      <c r="NI37" s="359"/>
      <c r="NJ37" s="359"/>
      <c r="NK37" s="359"/>
      <c r="NL37" s="359"/>
      <c r="NM37" s="358"/>
      <c r="NN37" s="359"/>
      <c r="NO37" s="359"/>
      <c r="NP37" s="359"/>
      <c r="NQ37" s="359"/>
      <c r="NR37" s="358"/>
      <c r="NS37" s="359"/>
      <c r="NT37" s="359"/>
      <c r="NU37" s="359"/>
      <c r="NV37" s="359"/>
      <c r="NW37" s="358"/>
      <c r="NX37" s="359"/>
      <c r="NY37" s="359"/>
      <c r="NZ37" s="359"/>
      <c r="OA37" s="359"/>
      <c r="OB37" s="358"/>
      <c r="OC37" s="359"/>
      <c r="OD37" s="359"/>
      <c r="OE37" s="359"/>
      <c r="OF37" s="359"/>
      <c r="OG37" s="358"/>
      <c r="OH37" s="359"/>
      <c r="OI37" s="359"/>
      <c r="OJ37" s="359"/>
      <c r="OK37" s="359"/>
      <c r="OL37" s="358"/>
      <c r="OM37" s="359"/>
      <c r="ON37" s="359"/>
      <c r="OO37" s="359"/>
      <c r="OP37" s="359"/>
      <c r="OQ37" s="358"/>
      <c r="OR37" s="359"/>
      <c r="OS37" s="359"/>
      <c r="OT37" s="359"/>
      <c r="OU37" s="359"/>
      <c r="OV37" s="358"/>
      <c r="OW37" s="359"/>
      <c r="OX37" s="359"/>
      <c r="OY37" s="359"/>
      <c r="OZ37" s="359"/>
      <c r="PA37" s="358"/>
      <c r="PB37" s="359"/>
      <c r="PC37" s="359"/>
      <c r="PD37" s="359"/>
      <c r="PE37" s="359"/>
      <c r="PF37" s="358"/>
      <c r="PG37" s="359"/>
      <c r="PH37" s="359"/>
      <c r="PI37" s="359"/>
      <c r="PJ37" s="359"/>
      <c r="PK37" s="358"/>
      <c r="PL37" s="359"/>
      <c r="PM37" s="359"/>
      <c r="PN37" s="359"/>
      <c r="PO37" s="359"/>
      <c r="PP37" s="358"/>
      <c r="PQ37" s="359"/>
      <c r="PR37" s="359"/>
      <c r="PS37" s="359"/>
      <c r="PT37" s="359"/>
      <c r="PU37" s="358"/>
      <c r="PV37" s="359"/>
      <c r="PW37" s="359"/>
      <c r="PX37" s="359"/>
      <c r="PY37" s="359"/>
      <c r="PZ37" s="358"/>
      <c r="QA37" s="359"/>
      <c r="QB37" s="359"/>
      <c r="QC37" s="359"/>
      <c r="QD37" s="359"/>
      <c r="QE37" s="358"/>
      <c r="QF37" s="359"/>
      <c r="QG37" s="359"/>
      <c r="QH37" s="359"/>
      <c r="QI37" s="359"/>
      <c r="QJ37" s="358"/>
      <c r="QK37" s="359"/>
      <c r="QL37" s="359"/>
      <c r="QM37" s="359"/>
      <c r="QN37" s="359"/>
      <c r="QO37" s="358"/>
      <c r="QP37" s="359"/>
      <c r="QQ37" s="359"/>
      <c r="QR37" s="359"/>
      <c r="QS37" s="359"/>
      <c r="QT37" s="358"/>
      <c r="QU37" s="359"/>
      <c r="QV37" s="359"/>
      <c r="QW37" s="359"/>
      <c r="QX37" s="359"/>
      <c r="QY37" s="358"/>
      <c r="QZ37" s="359"/>
      <c r="RA37" s="359"/>
      <c r="RB37" s="359"/>
      <c r="RC37" s="359"/>
      <c r="RD37" s="358"/>
      <c r="RE37" s="359"/>
      <c r="RF37" s="359"/>
      <c r="RG37" s="359"/>
      <c r="RH37" s="359"/>
      <c r="RI37" s="358"/>
      <c r="RJ37" s="359"/>
      <c r="RK37" s="359"/>
      <c r="RL37" s="359"/>
      <c r="RM37" s="359"/>
      <c r="RN37" s="358"/>
      <c r="RO37" s="359"/>
      <c r="RP37" s="359"/>
      <c r="RQ37" s="359"/>
      <c r="RR37" s="359"/>
      <c r="RS37" s="358"/>
      <c r="RT37" s="359"/>
      <c r="RU37" s="359"/>
      <c r="RV37" s="359"/>
      <c r="RW37" s="359"/>
      <c r="RX37" s="358"/>
      <c r="RY37" s="359"/>
      <c r="RZ37" s="359"/>
      <c r="SA37" s="359"/>
      <c r="SB37" s="359"/>
      <c r="SC37" s="358"/>
      <c r="SD37" s="359"/>
      <c r="SE37" s="359"/>
      <c r="SF37" s="359"/>
      <c r="SG37" s="359"/>
      <c r="SH37" s="358"/>
      <c r="SI37" s="359"/>
      <c r="SJ37" s="359"/>
      <c r="SK37" s="359"/>
      <c r="SL37" s="359"/>
      <c r="SM37" s="358"/>
      <c r="SN37" s="359"/>
      <c r="SO37" s="359"/>
      <c r="SP37" s="359"/>
      <c r="SQ37" s="359"/>
      <c r="SR37" s="358"/>
      <c r="SS37" s="359"/>
      <c r="ST37" s="359"/>
      <c r="SU37" s="359"/>
      <c r="SV37" s="359"/>
      <c r="SW37" s="358"/>
      <c r="SX37" s="359"/>
      <c r="SY37" s="359"/>
      <c r="SZ37" s="359"/>
      <c r="TA37" s="359"/>
      <c r="TB37" s="354" t="n">
        <f aca="false">+AVERAGE(B37:IB37)</f>
        <v>3.41558441558442</v>
      </c>
    </row>
    <row r="38" customFormat="false" ht="15.5" hidden="false" customHeight="false" outlineLevel="0" collapsed="false">
      <c r="A38" s="356" t="s">
        <v>521</v>
      </c>
      <c r="B38" s="358" t="n">
        <v>3</v>
      </c>
      <c r="C38" s="359" t="n">
        <v>3</v>
      </c>
      <c r="D38" s="359" t="n">
        <v>5</v>
      </c>
      <c r="E38" s="359" t="n">
        <v>3</v>
      </c>
      <c r="F38" s="359" t="n">
        <v>3</v>
      </c>
      <c r="G38" s="358" t="n">
        <v>1</v>
      </c>
      <c r="H38" s="359" t="n">
        <v>3</v>
      </c>
      <c r="I38" s="359" t="n">
        <v>5</v>
      </c>
      <c r="J38" s="359" t="n">
        <v>1</v>
      </c>
      <c r="K38" s="359" t="n">
        <v>1</v>
      </c>
      <c r="L38" s="358" t="n">
        <v>1</v>
      </c>
      <c r="M38" s="359" t="n">
        <v>3</v>
      </c>
      <c r="N38" s="359" t="n">
        <v>3</v>
      </c>
      <c r="O38" s="359" t="n">
        <v>1</v>
      </c>
      <c r="P38" s="359" t="n">
        <v>1</v>
      </c>
      <c r="Q38" s="358" t="n">
        <v>1</v>
      </c>
      <c r="R38" s="359" t="n">
        <v>3</v>
      </c>
      <c r="S38" s="359" t="n">
        <v>5</v>
      </c>
      <c r="T38" s="359" t="n">
        <v>1</v>
      </c>
      <c r="U38" s="359" t="n">
        <v>3</v>
      </c>
      <c r="V38" s="358" t="n">
        <v>1</v>
      </c>
      <c r="W38" s="359" t="n">
        <v>5</v>
      </c>
      <c r="X38" s="359" t="n">
        <v>5</v>
      </c>
      <c r="Y38" s="359" t="n">
        <v>3</v>
      </c>
      <c r="Z38" s="359" t="n">
        <v>3</v>
      </c>
      <c r="AA38" s="358" t="n">
        <v>3</v>
      </c>
      <c r="AB38" s="359" t="n">
        <v>5</v>
      </c>
      <c r="AC38" s="359" t="n">
        <v>5</v>
      </c>
      <c r="AD38" s="359" t="n">
        <v>3</v>
      </c>
      <c r="AE38" s="359" t="n">
        <v>5</v>
      </c>
      <c r="AF38" s="358" t="n">
        <v>3</v>
      </c>
      <c r="AG38" s="359" t="n">
        <v>5</v>
      </c>
      <c r="AH38" s="359" t="n">
        <v>5</v>
      </c>
      <c r="AI38" s="359" t="n">
        <v>5</v>
      </c>
      <c r="AJ38" s="359" t="n">
        <v>5</v>
      </c>
      <c r="AK38" s="358" t="n">
        <v>3</v>
      </c>
      <c r="AL38" s="359" t="n">
        <v>5</v>
      </c>
      <c r="AM38" s="359" t="n">
        <v>5</v>
      </c>
      <c r="AN38" s="359" t="n">
        <v>5</v>
      </c>
      <c r="AO38" s="359" t="n">
        <v>5</v>
      </c>
      <c r="AP38" s="358" t="n">
        <v>1</v>
      </c>
      <c r="AQ38" s="359" t="n">
        <v>5</v>
      </c>
      <c r="AR38" s="359" t="n">
        <v>5</v>
      </c>
      <c r="AS38" s="359" t="n">
        <v>3</v>
      </c>
      <c r="AT38" s="359" t="n">
        <v>1</v>
      </c>
      <c r="AU38" s="358" t="n">
        <v>3</v>
      </c>
      <c r="AV38" s="359"/>
      <c r="AW38" s="359" t="n">
        <v>5</v>
      </c>
      <c r="AX38" s="359" t="n">
        <v>3</v>
      </c>
      <c r="AY38" s="359" t="n">
        <v>3</v>
      </c>
      <c r="AZ38" s="358" t="n">
        <v>1</v>
      </c>
      <c r="BA38" s="359"/>
      <c r="BB38" s="359" t="n">
        <v>5</v>
      </c>
      <c r="BC38" s="359" t="n">
        <v>1</v>
      </c>
      <c r="BD38" s="359" t="n">
        <v>1</v>
      </c>
      <c r="BE38" s="358" t="n">
        <v>1</v>
      </c>
      <c r="BF38" s="359" t="n">
        <v>5</v>
      </c>
      <c r="BG38" s="359" t="n">
        <v>5</v>
      </c>
      <c r="BH38" s="359" t="n">
        <v>1</v>
      </c>
      <c r="BI38" s="359" t="n">
        <v>1</v>
      </c>
      <c r="BJ38" s="358" t="n">
        <v>3</v>
      </c>
      <c r="BK38" s="359" t="n">
        <v>5</v>
      </c>
      <c r="BL38" s="359" t="n">
        <v>3</v>
      </c>
      <c r="BM38" s="359" t="n">
        <v>3</v>
      </c>
      <c r="BN38" s="359" t="n">
        <v>3</v>
      </c>
      <c r="BO38" s="358" t="n">
        <v>5</v>
      </c>
      <c r="BP38" s="359"/>
      <c r="BQ38" s="359" t="n">
        <v>5</v>
      </c>
      <c r="BR38" s="359" t="n">
        <v>3</v>
      </c>
      <c r="BS38" s="359" t="n">
        <v>5</v>
      </c>
      <c r="BT38" s="358" t="n">
        <v>3</v>
      </c>
      <c r="BU38" s="359" t="n">
        <v>5</v>
      </c>
      <c r="BV38" s="359" t="n">
        <v>5</v>
      </c>
      <c r="BW38" s="359" t="n">
        <v>3</v>
      </c>
      <c r="BX38" s="359" t="n">
        <v>5</v>
      </c>
      <c r="BY38" s="358" t="n">
        <v>5</v>
      </c>
      <c r="BZ38" s="358" t="n">
        <v>5</v>
      </c>
      <c r="CA38" s="359" t="n">
        <v>5</v>
      </c>
      <c r="CB38" s="359" t="n">
        <v>3</v>
      </c>
      <c r="CC38" s="359" t="n">
        <v>5</v>
      </c>
      <c r="CD38" s="358"/>
      <c r="CE38" s="359"/>
      <c r="CF38" s="359"/>
      <c r="CG38" s="359"/>
      <c r="CH38" s="359"/>
      <c r="CI38" s="358"/>
      <c r="CJ38" s="359"/>
      <c r="CK38" s="359"/>
      <c r="CL38" s="359"/>
      <c r="CM38" s="359"/>
      <c r="CN38" s="358"/>
      <c r="CO38" s="359"/>
      <c r="CP38" s="359"/>
      <c r="CQ38" s="359"/>
      <c r="CR38" s="359"/>
      <c r="CS38" s="358"/>
      <c r="CT38" s="359"/>
      <c r="CU38" s="359"/>
      <c r="CV38" s="359"/>
      <c r="CW38" s="359"/>
      <c r="CX38" s="358"/>
      <c r="CY38" s="359"/>
      <c r="CZ38" s="359"/>
      <c r="DA38" s="359"/>
      <c r="DB38" s="359"/>
      <c r="DC38" s="358"/>
      <c r="DD38" s="359"/>
      <c r="DE38" s="359"/>
      <c r="DF38" s="359"/>
      <c r="DG38" s="359"/>
      <c r="DH38" s="358"/>
      <c r="DI38" s="359"/>
      <c r="DJ38" s="359"/>
      <c r="DK38" s="359"/>
      <c r="DL38" s="359"/>
      <c r="DM38" s="358"/>
      <c r="DN38" s="359"/>
      <c r="DO38" s="359"/>
      <c r="DP38" s="359"/>
      <c r="DQ38" s="359"/>
      <c r="DR38" s="358"/>
      <c r="DS38" s="359"/>
      <c r="DT38" s="359"/>
      <c r="DU38" s="359"/>
      <c r="DV38" s="359"/>
      <c r="DW38" s="358"/>
      <c r="DX38" s="359"/>
      <c r="DY38" s="359"/>
      <c r="DZ38" s="359"/>
      <c r="EA38" s="359"/>
      <c r="EB38" s="358"/>
      <c r="EC38" s="359"/>
      <c r="ED38" s="359"/>
      <c r="EE38" s="359"/>
      <c r="EF38" s="359"/>
      <c r="EG38" s="358"/>
      <c r="EH38" s="359"/>
      <c r="EI38" s="359"/>
      <c r="EJ38" s="359"/>
      <c r="EK38" s="359"/>
      <c r="EL38" s="358"/>
      <c r="EM38" s="359"/>
      <c r="EN38" s="359"/>
      <c r="EO38" s="359"/>
      <c r="EP38" s="359"/>
      <c r="EQ38" s="358"/>
      <c r="ER38" s="359"/>
      <c r="ES38" s="359"/>
      <c r="ET38" s="359"/>
      <c r="EU38" s="359"/>
      <c r="EV38" s="358"/>
      <c r="EW38" s="359"/>
      <c r="EX38" s="359"/>
      <c r="EY38" s="359"/>
      <c r="EZ38" s="359"/>
      <c r="FA38" s="358"/>
      <c r="FB38" s="359"/>
      <c r="FC38" s="359"/>
      <c r="FD38" s="359"/>
      <c r="FE38" s="359"/>
      <c r="FF38" s="358"/>
      <c r="FG38" s="359"/>
      <c r="FH38" s="359"/>
      <c r="FI38" s="359"/>
      <c r="FJ38" s="359"/>
      <c r="FK38" s="358"/>
      <c r="FL38" s="359"/>
      <c r="FM38" s="359"/>
      <c r="FN38" s="359"/>
      <c r="FO38" s="359"/>
      <c r="FP38" s="358"/>
      <c r="FQ38" s="359"/>
      <c r="FR38" s="359"/>
      <c r="FS38" s="359"/>
      <c r="FT38" s="359"/>
      <c r="FU38" s="358"/>
      <c r="FV38" s="359"/>
      <c r="FW38" s="359"/>
      <c r="FX38" s="359"/>
      <c r="FY38" s="359"/>
      <c r="FZ38" s="358"/>
      <c r="GA38" s="359"/>
      <c r="GB38" s="359"/>
      <c r="GC38" s="359"/>
      <c r="GD38" s="359"/>
      <c r="GE38" s="358"/>
      <c r="GF38" s="359"/>
      <c r="GG38" s="359"/>
      <c r="GH38" s="359"/>
      <c r="GI38" s="359"/>
      <c r="GJ38" s="358"/>
      <c r="GK38" s="359"/>
      <c r="GL38" s="359"/>
      <c r="GM38" s="359"/>
      <c r="GN38" s="359"/>
      <c r="GO38" s="358"/>
      <c r="GP38" s="359"/>
      <c r="GQ38" s="359"/>
      <c r="GR38" s="359"/>
      <c r="GS38" s="359"/>
      <c r="GT38" s="358"/>
      <c r="GU38" s="359"/>
      <c r="GV38" s="359"/>
      <c r="GW38" s="359"/>
      <c r="GX38" s="359"/>
      <c r="GY38" s="358"/>
      <c r="GZ38" s="359"/>
      <c r="HA38" s="359"/>
      <c r="HB38" s="359"/>
      <c r="HC38" s="359"/>
      <c r="HD38" s="358"/>
      <c r="HE38" s="359"/>
      <c r="HF38" s="359"/>
      <c r="HG38" s="359"/>
      <c r="HH38" s="359"/>
      <c r="HI38" s="358"/>
      <c r="HJ38" s="359"/>
      <c r="HK38" s="359"/>
      <c r="HL38" s="359"/>
      <c r="HM38" s="359"/>
      <c r="HN38" s="358"/>
      <c r="HO38" s="359"/>
      <c r="HP38" s="359"/>
      <c r="HQ38" s="359"/>
      <c r="HR38" s="359"/>
      <c r="HS38" s="358"/>
      <c r="HT38" s="359"/>
      <c r="HU38" s="359"/>
      <c r="HV38" s="359"/>
      <c r="HW38" s="359"/>
      <c r="HX38" s="358"/>
      <c r="HY38" s="359"/>
      <c r="HZ38" s="359"/>
      <c r="IA38" s="359"/>
      <c r="IB38" s="359"/>
      <c r="IC38" s="358"/>
      <c r="ID38" s="359"/>
      <c r="IE38" s="359"/>
      <c r="IF38" s="359"/>
      <c r="IG38" s="359"/>
      <c r="IH38" s="358"/>
      <c r="II38" s="359"/>
      <c r="IJ38" s="359"/>
      <c r="IK38" s="359"/>
      <c r="IL38" s="359"/>
      <c r="IM38" s="358"/>
      <c r="IN38" s="359"/>
      <c r="IO38" s="359"/>
      <c r="IP38" s="359"/>
      <c r="IQ38" s="359"/>
      <c r="IR38" s="358"/>
      <c r="IS38" s="359"/>
      <c r="IT38" s="359"/>
      <c r="IU38" s="359"/>
      <c r="IV38" s="359"/>
      <c r="IW38" s="358"/>
      <c r="IX38" s="359"/>
      <c r="IY38" s="359"/>
      <c r="IZ38" s="359"/>
      <c r="JA38" s="359"/>
      <c r="JB38" s="358"/>
      <c r="JC38" s="359"/>
      <c r="JD38" s="359"/>
      <c r="JE38" s="359"/>
      <c r="JF38" s="359"/>
      <c r="JG38" s="358"/>
      <c r="JH38" s="359"/>
      <c r="JI38" s="359"/>
      <c r="JJ38" s="359"/>
      <c r="JK38" s="359"/>
      <c r="JL38" s="358"/>
      <c r="JM38" s="359"/>
      <c r="JN38" s="359"/>
      <c r="JO38" s="359"/>
      <c r="JP38" s="359"/>
      <c r="JQ38" s="358"/>
      <c r="JR38" s="359"/>
      <c r="JS38" s="359"/>
      <c r="JT38" s="359"/>
      <c r="JU38" s="359"/>
      <c r="JV38" s="358"/>
      <c r="JW38" s="359"/>
      <c r="JX38" s="359"/>
      <c r="JY38" s="359"/>
      <c r="JZ38" s="359"/>
      <c r="KA38" s="358"/>
      <c r="KB38" s="359"/>
      <c r="KC38" s="359"/>
      <c r="KD38" s="359"/>
      <c r="KE38" s="359"/>
      <c r="KF38" s="358"/>
      <c r="KG38" s="359"/>
      <c r="KH38" s="359"/>
      <c r="KI38" s="359"/>
      <c r="KJ38" s="359"/>
      <c r="KK38" s="358"/>
      <c r="KL38" s="359"/>
      <c r="KM38" s="359"/>
      <c r="KN38" s="359"/>
      <c r="KO38" s="359"/>
      <c r="KP38" s="358"/>
      <c r="KQ38" s="359"/>
      <c r="KR38" s="359"/>
      <c r="KS38" s="359"/>
      <c r="KT38" s="359"/>
      <c r="KU38" s="358"/>
      <c r="KV38" s="359"/>
      <c r="KW38" s="359"/>
      <c r="KX38" s="359"/>
      <c r="KY38" s="359"/>
      <c r="KZ38" s="358"/>
      <c r="LA38" s="359"/>
      <c r="LB38" s="359"/>
      <c r="LC38" s="359"/>
      <c r="LD38" s="359"/>
      <c r="LE38" s="358"/>
      <c r="LF38" s="359"/>
      <c r="LG38" s="359"/>
      <c r="LH38" s="359"/>
      <c r="LI38" s="359"/>
      <c r="LJ38" s="358"/>
      <c r="LK38" s="359"/>
      <c r="LL38" s="359"/>
      <c r="LM38" s="359"/>
      <c r="LN38" s="359"/>
      <c r="LO38" s="358"/>
      <c r="LP38" s="359"/>
      <c r="LQ38" s="359"/>
      <c r="LR38" s="359"/>
      <c r="LS38" s="359"/>
      <c r="LT38" s="358"/>
      <c r="LU38" s="359"/>
      <c r="LV38" s="359"/>
      <c r="LW38" s="359"/>
      <c r="LX38" s="359"/>
      <c r="LY38" s="358"/>
      <c r="LZ38" s="359"/>
      <c r="MA38" s="359"/>
      <c r="MB38" s="359"/>
      <c r="MC38" s="359"/>
      <c r="MD38" s="358"/>
      <c r="ME38" s="359"/>
      <c r="MF38" s="359"/>
      <c r="MG38" s="359"/>
      <c r="MH38" s="359"/>
      <c r="MI38" s="358"/>
      <c r="MJ38" s="359"/>
      <c r="MK38" s="359"/>
      <c r="ML38" s="359"/>
      <c r="MM38" s="359"/>
      <c r="MN38" s="358"/>
      <c r="MO38" s="359"/>
      <c r="MP38" s="359"/>
      <c r="MQ38" s="359"/>
      <c r="MR38" s="359"/>
      <c r="MS38" s="358"/>
      <c r="MT38" s="359"/>
      <c r="MU38" s="359"/>
      <c r="MV38" s="359"/>
      <c r="MW38" s="359"/>
      <c r="MX38" s="358"/>
      <c r="MY38" s="359"/>
      <c r="MZ38" s="359"/>
      <c r="NA38" s="359"/>
      <c r="NB38" s="359"/>
      <c r="NC38" s="358"/>
      <c r="ND38" s="359"/>
      <c r="NE38" s="359"/>
      <c r="NF38" s="359"/>
      <c r="NG38" s="359"/>
      <c r="NH38" s="358"/>
      <c r="NI38" s="359"/>
      <c r="NJ38" s="359"/>
      <c r="NK38" s="359"/>
      <c r="NL38" s="359"/>
      <c r="NM38" s="358"/>
      <c r="NN38" s="359"/>
      <c r="NO38" s="359"/>
      <c r="NP38" s="359"/>
      <c r="NQ38" s="359"/>
      <c r="NR38" s="358"/>
      <c r="NS38" s="359"/>
      <c r="NT38" s="359"/>
      <c r="NU38" s="359"/>
      <c r="NV38" s="359"/>
      <c r="NW38" s="358"/>
      <c r="NX38" s="359"/>
      <c r="NY38" s="359"/>
      <c r="NZ38" s="359"/>
      <c r="OA38" s="359"/>
      <c r="OB38" s="358"/>
      <c r="OC38" s="359"/>
      <c r="OD38" s="359"/>
      <c r="OE38" s="359"/>
      <c r="OF38" s="359"/>
      <c r="OG38" s="358"/>
      <c r="OH38" s="359"/>
      <c r="OI38" s="359"/>
      <c r="OJ38" s="359"/>
      <c r="OK38" s="359"/>
      <c r="OL38" s="358"/>
      <c r="OM38" s="359"/>
      <c r="ON38" s="359"/>
      <c r="OO38" s="359"/>
      <c r="OP38" s="359"/>
      <c r="OQ38" s="358"/>
      <c r="OR38" s="359"/>
      <c r="OS38" s="359"/>
      <c r="OT38" s="359"/>
      <c r="OU38" s="359"/>
      <c r="OV38" s="358"/>
      <c r="OW38" s="359"/>
      <c r="OX38" s="359"/>
      <c r="OY38" s="359"/>
      <c r="OZ38" s="359"/>
      <c r="PA38" s="358"/>
      <c r="PB38" s="359"/>
      <c r="PC38" s="359"/>
      <c r="PD38" s="359"/>
      <c r="PE38" s="359"/>
      <c r="PF38" s="358"/>
      <c r="PG38" s="359"/>
      <c r="PH38" s="359"/>
      <c r="PI38" s="359"/>
      <c r="PJ38" s="359"/>
      <c r="PK38" s="358"/>
      <c r="PL38" s="359"/>
      <c r="PM38" s="359"/>
      <c r="PN38" s="359"/>
      <c r="PO38" s="359"/>
      <c r="PP38" s="358"/>
      <c r="PQ38" s="359"/>
      <c r="PR38" s="359"/>
      <c r="PS38" s="359"/>
      <c r="PT38" s="359"/>
      <c r="PU38" s="358"/>
      <c r="PV38" s="359"/>
      <c r="PW38" s="359"/>
      <c r="PX38" s="359"/>
      <c r="PY38" s="359"/>
      <c r="PZ38" s="358"/>
      <c r="QA38" s="359"/>
      <c r="QB38" s="359"/>
      <c r="QC38" s="359"/>
      <c r="QD38" s="359"/>
      <c r="QE38" s="358"/>
      <c r="QF38" s="359"/>
      <c r="QG38" s="359"/>
      <c r="QH38" s="359"/>
      <c r="QI38" s="359"/>
      <c r="QJ38" s="358"/>
      <c r="QK38" s="359"/>
      <c r="QL38" s="359"/>
      <c r="QM38" s="359"/>
      <c r="QN38" s="359"/>
      <c r="QO38" s="358"/>
      <c r="QP38" s="359"/>
      <c r="QQ38" s="359"/>
      <c r="QR38" s="359"/>
      <c r="QS38" s="359"/>
      <c r="QT38" s="358"/>
      <c r="QU38" s="359"/>
      <c r="QV38" s="359"/>
      <c r="QW38" s="359"/>
      <c r="QX38" s="359"/>
      <c r="QY38" s="358"/>
      <c r="QZ38" s="359"/>
      <c r="RA38" s="359"/>
      <c r="RB38" s="359"/>
      <c r="RC38" s="359"/>
      <c r="RD38" s="358"/>
      <c r="RE38" s="359"/>
      <c r="RF38" s="359"/>
      <c r="RG38" s="359"/>
      <c r="RH38" s="359"/>
      <c r="RI38" s="358"/>
      <c r="RJ38" s="359"/>
      <c r="RK38" s="359"/>
      <c r="RL38" s="359"/>
      <c r="RM38" s="359"/>
      <c r="RN38" s="358"/>
      <c r="RO38" s="359"/>
      <c r="RP38" s="359"/>
      <c r="RQ38" s="359"/>
      <c r="RR38" s="359"/>
      <c r="RS38" s="358"/>
      <c r="RT38" s="359"/>
      <c r="RU38" s="359"/>
      <c r="RV38" s="359"/>
      <c r="RW38" s="359"/>
      <c r="RX38" s="358"/>
      <c r="RY38" s="359"/>
      <c r="RZ38" s="359"/>
      <c r="SA38" s="359"/>
      <c r="SB38" s="359"/>
      <c r="SC38" s="358"/>
      <c r="SD38" s="359"/>
      <c r="SE38" s="359"/>
      <c r="SF38" s="359"/>
      <c r="SG38" s="359"/>
      <c r="SH38" s="358"/>
      <c r="SI38" s="359"/>
      <c r="SJ38" s="359"/>
      <c r="SK38" s="359"/>
      <c r="SL38" s="359"/>
      <c r="SM38" s="358"/>
      <c r="SN38" s="359"/>
      <c r="SO38" s="359"/>
      <c r="SP38" s="359"/>
      <c r="SQ38" s="359"/>
      <c r="SR38" s="358"/>
      <c r="SS38" s="359"/>
      <c r="ST38" s="359"/>
      <c r="SU38" s="359"/>
      <c r="SV38" s="359"/>
      <c r="SW38" s="358"/>
      <c r="SX38" s="359"/>
      <c r="SY38" s="359"/>
      <c r="SZ38" s="359"/>
      <c r="TA38" s="359"/>
      <c r="TB38" s="354" t="n">
        <f aca="false">+AVERAGE(B38:IB38)</f>
        <v>3.41558441558442</v>
      </c>
    </row>
    <row r="39" customFormat="false" ht="15.5" hidden="false" customHeight="false" outlineLevel="0" collapsed="false">
      <c r="A39" s="356" t="s">
        <v>521</v>
      </c>
      <c r="B39" s="358" t="n">
        <v>3</v>
      </c>
      <c r="C39" s="359" t="n">
        <v>3</v>
      </c>
      <c r="D39" s="359" t="n">
        <v>5</v>
      </c>
      <c r="E39" s="359" t="n">
        <v>3</v>
      </c>
      <c r="F39" s="359" t="n">
        <v>3</v>
      </c>
      <c r="G39" s="358" t="n">
        <v>1</v>
      </c>
      <c r="H39" s="359" t="n">
        <v>3</v>
      </c>
      <c r="I39" s="359" t="n">
        <v>5</v>
      </c>
      <c r="J39" s="359" t="n">
        <v>1</v>
      </c>
      <c r="K39" s="359" t="n">
        <v>1</v>
      </c>
      <c r="L39" s="358" t="n">
        <v>1</v>
      </c>
      <c r="M39" s="359" t="n">
        <v>3</v>
      </c>
      <c r="N39" s="359" t="n">
        <v>3</v>
      </c>
      <c r="O39" s="359" t="n">
        <v>1</v>
      </c>
      <c r="P39" s="359" t="n">
        <v>1</v>
      </c>
      <c r="Q39" s="358" t="n">
        <v>1</v>
      </c>
      <c r="R39" s="359" t="n">
        <v>3</v>
      </c>
      <c r="S39" s="359" t="n">
        <v>5</v>
      </c>
      <c r="T39" s="359" t="n">
        <v>1</v>
      </c>
      <c r="U39" s="359" t="n">
        <v>3</v>
      </c>
      <c r="V39" s="358" t="n">
        <v>1</v>
      </c>
      <c r="W39" s="359" t="n">
        <v>5</v>
      </c>
      <c r="X39" s="359" t="n">
        <v>5</v>
      </c>
      <c r="Y39" s="359" t="n">
        <v>3</v>
      </c>
      <c r="Z39" s="359" t="n">
        <v>3</v>
      </c>
      <c r="AA39" s="358" t="n">
        <v>3</v>
      </c>
      <c r="AB39" s="359" t="n">
        <v>5</v>
      </c>
      <c r="AC39" s="359" t="n">
        <v>5</v>
      </c>
      <c r="AD39" s="359" t="n">
        <v>3</v>
      </c>
      <c r="AE39" s="359" t="n">
        <v>5</v>
      </c>
      <c r="AF39" s="358" t="n">
        <v>3</v>
      </c>
      <c r="AG39" s="359" t="n">
        <v>5</v>
      </c>
      <c r="AH39" s="359" t="n">
        <v>5</v>
      </c>
      <c r="AI39" s="359" t="n">
        <v>5</v>
      </c>
      <c r="AJ39" s="359" t="n">
        <v>5</v>
      </c>
      <c r="AK39" s="358" t="n">
        <v>3</v>
      </c>
      <c r="AL39" s="359" t="n">
        <v>5</v>
      </c>
      <c r="AM39" s="359" t="n">
        <v>5</v>
      </c>
      <c r="AN39" s="359" t="n">
        <v>5</v>
      </c>
      <c r="AO39" s="359" t="n">
        <v>5</v>
      </c>
      <c r="AP39" s="358" t="n">
        <v>1</v>
      </c>
      <c r="AQ39" s="359" t="n">
        <v>5</v>
      </c>
      <c r="AR39" s="359" t="n">
        <v>5</v>
      </c>
      <c r="AS39" s="359" t="n">
        <v>3</v>
      </c>
      <c r="AT39" s="359" t="n">
        <v>1</v>
      </c>
      <c r="AU39" s="358" t="n">
        <v>3</v>
      </c>
      <c r="AV39" s="359"/>
      <c r="AW39" s="359" t="n">
        <v>5</v>
      </c>
      <c r="AX39" s="359" t="n">
        <v>3</v>
      </c>
      <c r="AY39" s="359" t="n">
        <v>3</v>
      </c>
      <c r="AZ39" s="358" t="n">
        <v>1</v>
      </c>
      <c r="BA39" s="359"/>
      <c r="BB39" s="359" t="n">
        <v>5</v>
      </c>
      <c r="BC39" s="359" t="n">
        <v>1</v>
      </c>
      <c r="BD39" s="359" t="n">
        <v>1</v>
      </c>
      <c r="BE39" s="358" t="n">
        <v>1</v>
      </c>
      <c r="BF39" s="359" t="n">
        <v>5</v>
      </c>
      <c r="BG39" s="359" t="n">
        <v>5</v>
      </c>
      <c r="BH39" s="359" t="n">
        <v>1</v>
      </c>
      <c r="BI39" s="359" t="n">
        <v>1</v>
      </c>
      <c r="BJ39" s="358" t="n">
        <v>3</v>
      </c>
      <c r="BK39" s="359" t="n">
        <v>5</v>
      </c>
      <c r="BL39" s="359" t="n">
        <v>3</v>
      </c>
      <c r="BM39" s="359" t="n">
        <v>3</v>
      </c>
      <c r="BN39" s="359" t="n">
        <v>3</v>
      </c>
      <c r="BO39" s="358" t="n">
        <v>5</v>
      </c>
      <c r="BP39" s="359"/>
      <c r="BQ39" s="359" t="n">
        <v>5</v>
      </c>
      <c r="BR39" s="359" t="n">
        <v>3</v>
      </c>
      <c r="BS39" s="359" t="n">
        <v>5</v>
      </c>
      <c r="BT39" s="358" t="n">
        <v>3</v>
      </c>
      <c r="BU39" s="359" t="n">
        <v>5</v>
      </c>
      <c r="BV39" s="359" t="n">
        <v>5</v>
      </c>
      <c r="BW39" s="359" t="n">
        <v>3</v>
      </c>
      <c r="BX39" s="359" t="n">
        <v>5</v>
      </c>
      <c r="BY39" s="358" t="n">
        <v>5</v>
      </c>
      <c r="BZ39" s="358" t="n">
        <v>5</v>
      </c>
      <c r="CA39" s="359" t="n">
        <v>5</v>
      </c>
      <c r="CB39" s="359" t="n">
        <v>3</v>
      </c>
      <c r="CC39" s="359" t="n">
        <v>5</v>
      </c>
      <c r="CD39" s="358"/>
      <c r="CE39" s="359"/>
      <c r="CF39" s="359"/>
      <c r="CG39" s="359"/>
      <c r="CH39" s="359"/>
      <c r="CI39" s="358"/>
      <c r="CJ39" s="359"/>
      <c r="CK39" s="359"/>
      <c r="CL39" s="359"/>
      <c r="CM39" s="359"/>
      <c r="CN39" s="358"/>
      <c r="CO39" s="359"/>
      <c r="CP39" s="359"/>
      <c r="CQ39" s="359"/>
      <c r="CR39" s="359"/>
      <c r="CS39" s="358"/>
      <c r="CT39" s="359"/>
      <c r="CU39" s="359"/>
      <c r="CV39" s="359"/>
      <c r="CW39" s="359"/>
      <c r="CX39" s="358"/>
      <c r="CY39" s="359"/>
      <c r="CZ39" s="359"/>
      <c r="DA39" s="359"/>
      <c r="DB39" s="359"/>
      <c r="DC39" s="358"/>
      <c r="DD39" s="359"/>
      <c r="DE39" s="359"/>
      <c r="DF39" s="359"/>
      <c r="DG39" s="359"/>
      <c r="DH39" s="358"/>
      <c r="DI39" s="359"/>
      <c r="DJ39" s="359"/>
      <c r="DK39" s="359"/>
      <c r="DL39" s="359"/>
      <c r="DM39" s="358"/>
      <c r="DN39" s="359"/>
      <c r="DO39" s="359"/>
      <c r="DP39" s="359"/>
      <c r="DQ39" s="359"/>
      <c r="DR39" s="358"/>
      <c r="DS39" s="359"/>
      <c r="DT39" s="359"/>
      <c r="DU39" s="359"/>
      <c r="DV39" s="359"/>
      <c r="DW39" s="358"/>
      <c r="DX39" s="359"/>
      <c r="DY39" s="359"/>
      <c r="DZ39" s="359"/>
      <c r="EA39" s="359"/>
      <c r="EB39" s="358"/>
      <c r="EC39" s="359"/>
      <c r="ED39" s="359"/>
      <c r="EE39" s="359"/>
      <c r="EF39" s="359"/>
      <c r="EG39" s="358"/>
      <c r="EH39" s="359"/>
      <c r="EI39" s="359"/>
      <c r="EJ39" s="359"/>
      <c r="EK39" s="359"/>
      <c r="EL39" s="358"/>
      <c r="EM39" s="359"/>
      <c r="EN39" s="359"/>
      <c r="EO39" s="359"/>
      <c r="EP39" s="359"/>
      <c r="EQ39" s="358"/>
      <c r="ER39" s="359"/>
      <c r="ES39" s="359"/>
      <c r="ET39" s="359"/>
      <c r="EU39" s="359"/>
      <c r="EV39" s="358"/>
      <c r="EW39" s="359"/>
      <c r="EX39" s="359"/>
      <c r="EY39" s="359"/>
      <c r="EZ39" s="359"/>
      <c r="FA39" s="358"/>
      <c r="FB39" s="359"/>
      <c r="FC39" s="359"/>
      <c r="FD39" s="359"/>
      <c r="FE39" s="359"/>
      <c r="FF39" s="358"/>
      <c r="FG39" s="359"/>
      <c r="FH39" s="359"/>
      <c r="FI39" s="359"/>
      <c r="FJ39" s="359"/>
      <c r="FK39" s="358"/>
      <c r="FL39" s="359"/>
      <c r="FM39" s="359"/>
      <c r="FN39" s="359"/>
      <c r="FO39" s="359"/>
      <c r="FP39" s="358"/>
      <c r="FQ39" s="359"/>
      <c r="FR39" s="359"/>
      <c r="FS39" s="359"/>
      <c r="FT39" s="359"/>
      <c r="FU39" s="358"/>
      <c r="FV39" s="359"/>
      <c r="FW39" s="359"/>
      <c r="FX39" s="359"/>
      <c r="FY39" s="359"/>
      <c r="FZ39" s="358"/>
      <c r="GA39" s="359"/>
      <c r="GB39" s="359"/>
      <c r="GC39" s="359"/>
      <c r="GD39" s="359"/>
      <c r="GE39" s="358"/>
      <c r="GF39" s="359"/>
      <c r="GG39" s="359"/>
      <c r="GH39" s="359"/>
      <c r="GI39" s="359"/>
      <c r="GJ39" s="358"/>
      <c r="GK39" s="359"/>
      <c r="GL39" s="359"/>
      <c r="GM39" s="359"/>
      <c r="GN39" s="359"/>
      <c r="GO39" s="358"/>
      <c r="GP39" s="359"/>
      <c r="GQ39" s="359"/>
      <c r="GR39" s="359"/>
      <c r="GS39" s="359"/>
      <c r="GT39" s="358"/>
      <c r="GU39" s="359"/>
      <c r="GV39" s="359"/>
      <c r="GW39" s="359"/>
      <c r="GX39" s="359"/>
      <c r="GY39" s="358"/>
      <c r="GZ39" s="359"/>
      <c r="HA39" s="359"/>
      <c r="HB39" s="359"/>
      <c r="HC39" s="359"/>
      <c r="HD39" s="358"/>
      <c r="HE39" s="359"/>
      <c r="HF39" s="359"/>
      <c r="HG39" s="359"/>
      <c r="HH39" s="359"/>
      <c r="HI39" s="358"/>
      <c r="HJ39" s="359"/>
      <c r="HK39" s="359"/>
      <c r="HL39" s="359"/>
      <c r="HM39" s="359"/>
      <c r="HN39" s="358"/>
      <c r="HO39" s="359"/>
      <c r="HP39" s="359"/>
      <c r="HQ39" s="359"/>
      <c r="HR39" s="359"/>
      <c r="HS39" s="358"/>
      <c r="HT39" s="359"/>
      <c r="HU39" s="359"/>
      <c r="HV39" s="359"/>
      <c r="HW39" s="359"/>
      <c r="HX39" s="358"/>
      <c r="HY39" s="359"/>
      <c r="HZ39" s="359"/>
      <c r="IA39" s="359"/>
      <c r="IB39" s="359"/>
      <c r="IC39" s="358"/>
      <c r="ID39" s="359"/>
      <c r="IE39" s="359"/>
      <c r="IF39" s="359"/>
      <c r="IG39" s="359"/>
      <c r="IH39" s="358"/>
      <c r="II39" s="359"/>
      <c r="IJ39" s="359"/>
      <c r="IK39" s="359"/>
      <c r="IL39" s="359"/>
      <c r="IM39" s="358"/>
      <c r="IN39" s="359"/>
      <c r="IO39" s="359"/>
      <c r="IP39" s="359"/>
      <c r="IQ39" s="359"/>
      <c r="IR39" s="358"/>
      <c r="IS39" s="359"/>
      <c r="IT39" s="359"/>
      <c r="IU39" s="359"/>
      <c r="IV39" s="359"/>
      <c r="IW39" s="358"/>
      <c r="IX39" s="359"/>
      <c r="IY39" s="359"/>
      <c r="IZ39" s="359"/>
      <c r="JA39" s="359"/>
      <c r="JB39" s="358"/>
      <c r="JC39" s="359"/>
      <c r="JD39" s="359"/>
      <c r="JE39" s="359"/>
      <c r="JF39" s="359"/>
      <c r="JG39" s="358"/>
      <c r="JH39" s="359"/>
      <c r="JI39" s="359"/>
      <c r="JJ39" s="359"/>
      <c r="JK39" s="359"/>
      <c r="JL39" s="358"/>
      <c r="JM39" s="359"/>
      <c r="JN39" s="359"/>
      <c r="JO39" s="359"/>
      <c r="JP39" s="359"/>
      <c r="JQ39" s="358"/>
      <c r="JR39" s="359"/>
      <c r="JS39" s="359"/>
      <c r="JT39" s="359"/>
      <c r="JU39" s="359"/>
      <c r="JV39" s="358"/>
      <c r="JW39" s="359"/>
      <c r="JX39" s="359"/>
      <c r="JY39" s="359"/>
      <c r="JZ39" s="359"/>
      <c r="KA39" s="358"/>
      <c r="KB39" s="359"/>
      <c r="KC39" s="359"/>
      <c r="KD39" s="359"/>
      <c r="KE39" s="359"/>
      <c r="KF39" s="358"/>
      <c r="KG39" s="359"/>
      <c r="KH39" s="359"/>
      <c r="KI39" s="359"/>
      <c r="KJ39" s="359"/>
      <c r="KK39" s="358"/>
      <c r="KL39" s="359"/>
      <c r="KM39" s="359"/>
      <c r="KN39" s="359"/>
      <c r="KO39" s="359"/>
      <c r="KP39" s="358"/>
      <c r="KQ39" s="359"/>
      <c r="KR39" s="359"/>
      <c r="KS39" s="359"/>
      <c r="KT39" s="359"/>
      <c r="KU39" s="358"/>
      <c r="KV39" s="359"/>
      <c r="KW39" s="359"/>
      <c r="KX39" s="359"/>
      <c r="KY39" s="359"/>
      <c r="KZ39" s="358"/>
      <c r="LA39" s="359"/>
      <c r="LB39" s="359"/>
      <c r="LC39" s="359"/>
      <c r="LD39" s="359"/>
      <c r="LE39" s="358"/>
      <c r="LF39" s="359"/>
      <c r="LG39" s="359"/>
      <c r="LH39" s="359"/>
      <c r="LI39" s="359"/>
      <c r="LJ39" s="358"/>
      <c r="LK39" s="359"/>
      <c r="LL39" s="359"/>
      <c r="LM39" s="359"/>
      <c r="LN39" s="359"/>
      <c r="LO39" s="358"/>
      <c r="LP39" s="359"/>
      <c r="LQ39" s="359"/>
      <c r="LR39" s="359"/>
      <c r="LS39" s="359"/>
      <c r="LT39" s="358"/>
      <c r="LU39" s="359"/>
      <c r="LV39" s="359"/>
      <c r="LW39" s="359"/>
      <c r="LX39" s="359"/>
      <c r="LY39" s="358"/>
      <c r="LZ39" s="359"/>
      <c r="MA39" s="359"/>
      <c r="MB39" s="359"/>
      <c r="MC39" s="359"/>
      <c r="MD39" s="358"/>
      <c r="ME39" s="359"/>
      <c r="MF39" s="359"/>
      <c r="MG39" s="359"/>
      <c r="MH39" s="359"/>
      <c r="MI39" s="358"/>
      <c r="MJ39" s="359"/>
      <c r="MK39" s="359"/>
      <c r="ML39" s="359"/>
      <c r="MM39" s="359"/>
      <c r="MN39" s="358"/>
      <c r="MO39" s="359"/>
      <c r="MP39" s="359"/>
      <c r="MQ39" s="359"/>
      <c r="MR39" s="359"/>
      <c r="MS39" s="358"/>
      <c r="MT39" s="359"/>
      <c r="MU39" s="359"/>
      <c r="MV39" s="359"/>
      <c r="MW39" s="359"/>
      <c r="MX39" s="358"/>
      <c r="MY39" s="359"/>
      <c r="MZ39" s="359"/>
      <c r="NA39" s="359"/>
      <c r="NB39" s="359"/>
      <c r="NC39" s="358"/>
      <c r="ND39" s="359"/>
      <c r="NE39" s="359"/>
      <c r="NF39" s="359"/>
      <c r="NG39" s="359"/>
      <c r="NH39" s="358"/>
      <c r="NI39" s="359"/>
      <c r="NJ39" s="359"/>
      <c r="NK39" s="359"/>
      <c r="NL39" s="359"/>
      <c r="NM39" s="358"/>
      <c r="NN39" s="359"/>
      <c r="NO39" s="359"/>
      <c r="NP39" s="359"/>
      <c r="NQ39" s="359"/>
      <c r="NR39" s="358"/>
      <c r="NS39" s="359"/>
      <c r="NT39" s="359"/>
      <c r="NU39" s="359"/>
      <c r="NV39" s="359"/>
      <c r="NW39" s="358"/>
      <c r="NX39" s="359"/>
      <c r="NY39" s="359"/>
      <c r="NZ39" s="359"/>
      <c r="OA39" s="359"/>
      <c r="OB39" s="358"/>
      <c r="OC39" s="359"/>
      <c r="OD39" s="359"/>
      <c r="OE39" s="359"/>
      <c r="OF39" s="359"/>
      <c r="OG39" s="358"/>
      <c r="OH39" s="359"/>
      <c r="OI39" s="359"/>
      <c r="OJ39" s="359"/>
      <c r="OK39" s="359"/>
      <c r="OL39" s="358"/>
      <c r="OM39" s="359"/>
      <c r="ON39" s="359"/>
      <c r="OO39" s="359"/>
      <c r="OP39" s="359"/>
      <c r="OQ39" s="358"/>
      <c r="OR39" s="359"/>
      <c r="OS39" s="359"/>
      <c r="OT39" s="359"/>
      <c r="OU39" s="359"/>
      <c r="OV39" s="358"/>
      <c r="OW39" s="359"/>
      <c r="OX39" s="359"/>
      <c r="OY39" s="359"/>
      <c r="OZ39" s="359"/>
      <c r="PA39" s="358"/>
      <c r="PB39" s="359"/>
      <c r="PC39" s="359"/>
      <c r="PD39" s="359"/>
      <c r="PE39" s="359"/>
      <c r="PF39" s="358"/>
      <c r="PG39" s="359"/>
      <c r="PH39" s="359"/>
      <c r="PI39" s="359"/>
      <c r="PJ39" s="359"/>
      <c r="PK39" s="358"/>
      <c r="PL39" s="359"/>
      <c r="PM39" s="359"/>
      <c r="PN39" s="359"/>
      <c r="PO39" s="359"/>
      <c r="PP39" s="358"/>
      <c r="PQ39" s="359"/>
      <c r="PR39" s="359"/>
      <c r="PS39" s="359"/>
      <c r="PT39" s="359"/>
      <c r="PU39" s="358"/>
      <c r="PV39" s="359"/>
      <c r="PW39" s="359"/>
      <c r="PX39" s="359"/>
      <c r="PY39" s="359"/>
      <c r="PZ39" s="358"/>
      <c r="QA39" s="359"/>
      <c r="QB39" s="359"/>
      <c r="QC39" s="359"/>
      <c r="QD39" s="359"/>
      <c r="QE39" s="358"/>
      <c r="QF39" s="359"/>
      <c r="QG39" s="359"/>
      <c r="QH39" s="359"/>
      <c r="QI39" s="359"/>
      <c r="QJ39" s="358"/>
      <c r="QK39" s="359"/>
      <c r="QL39" s="359"/>
      <c r="QM39" s="359"/>
      <c r="QN39" s="359"/>
      <c r="QO39" s="358"/>
      <c r="QP39" s="359"/>
      <c r="QQ39" s="359"/>
      <c r="QR39" s="359"/>
      <c r="QS39" s="359"/>
      <c r="QT39" s="358"/>
      <c r="QU39" s="359"/>
      <c r="QV39" s="359"/>
      <c r="QW39" s="359"/>
      <c r="QX39" s="359"/>
      <c r="QY39" s="358"/>
      <c r="QZ39" s="359"/>
      <c r="RA39" s="359"/>
      <c r="RB39" s="359"/>
      <c r="RC39" s="359"/>
      <c r="RD39" s="358"/>
      <c r="RE39" s="359"/>
      <c r="RF39" s="359"/>
      <c r="RG39" s="359"/>
      <c r="RH39" s="359"/>
      <c r="RI39" s="358"/>
      <c r="RJ39" s="359"/>
      <c r="RK39" s="359"/>
      <c r="RL39" s="359"/>
      <c r="RM39" s="359"/>
      <c r="RN39" s="358"/>
      <c r="RO39" s="359"/>
      <c r="RP39" s="359"/>
      <c r="RQ39" s="359"/>
      <c r="RR39" s="359"/>
      <c r="RS39" s="358"/>
      <c r="RT39" s="359"/>
      <c r="RU39" s="359"/>
      <c r="RV39" s="359"/>
      <c r="RW39" s="359"/>
      <c r="RX39" s="358"/>
      <c r="RY39" s="359"/>
      <c r="RZ39" s="359"/>
      <c r="SA39" s="359"/>
      <c r="SB39" s="359"/>
      <c r="SC39" s="358"/>
      <c r="SD39" s="359"/>
      <c r="SE39" s="359"/>
      <c r="SF39" s="359"/>
      <c r="SG39" s="359"/>
      <c r="SH39" s="358"/>
      <c r="SI39" s="359"/>
      <c r="SJ39" s="359"/>
      <c r="SK39" s="359"/>
      <c r="SL39" s="359"/>
      <c r="SM39" s="358"/>
      <c r="SN39" s="359"/>
      <c r="SO39" s="359"/>
      <c r="SP39" s="359"/>
      <c r="SQ39" s="359"/>
      <c r="SR39" s="358"/>
      <c r="SS39" s="359"/>
      <c r="ST39" s="359"/>
      <c r="SU39" s="359"/>
      <c r="SV39" s="359"/>
      <c r="SW39" s="358"/>
      <c r="SX39" s="359"/>
      <c r="SY39" s="359"/>
      <c r="SZ39" s="359"/>
      <c r="TA39" s="359"/>
      <c r="TB39" s="354" t="n">
        <f aca="false">+AVERAGE(B39:IB39)</f>
        <v>3.41558441558442</v>
      </c>
    </row>
    <row r="40" customFormat="false" ht="15.5" hidden="false" customHeight="false" outlineLevel="0" collapsed="false">
      <c r="A40" s="356" t="s">
        <v>521</v>
      </c>
      <c r="B40" s="358" t="n">
        <v>3</v>
      </c>
      <c r="C40" s="359" t="n">
        <v>3</v>
      </c>
      <c r="D40" s="359" t="n">
        <v>5</v>
      </c>
      <c r="E40" s="359" t="n">
        <v>3</v>
      </c>
      <c r="F40" s="359" t="n">
        <v>3</v>
      </c>
      <c r="G40" s="358" t="n">
        <v>1</v>
      </c>
      <c r="H40" s="359" t="n">
        <v>3</v>
      </c>
      <c r="I40" s="359" t="n">
        <v>5</v>
      </c>
      <c r="J40" s="359" t="n">
        <v>1</v>
      </c>
      <c r="K40" s="359" t="n">
        <v>1</v>
      </c>
      <c r="L40" s="358" t="n">
        <v>1</v>
      </c>
      <c r="M40" s="359" t="n">
        <v>3</v>
      </c>
      <c r="N40" s="359" t="n">
        <v>3</v>
      </c>
      <c r="O40" s="359" t="n">
        <v>1</v>
      </c>
      <c r="P40" s="359" t="n">
        <v>1</v>
      </c>
      <c r="Q40" s="358" t="n">
        <v>1</v>
      </c>
      <c r="R40" s="359" t="n">
        <v>3</v>
      </c>
      <c r="S40" s="359" t="n">
        <v>5</v>
      </c>
      <c r="T40" s="359" t="n">
        <v>1</v>
      </c>
      <c r="U40" s="359" t="n">
        <v>3</v>
      </c>
      <c r="V40" s="358" t="n">
        <v>1</v>
      </c>
      <c r="W40" s="359" t="n">
        <v>5</v>
      </c>
      <c r="X40" s="359" t="n">
        <v>5</v>
      </c>
      <c r="Y40" s="359" t="n">
        <v>3</v>
      </c>
      <c r="Z40" s="359" t="n">
        <v>3</v>
      </c>
      <c r="AA40" s="358" t="n">
        <v>3</v>
      </c>
      <c r="AB40" s="359" t="n">
        <v>5</v>
      </c>
      <c r="AC40" s="359" t="n">
        <v>5</v>
      </c>
      <c r="AD40" s="359" t="n">
        <v>3</v>
      </c>
      <c r="AE40" s="359" t="n">
        <v>5</v>
      </c>
      <c r="AF40" s="358" t="n">
        <v>3</v>
      </c>
      <c r="AG40" s="359" t="n">
        <v>5</v>
      </c>
      <c r="AH40" s="359" t="n">
        <v>5</v>
      </c>
      <c r="AI40" s="359" t="n">
        <v>5</v>
      </c>
      <c r="AJ40" s="359" t="n">
        <v>5</v>
      </c>
      <c r="AK40" s="358" t="n">
        <v>3</v>
      </c>
      <c r="AL40" s="359" t="n">
        <v>5</v>
      </c>
      <c r="AM40" s="359" t="n">
        <v>5</v>
      </c>
      <c r="AN40" s="359" t="n">
        <v>5</v>
      </c>
      <c r="AO40" s="359" t="n">
        <v>5</v>
      </c>
      <c r="AP40" s="358" t="n">
        <v>1</v>
      </c>
      <c r="AQ40" s="359" t="n">
        <v>5</v>
      </c>
      <c r="AR40" s="359" t="n">
        <v>5</v>
      </c>
      <c r="AS40" s="359" t="n">
        <v>3</v>
      </c>
      <c r="AT40" s="359" t="n">
        <v>1</v>
      </c>
      <c r="AU40" s="358" t="n">
        <v>3</v>
      </c>
      <c r="AV40" s="359"/>
      <c r="AW40" s="359" t="n">
        <v>5</v>
      </c>
      <c r="AX40" s="359" t="n">
        <v>3</v>
      </c>
      <c r="AY40" s="359" t="n">
        <v>3</v>
      </c>
      <c r="AZ40" s="358" t="n">
        <v>1</v>
      </c>
      <c r="BA40" s="359"/>
      <c r="BB40" s="359" t="n">
        <v>5</v>
      </c>
      <c r="BC40" s="359" t="n">
        <v>1</v>
      </c>
      <c r="BD40" s="359" t="n">
        <v>1</v>
      </c>
      <c r="BE40" s="358" t="n">
        <v>1</v>
      </c>
      <c r="BF40" s="359" t="n">
        <v>5</v>
      </c>
      <c r="BG40" s="359" t="n">
        <v>5</v>
      </c>
      <c r="BH40" s="359" t="n">
        <v>1</v>
      </c>
      <c r="BI40" s="359" t="n">
        <v>1</v>
      </c>
      <c r="BJ40" s="358" t="n">
        <v>3</v>
      </c>
      <c r="BK40" s="359" t="n">
        <v>5</v>
      </c>
      <c r="BL40" s="359" t="n">
        <v>3</v>
      </c>
      <c r="BM40" s="359" t="n">
        <v>3</v>
      </c>
      <c r="BN40" s="359" t="n">
        <v>3</v>
      </c>
      <c r="BO40" s="358" t="n">
        <v>5</v>
      </c>
      <c r="BP40" s="359"/>
      <c r="BQ40" s="359" t="n">
        <v>5</v>
      </c>
      <c r="BR40" s="359" t="n">
        <v>3</v>
      </c>
      <c r="BS40" s="359" t="n">
        <v>5</v>
      </c>
      <c r="BT40" s="358" t="n">
        <v>3</v>
      </c>
      <c r="BU40" s="359" t="n">
        <v>5</v>
      </c>
      <c r="BV40" s="359" t="n">
        <v>5</v>
      </c>
      <c r="BW40" s="359" t="n">
        <v>3</v>
      </c>
      <c r="BX40" s="359" t="n">
        <v>5</v>
      </c>
      <c r="BY40" s="358" t="n">
        <v>5</v>
      </c>
      <c r="BZ40" s="358" t="n">
        <v>5</v>
      </c>
      <c r="CA40" s="359" t="n">
        <v>5</v>
      </c>
      <c r="CB40" s="359" t="n">
        <v>3</v>
      </c>
      <c r="CC40" s="359" t="n">
        <v>5</v>
      </c>
      <c r="CD40" s="358"/>
      <c r="CE40" s="359"/>
      <c r="CF40" s="359"/>
      <c r="CG40" s="359"/>
      <c r="CH40" s="359"/>
      <c r="CI40" s="358"/>
      <c r="CJ40" s="359"/>
      <c r="CK40" s="359"/>
      <c r="CL40" s="359"/>
      <c r="CM40" s="359"/>
      <c r="CN40" s="358"/>
      <c r="CO40" s="359"/>
      <c r="CP40" s="359"/>
      <c r="CQ40" s="359"/>
      <c r="CR40" s="359"/>
      <c r="CS40" s="358"/>
      <c r="CT40" s="359"/>
      <c r="CU40" s="359"/>
      <c r="CV40" s="359"/>
      <c r="CW40" s="359"/>
      <c r="CX40" s="358"/>
      <c r="CY40" s="359"/>
      <c r="CZ40" s="359"/>
      <c r="DA40" s="359"/>
      <c r="DB40" s="359"/>
      <c r="DC40" s="358"/>
      <c r="DD40" s="359"/>
      <c r="DE40" s="359"/>
      <c r="DF40" s="359"/>
      <c r="DG40" s="359"/>
      <c r="DH40" s="358"/>
      <c r="DI40" s="359"/>
      <c r="DJ40" s="359"/>
      <c r="DK40" s="359"/>
      <c r="DL40" s="359"/>
      <c r="DM40" s="358"/>
      <c r="DN40" s="359"/>
      <c r="DO40" s="359"/>
      <c r="DP40" s="359"/>
      <c r="DQ40" s="359"/>
      <c r="DR40" s="358"/>
      <c r="DS40" s="359"/>
      <c r="DT40" s="359"/>
      <c r="DU40" s="359"/>
      <c r="DV40" s="359"/>
      <c r="DW40" s="358"/>
      <c r="DX40" s="359"/>
      <c r="DY40" s="359"/>
      <c r="DZ40" s="359"/>
      <c r="EA40" s="359"/>
      <c r="EB40" s="358"/>
      <c r="EC40" s="359"/>
      <c r="ED40" s="359"/>
      <c r="EE40" s="359"/>
      <c r="EF40" s="359"/>
      <c r="EG40" s="358"/>
      <c r="EH40" s="359"/>
      <c r="EI40" s="359"/>
      <c r="EJ40" s="359"/>
      <c r="EK40" s="359"/>
      <c r="EL40" s="358"/>
      <c r="EM40" s="359"/>
      <c r="EN40" s="359"/>
      <c r="EO40" s="359"/>
      <c r="EP40" s="359"/>
      <c r="EQ40" s="358"/>
      <c r="ER40" s="359"/>
      <c r="ES40" s="359"/>
      <c r="ET40" s="359"/>
      <c r="EU40" s="359"/>
      <c r="EV40" s="358"/>
      <c r="EW40" s="359"/>
      <c r="EX40" s="359"/>
      <c r="EY40" s="359"/>
      <c r="EZ40" s="359"/>
      <c r="FA40" s="358"/>
      <c r="FB40" s="359"/>
      <c r="FC40" s="359"/>
      <c r="FD40" s="359"/>
      <c r="FE40" s="359"/>
      <c r="FF40" s="358"/>
      <c r="FG40" s="359"/>
      <c r="FH40" s="359"/>
      <c r="FI40" s="359"/>
      <c r="FJ40" s="359"/>
      <c r="FK40" s="358"/>
      <c r="FL40" s="359"/>
      <c r="FM40" s="359"/>
      <c r="FN40" s="359"/>
      <c r="FO40" s="359"/>
      <c r="FP40" s="358"/>
      <c r="FQ40" s="359"/>
      <c r="FR40" s="359"/>
      <c r="FS40" s="359"/>
      <c r="FT40" s="359"/>
      <c r="FU40" s="358"/>
      <c r="FV40" s="359"/>
      <c r="FW40" s="359"/>
      <c r="FX40" s="359"/>
      <c r="FY40" s="359"/>
      <c r="FZ40" s="358"/>
      <c r="GA40" s="359"/>
      <c r="GB40" s="359"/>
      <c r="GC40" s="359"/>
      <c r="GD40" s="359"/>
      <c r="GE40" s="358"/>
      <c r="GF40" s="359"/>
      <c r="GG40" s="359"/>
      <c r="GH40" s="359"/>
      <c r="GI40" s="359"/>
      <c r="GJ40" s="358"/>
      <c r="GK40" s="359"/>
      <c r="GL40" s="359"/>
      <c r="GM40" s="359"/>
      <c r="GN40" s="359"/>
      <c r="GO40" s="358"/>
      <c r="GP40" s="359"/>
      <c r="GQ40" s="359"/>
      <c r="GR40" s="359"/>
      <c r="GS40" s="359"/>
      <c r="GT40" s="358"/>
      <c r="GU40" s="359"/>
      <c r="GV40" s="359"/>
      <c r="GW40" s="359"/>
      <c r="GX40" s="359"/>
      <c r="GY40" s="358"/>
      <c r="GZ40" s="359"/>
      <c r="HA40" s="359"/>
      <c r="HB40" s="359"/>
      <c r="HC40" s="359"/>
      <c r="HD40" s="358"/>
      <c r="HE40" s="359"/>
      <c r="HF40" s="359"/>
      <c r="HG40" s="359"/>
      <c r="HH40" s="359"/>
      <c r="HI40" s="358"/>
      <c r="HJ40" s="359"/>
      <c r="HK40" s="359"/>
      <c r="HL40" s="359"/>
      <c r="HM40" s="359"/>
      <c r="HN40" s="358"/>
      <c r="HO40" s="359"/>
      <c r="HP40" s="359"/>
      <c r="HQ40" s="359"/>
      <c r="HR40" s="359"/>
      <c r="HS40" s="358"/>
      <c r="HT40" s="359"/>
      <c r="HU40" s="359"/>
      <c r="HV40" s="359"/>
      <c r="HW40" s="359"/>
      <c r="HX40" s="358"/>
      <c r="HY40" s="359"/>
      <c r="HZ40" s="359"/>
      <c r="IA40" s="359"/>
      <c r="IB40" s="359"/>
      <c r="IC40" s="358"/>
      <c r="ID40" s="359"/>
      <c r="IE40" s="359"/>
      <c r="IF40" s="359"/>
      <c r="IG40" s="359"/>
      <c r="IH40" s="358"/>
      <c r="II40" s="359"/>
      <c r="IJ40" s="359"/>
      <c r="IK40" s="359"/>
      <c r="IL40" s="359"/>
      <c r="IM40" s="358"/>
      <c r="IN40" s="359"/>
      <c r="IO40" s="359"/>
      <c r="IP40" s="359"/>
      <c r="IQ40" s="359"/>
      <c r="IR40" s="358"/>
      <c r="IS40" s="359"/>
      <c r="IT40" s="359"/>
      <c r="IU40" s="359"/>
      <c r="IV40" s="359"/>
      <c r="IW40" s="358"/>
      <c r="IX40" s="359"/>
      <c r="IY40" s="359"/>
      <c r="IZ40" s="359"/>
      <c r="JA40" s="359"/>
      <c r="JB40" s="358"/>
      <c r="JC40" s="359"/>
      <c r="JD40" s="359"/>
      <c r="JE40" s="359"/>
      <c r="JF40" s="359"/>
      <c r="JG40" s="358"/>
      <c r="JH40" s="359"/>
      <c r="JI40" s="359"/>
      <c r="JJ40" s="359"/>
      <c r="JK40" s="359"/>
      <c r="JL40" s="358"/>
      <c r="JM40" s="359"/>
      <c r="JN40" s="359"/>
      <c r="JO40" s="359"/>
      <c r="JP40" s="359"/>
      <c r="JQ40" s="358"/>
      <c r="JR40" s="359"/>
      <c r="JS40" s="359"/>
      <c r="JT40" s="359"/>
      <c r="JU40" s="359"/>
      <c r="JV40" s="358"/>
      <c r="JW40" s="359"/>
      <c r="JX40" s="359"/>
      <c r="JY40" s="359"/>
      <c r="JZ40" s="359"/>
      <c r="KA40" s="358"/>
      <c r="KB40" s="359"/>
      <c r="KC40" s="359"/>
      <c r="KD40" s="359"/>
      <c r="KE40" s="359"/>
      <c r="KF40" s="358"/>
      <c r="KG40" s="359"/>
      <c r="KH40" s="359"/>
      <c r="KI40" s="359"/>
      <c r="KJ40" s="359"/>
      <c r="KK40" s="358"/>
      <c r="KL40" s="359"/>
      <c r="KM40" s="359"/>
      <c r="KN40" s="359"/>
      <c r="KO40" s="359"/>
      <c r="KP40" s="358"/>
      <c r="KQ40" s="359"/>
      <c r="KR40" s="359"/>
      <c r="KS40" s="359"/>
      <c r="KT40" s="359"/>
      <c r="KU40" s="358"/>
      <c r="KV40" s="359"/>
      <c r="KW40" s="359"/>
      <c r="KX40" s="359"/>
      <c r="KY40" s="359"/>
      <c r="KZ40" s="358"/>
      <c r="LA40" s="359"/>
      <c r="LB40" s="359"/>
      <c r="LC40" s="359"/>
      <c r="LD40" s="359"/>
      <c r="LE40" s="358"/>
      <c r="LF40" s="359"/>
      <c r="LG40" s="359"/>
      <c r="LH40" s="359"/>
      <c r="LI40" s="359"/>
      <c r="LJ40" s="358"/>
      <c r="LK40" s="359"/>
      <c r="LL40" s="359"/>
      <c r="LM40" s="359"/>
      <c r="LN40" s="359"/>
      <c r="LO40" s="358"/>
      <c r="LP40" s="359"/>
      <c r="LQ40" s="359"/>
      <c r="LR40" s="359"/>
      <c r="LS40" s="359"/>
      <c r="LT40" s="358"/>
      <c r="LU40" s="359"/>
      <c r="LV40" s="359"/>
      <c r="LW40" s="359"/>
      <c r="LX40" s="359"/>
      <c r="LY40" s="358"/>
      <c r="LZ40" s="359"/>
      <c r="MA40" s="359"/>
      <c r="MB40" s="359"/>
      <c r="MC40" s="359"/>
      <c r="MD40" s="358"/>
      <c r="ME40" s="359"/>
      <c r="MF40" s="359"/>
      <c r="MG40" s="359"/>
      <c r="MH40" s="359"/>
      <c r="MI40" s="358"/>
      <c r="MJ40" s="359"/>
      <c r="MK40" s="359"/>
      <c r="ML40" s="359"/>
      <c r="MM40" s="359"/>
      <c r="MN40" s="358"/>
      <c r="MO40" s="359"/>
      <c r="MP40" s="359"/>
      <c r="MQ40" s="359"/>
      <c r="MR40" s="359"/>
      <c r="MS40" s="358"/>
      <c r="MT40" s="359"/>
      <c r="MU40" s="359"/>
      <c r="MV40" s="359"/>
      <c r="MW40" s="359"/>
      <c r="MX40" s="358"/>
      <c r="MY40" s="359"/>
      <c r="MZ40" s="359"/>
      <c r="NA40" s="359"/>
      <c r="NB40" s="359"/>
      <c r="NC40" s="358"/>
      <c r="ND40" s="359"/>
      <c r="NE40" s="359"/>
      <c r="NF40" s="359"/>
      <c r="NG40" s="359"/>
      <c r="NH40" s="358"/>
      <c r="NI40" s="359"/>
      <c r="NJ40" s="359"/>
      <c r="NK40" s="359"/>
      <c r="NL40" s="359"/>
      <c r="NM40" s="358"/>
      <c r="NN40" s="359"/>
      <c r="NO40" s="359"/>
      <c r="NP40" s="359"/>
      <c r="NQ40" s="359"/>
      <c r="NR40" s="358"/>
      <c r="NS40" s="359"/>
      <c r="NT40" s="359"/>
      <c r="NU40" s="359"/>
      <c r="NV40" s="359"/>
      <c r="NW40" s="358"/>
      <c r="NX40" s="359"/>
      <c r="NY40" s="359"/>
      <c r="NZ40" s="359"/>
      <c r="OA40" s="359"/>
      <c r="OB40" s="358"/>
      <c r="OC40" s="359"/>
      <c r="OD40" s="359"/>
      <c r="OE40" s="359"/>
      <c r="OF40" s="359"/>
      <c r="OG40" s="358"/>
      <c r="OH40" s="359"/>
      <c r="OI40" s="359"/>
      <c r="OJ40" s="359"/>
      <c r="OK40" s="359"/>
      <c r="OL40" s="358"/>
      <c r="OM40" s="359"/>
      <c r="ON40" s="359"/>
      <c r="OO40" s="359"/>
      <c r="OP40" s="359"/>
      <c r="OQ40" s="358"/>
      <c r="OR40" s="359"/>
      <c r="OS40" s="359"/>
      <c r="OT40" s="359"/>
      <c r="OU40" s="359"/>
      <c r="OV40" s="358"/>
      <c r="OW40" s="359"/>
      <c r="OX40" s="359"/>
      <c r="OY40" s="359"/>
      <c r="OZ40" s="359"/>
      <c r="PA40" s="358"/>
      <c r="PB40" s="359"/>
      <c r="PC40" s="359"/>
      <c r="PD40" s="359"/>
      <c r="PE40" s="359"/>
      <c r="PF40" s="358"/>
      <c r="PG40" s="359"/>
      <c r="PH40" s="359"/>
      <c r="PI40" s="359"/>
      <c r="PJ40" s="359"/>
      <c r="PK40" s="358"/>
      <c r="PL40" s="359"/>
      <c r="PM40" s="359"/>
      <c r="PN40" s="359"/>
      <c r="PO40" s="359"/>
      <c r="PP40" s="358"/>
      <c r="PQ40" s="359"/>
      <c r="PR40" s="359"/>
      <c r="PS40" s="359"/>
      <c r="PT40" s="359"/>
      <c r="PU40" s="358"/>
      <c r="PV40" s="359"/>
      <c r="PW40" s="359"/>
      <c r="PX40" s="359"/>
      <c r="PY40" s="359"/>
      <c r="PZ40" s="358"/>
      <c r="QA40" s="359"/>
      <c r="QB40" s="359"/>
      <c r="QC40" s="359"/>
      <c r="QD40" s="359"/>
      <c r="QE40" s="358"/>
      <c r="QF40" s="359"/>
      <c r="QG40" s="359"/>
      <c r="QH40" s="359"/>
      <c r="QI40" s="359"/>
      <c r="QJ40" s="358"/>
      <c r="QK40" s="359"/>
      <c r="QL40" s="359"/>
      <c r="QM40" s="359"/>
      <c r="QN40" s="359"/>
      <c r="QO40" s="358"/>
      <c r="QP40" s="359"/>
      <c r="QQ40" s="359"/>
      <c r="QR40" s="359"/>
      <c r="QS40" s="359"/>
      <c r="QT40" s="358"/>
      <c r="QU40" s="359"/>
      <c r="QV40" s="359"/>
      <c r="QW40" s="359"/>
      <c r="QX40" s="359"/>
      <c r="QY40" s="358"/>
      <c r="QZ40" s="359"/>
      <c r="RA40" s="359"/>
      <c r="RB40" s="359"/>
      <c r="RC40" s="359"/>
      <c r="RD40" s="358"/>
      <c r="RE40" s="359"/>
      <c r="RF40" s="359"/>
      <c r="RG40" s="359"/>
      <c r="RH40" s="359"/>
      <c r="RI40" s="358"/>
      <c r="RJ40" s="359"/>
      <c r="RK40" s="359"/>
      <c r="RL40" s="359"/>
      <c r="RM40" s="359"/>
      <c r="RN40" s="358"/>
      <c r="RO40" s="359"/>
      <c r="RP40" s="359"/>
      <c r="RQ40" s="359"/>
      <c r="RR40" s="359"/>
      <c r="RS40" s="358"/>
      <c r="RT40" s="359"/>
      <c r="RU40" s="359"/>
      <c r="RV40" s="359"/>
      <c r="RW40" s="359"/>
      <c r="RX40" s="358"/>
      <c r="RY40" s="359"/>
      <c r="RZ40" s="359"/>
      <c r="SA40" s="359"/>
      <c r="SB40" s="359"/>
      <c r="SC40" s="358"/>
      <c r="SD40" s="359"/>
      <c r="SE40" s="359"/>
      <c r="SF40" s="359"/>
      <c r="SG40" s="359"/>
      <c r="SH40" s="358"/>
      <c r="SI40" s="359"/>
      <c r="SJ40" s="359"/>
      <c r="SK40" s="359"/>
      <c r="SL40" s="359"/>
      <c r="SM40" s="358"/>
      <c r="SN40" s="359"/>
      <c r="SO40" s="359"/>
      <c r="SP40" s="359"/>
      <c r="SQ40" s="359"/>
      <c r="SR40" s="358"/>
      <c r="SS40" s="359"/>
      <c r="ST40" s="359"/>
      <c r="SU40" s="359"/>
      <c r="SV40" s="359"/>
      <c r="SW40" s="358"/>
      <c r="SX40" s="359"/>
      <c r="SY40" s="359"/>
      <c r="SZ40" s="359"/>
      <c r="TA40" s="359"/>
      <c r="TB40" s="354" t="n">
        <f aca="false">+AVERAGE(B40:IB40)</f>
        <v>3.41558441558442</v>
      </c>
    </row>
    <row r="41" customFormat="false" ht="15.5" hidden="false" customHeight="false" outlineLevel="0" collapsed="false">
      <c r="A41" s="356" t="s">
        <v>521</v>
      </c>
      <c r="B41" s="358" t="n">
        <v>3</v>
      </c>
      <c r="C41" s="359" t="n">
        <v>3</v>
      </c>
      <c r="D41" s="359" t="n">
        <v>5</v>
      </c>
      <c r="E41" s="359" t="n">
        <v>3</v>
      </c>
      <c r="F41" s="359" t="n">
        <v>3</v>
      </c>
      <c r="G41" s="358" t="n">
        <v>1</v>
      </c>
      <c r="H41" s="359" t="n">
        <v>3</v>
      </c>
      <c r="I41" s="359" t="n">
        <v>5</v>
      </c>
      <c r="J41" s="359" t="n">
        <v>1</v>
      </c>
      <c r="K41" s="359" t="n">
        <v>1</v>
      </c>
      <c r="L41" s="358" t="n">
        <v>1</v>
      </c>
      <c r="M41" s="359" t="n">
        <v>3</v>
      </c>
      <c r="N41" s="359" t="n">
        <v>3</v>
      </c>
      <c r="O41" s="359" t="n">
        <v>1</v>
      </c>
      <c r="P41" s="359" t="n">
        <v>1</v>
      </c>
      <c r="Q41" s="358" t="n">
        <v>1</v>
      </c>
      <c r="R41" s="359" t="n">
        <v>3</v>
      </c>
      <c r="S41" s="359" t="n">
        <v>5</v>
      </c>
      <c r="T41" s="359" t="n">
        <v>1</v>
      </c>
      <c r="U41" s="359" t="n">
        <v>3</v>
      </c>
      <c r="V41" s="358" t="n">
        <v>1</v>
      </c>
      <c r="W41" s="359" t="n">
        <v>5</v>
      </c>
      <c r="X41" s="359" t="n">
        <v>5</v>
      </c>
      <c r="Y41" s="359" t="n">
        <v>3</v>
      </c>
      <c r="Z41" s="359" t="n">
        <v>3</v>
      </c>
      <c r="AA41" s="358" t="n">
        <v>3</v>
      </c>
      <c r="AB41" s="359" t="n">
        <v>5</v>
      </c>
      <c r="AC41" s="359" t="n">
        <v>5</v>
      </c>
      <c r="AD41" s="359" t="n">
        <v>3</v>
      </c>
      <c r="AE41" s="359" t="n">
        <v>5</v>
      </c>
      <c r="AF41" s="358" t="n">
        <v>3</v>
      </c>
      <c r="AG41" s="359" t="n">
        <v>5</v>
      </c>
      <c r="AH41" s="359" t="n">
        <v>5</v>
      </c>
      <c r="AI41" s="359" t="n">
        <v>5</v>
      </c>
      <c r="AJ41" s="359" t="n">
        <v>5</v>
      </c>
      <c r="AK41" s="358" t="n">
        <v>3</v>
      </c>
      <c r="AL41" s="359" t="n">
        <v>5</v>
      </c>
      <c r="AM41" s="359" t="n">
        <v>5</v>
      </c>
      <c r="AN41" s="359" t="n">
        <v>5</v>
      </c>
      <c r="AO41" s="359" t="n">
        <v>5</v>
      </c>
      <c r="AP41" s="358" t="n">
        <v>1</v>
      </c>
      <c r="AQ41" s="359" t="n">
        <v>5</v>
      </c>
      <c r="AR41" s="359" t="n">
        <v>5</v>
      </c>
      <c r="AS41" s="359" t="n">
        <v>3</v>
      </c>
      <c r="AT41" s="359" t="n">
        <v>1</v>
      </c>
      <c r="AU41" s="358" t="n">
        <v>3</v>
      </c>
      <c r="AV41" s="359"/>
      <c r="AW41" s="359" t="n">
        <v>5</v>
      </c>
      <c r="AX41" s="359" t="n">
        <v>3</v>
      </c>
      <c r="AY41" s="359" t="n">
        <v>3</v>
      </c>
      <c r="AZ41" s="358" t="n">
        <v>1</v>
      </c>
      <c r="BA41" s="359"/>
      <c r="BB41" s="359" t="n">
        <v>5</v>
      </c>
      <c r="BC41" s="359" t="n">
        <v>1</v>
      </c>
      <c r="BD41" s="359" t="n">
        <v>1</v>
      </c>
      <c r="BE41" s="358" t="n">
        <v>1</v>
      </c>
      <c r="BF41" s="359" t="n">
        <v>5</v>
      </c>
      <c r="BG41" s="359" t="n">
        <v>5</v>
      </c>
      <c r="BH41" s="359" t="n">
        <v>1</v>
      </c>
      <c r="BI41" s="359" t="n">
        <v>1</v>
      </c>
      <c r="BJ41" s="358" t="n">
        <v>3</v>
      </c>
      <c r="BK41" s="359" t="n">
        <v>5</v>
      </c>
      <c r="BL41" s="359" t="n">
        <v>3</v>
      </c>
      <c r="BM41" s="359" t="n">
        <v>3</v>
      </c>
      <c r="BN41" s="359" t="n">
        <v>3</v>
      </c>
      <c r="BO41" s="358" t="n">
        <v>5</v>
      </c>
      <c r="BP41" s="359"/>
      <c r="BQ41" s="359" t="n">
        <v>5</v>
      </c>
      <c r="BR41" s="359" t="n">
        <v>3</v>
      </c>
      <c r="BS41" s="359" t="n">
        <v>5</v>
      </c>
      <c r="BT41" s="358" t="n">
        <v>3</v>
      </c>
      <c r="BU41" s="359" t="n">
        <v>5</v>
      </c>
      <c r="BV41" s="359" t="n">
        <v>5</v>
      </c>
      <c r="BW41" s="359" t="n">
        <v>3</v>
      </c>
      <c r="BX41" s="359" t="n">
        <v>5</v>
      </c>
      <c r="BY41" s="358" t="n">
        <v>5</v>
      </c>
      <c r="BZ41" s="358" t="n">
        <v>5</v>
      </c>
      <c r="CA41" s="359" t="n">
        <v>5</v>
      </c>
      <c r="CB41" s="359" t="n">
        <v>3</v>
      </c>
      <c r="CC41" s="359" t="n">
        <v>5</v>
      </c>
      <c r="CD41" s="358"/>
      <c r="CE41" s="359"/>
      <c r="CF41" s="359"/>
      <c r="CG41" s="359"/>
      <c r="CH41" s="359"/>
      <c r="CI41" s="358"/>
      <c r="CJ41" s="359"/>
      <c r="CK41" s="359"/>
      <c r="CL41" s="359"/>
      <c r="CM41" s="359"/>
      <c r="CN41" s="358"/>
      <c r="CO41" s="359"/>
      <c r="CP41" s="359"/>
      <c r="CQ41" s="359"/>
      <c r="CR41" s="359"/>
      <c r="CS41" s="358"/>
      <c r="CT41" s="359"/>
      <c r="CU41" s="359"/>
      <c r="CV41" s="359"/>
      <c r="CW41" s="359"/>
      <c r="CX41" s="358"/>
      <c r="CY41" s="359"/>
      <c r="CZ41" s="359"/>
      <c r="DA41" s="359"/>
      <c r="DB41" s="359"/>
      <c r="DC41" s="358"/>
      <c r="DD41" s="359"/>
      <c r="DE41" s="359"/>
      <c r="DF41" s="359"/>
      <c r="DG41" s="359"/>
      <c r="DH41" s="358"/>
      <c r="DI41" s="359"/>
      <c r="DJ41" s="359"/>
      <c r="DK41" s="359"/>
      <c r="DL41" s="359"/>
      <c r="DM41" s="358"/>
      <c r="DN41" s="359"/>
      <c r="DO41" s="359"/>
      <c r="DP41" s="359"/>
      <c r="DQ41" s="359"/>
      <c r="DR41" s="358"/>
      <c r="DS41" s="359"/>
      <c r="DT41" s="359"/>
      <c r="DU41" s="359"/>
      <c r="DV41" s="359"/>
      <c r="DW41" s="358"/>
      <c r="DX41" s="359"/>
      <c r="DY41" s="359"/>
      <c r="DZ41" s="359"/>
      <c r="EA41" s="359"/>
      <c r="EB41" s="358"/>
      <c r="EC41" s="359"/>
      <c r="ED41" s="359"/>
      <c r="EE41" s="359"/>
      <c r="EF41" s="359"/>
      <c r="EG41" s="358"/>
      <c r="EH41" s="359"/>
      <c r="EI41" s="359"/>
      <c r="EJ41" s="359"/>
      <c r="EK41" s="359"/>
      <c r="EL41" s="358"/>
      <c r="EM41" s="359"/>
      <c r="EN41" s="359"/>
      <c r="EO41" s="359"/>
      <c r="EP41" s="359"/>
      <c r="EQ41" s="358"/>
      <c r="ER41" s="359"/>
      <c r="ES41" s="359"/>
      <c r="ET41" s="359"/>
      <c r="EU41" s="359"/>
      <c r="EV41" s="358"/>
      <c r="EW41" s="359"/>
      <c r="EX41" s="359"/>
      <c r="EY41" s="359"/>
      <c r="EZ41" s="359"/>
      <c r="FA41" s="358"/>
      <c r="FB41" s="359"/>
      <c r="FC41" s="359"/>
      <c r="FD41" s="359"/>
      <c r="FE41" s="359"/>
      <c r="FF41" s="358"/>
      <c r="FG41" s="359"/>
      <c r="FH41" s="359"/>
      <c r="FI41" s="359"/>
      <c r="FJ41" s="359"/>
      <c r="FK41" s="358"/>
      <c r="FL41" s="359"/>
      <c r="FM41" s="359"/>
      <c r="FN41" s="359"/>
      <c r="FO41" s="359"/>
      <c r="FP41" s="358"/>
      <c r="FQ41" s="359"/>
      <c r="FR41" s="359"/>
      <c r="FS41" s="359"/>
      <c r="FT41" s="359"/>
      <c r="FU41" s="358"/>
      <c r="FV41" s="359"/>
      <c r="FW41" s="359"/>
      <c r="FX41" s="359"/>
      <c r="FY41" s="359"/>
      <c r="FZ41" s="358"/>
      <c r="GA41" s="359"/>
      <c r="GB41" s="359"/>
      <c r="GC41" s="359"/>
      <c r="GD41" s="359"/>
      <c r="GE41" s="358"/>
      <c r="GF41" s="359"/>
      <c r="GG41" s="359"/>
      <c r="GH41" s="359"/>
      <c r="GI41" s="359"/>
      <c r="GJ41" s="358"/>
      <c r="GK41" s="359"/>
      <c r="GL41" s="359"/>
      <c r="GM41" s="359"/>
      <c r="GN41" s="359"/>
      <c r="GO41" s="358"/>
      <c r="GP41" s="359"/>
      <c r="GQ41" s="359"/>
      <c r="GR41" s="359"/>
      <c r="GS41" s="359"/>
      <c r="GT41" s="358"/>
      <c r="GU41" s="359"/>
      <c r="GV41" s="359"/>
      <c r="GW41" s="359"/>
      <c r="GX41" s="359"/>
      <c r="GY41" s="358"/>
      <c r="GZ41" s="359"/>
      <c r="HA41" s="359"/>
      <c r="HB41" s="359"/>
      <c r="HC41" s="359"/>
      <c r="HD41" s="358"/>
      <c r="HE41" s="359"/>
      <c r="HF41" s="359"/>
      <c r="HG41" s="359"/>
      <c r="HH41" s="359"/>
      <c r="HI41" s="358"/>
      <c r="HJ41" s="359"/>
      <c r="HK41" s="359"/>
      <c r="HL41" s="359"/>
      <c r="HM41" s="359"/>
      <c r="HN41" s="358"/>
      <c r="HO41" s="359"/>
      <c r="HP41" s="359"/>
      <c r="HQ41" s="359"/>
      <c r="HR41" s="359"/>
      <c r="HS41" s="358"/>
      <c r="HT41" s="359"/>
      <c r="HU41" s="359"/>
      <c r="HV41" s="359"/>
      <c r="HW41" s="359"/>
      <c r="HX41" s="358"/>
      <c r="HY41" s="359"/>
      <c r="HZ41" s="359"/>
      <c r="IA41" s="359"/>
      <c r="IB41" s="359"/>
      <c r="IC41" s="358"/>
      <c r="ID41" s="359"/>
      <c r="IE41" s="359"/>
      <c r="IF41" s="359"/>
      <c r="IG41" s="359"/>
      <c r="IH41" s="358"/>
      <c r="II41" s="359"/>
      <c r="IJ41" s="359"/>
      <c r="IK41" s="359"/>
      <c r="IL41" s="359"/>
      <c r="IM41" s="358"/>
      <c r="IN41" s="359"/>
      <c r="IO41" s="359"/>
      <c r="IP41" s="359"/>
      <c r="IQ41" s="359"/>
      <c r="IR41" s="358"/>
      <c r="IS41" s="359"/>
      <c r="IT41" s="359"/>
      <c r="IU41" s="359"/>
      <c r="IV41" s="359"/>
      <c r="IW41" s="358"/>
      <c r="IX41" s="359"/>
      <c r="IY41" s="359"/>
      <c r="IZ41" s="359"/>
      <c r="JA41" s="359"/>
      <c r="JB41" s="358"/>
      <c r="JC41" s="359"/>
      <c r="JD41" s="359"/>
      <c r="JE41" s="359"/>
      <c r="JF41" s="359"/>
      <c r="JG41" s="358"/>
      <c r="JH41" s="359"/>
      <c r="JI41" s="359"/>
      <c r="JJ41" s="359"/>
      <c r="JK41" s="359"/>
      <c r="JL41" s="358"/>
      <c r="JM41" s="359"/>
      <c r="JN41" s="359"/>
      <c r="JO41" s="359"/>
      <c r="JP41" s="359"/>
      <c r="JQ41" s="358"/>
      <c r="JR41" s="359"/>
      <c r="JS41" s="359"/>
      <c r="JT41" s="359"/>
      <c r="JU41" s="359"/>
      <c r="JV41" s="358"/>
      <c r="JW41" s="359"/>
      <c r="JX41" s="359"/>
      <c r="JY41" s="359"/>
      <c r="JZ41" s="359"/>
      <c r="KA41" s="358"/>
      <c r="KB41" s="359"/>
      <c r="KC41" s="359"/>
      <c r="KD41" s="359"/>
      <c r="KE41" s="359"/>
      <c r="KF41" s="358"/>
      <c r="KG41" s="359"/>
      <c r="KH41" s="359"/>
      <c r="KI41" s="359"/>
      <c r="KJ41" s="359"/>
      <c r="KK41" s="358"/>
      <c r="KL41" s="359"/>
      <c r="KM41" s="359"/>
      <c r="KN41" s="359"/>
      <c r="KO41" s="359"/>
      <c r="KP41" s="358"/>
      <c r="KQ41" s="359"/>
      <c r="KR41" s="359"/>
      <c r="KS41" s="359"/>
      <c r="KT41" s="359"/>
      <c r="KU41" s="358"/>
      <c r="KV41" s="359"/>
      <c r="KW41" s="359"/>
      <c r="KX41" s="359"/>
      <c r="KY41" s="359"/>
      <c r="KZ41" s="358"/>
      <c r="LA41" s="359"/>
      <c r="LB41" s="359"/>
      <c r="LC41" s="359"/>
      <c r="LD41" s="359"/>
      <c r="LE41" s="358"/>
      <c r="LF41" s="359"/>
      <c r="LG41" s="359"/>
      <c r="LH41" s="359"/>
      <c r="LI41" s="359"/>
      <c r="LJ41" s="358"/>
      <c r="LK41" s="359"/>
      <c r="LL41" s="359"/>
      <c r="LM41" s="359"/>
      <c r="LN41" s="359"/>
      <c r="LO41" s="358"/>
      <c r="LP41" s="359"/>
      <c r="LQ41" s="359"/>
      <c r="LR41" s="359"/>
      <c r="LS41" s="359"/>
      <c r="LT41" s="358"/>
      <c r="LU41" s="359"/>
      <c r="LV41" s="359"/>
      <c r="LW41" s="359"/>
      <c r="LX41" s="359"/>
      <c r="LY41" s="358"/>
      <c r="LZ41" s="359"/>
      <c r="MA41" s="359"/>
      <c r="MB41" s="359"/>
      <c r="MC41" s="359"/>
      <c r="MD41" s="358"/>
      <c r="ME41" s="359"/>
      <c r="MF41" s="359"/>
      <c r="MG41" s="359"/>
      <c r="MH41" s="359"/>
      <c r="MI41" s="358"/>
      <c r="MJ41" s="359"/>
      <c r="MK41" s="359"/>
      <c r="ML41" s="359"/>
      <c r="MM41" s="359"/>
      <c r="MN41" s="358"/>
      <c r="MO41" s="359"/>
      <c r="MP41" s="359"/>
      <c r="MQ41" s="359"/>
      <c r="MR41" s="359"/>
      <c r="MS41" s="358"/>
      <c r="MT41" s="359"/>
      <c r="MU41" s="359"/>
      <c r="MV41" s="359"/>
      <c r="MW41" s="359"/>
      <c r="MX41" s="358"/>
      <c r="MY41" s="359"/>
      <c r="MZ41" s="359"/>
      <c r="NA41" s="359"/>
      <c r="NB41" s="359"/>
      <c r="NC41" s="358"/>
      <c r="ND41" s="359"/>
      <c r="NE41" s="359"/>
      <c r="NF41" s="359"/>
      <c r="NG41" s="359"/>
      <c r="NH41" s="358"/>
      <c r="NI41" s="359"/>
      <c r="NJ41" s="359"/>
      <c r="NK41" s="359"/>
      <c r="NL41" s="359"/>
      <c r="NM41" s="358"/>
      <c r="NN41" s="359"/>
      <c r="NO41" s="359"/>
      <c r="NP41" s="359"/>
      <c r="NQ41" s="359"/>
      <c r="NR41" s="358"/>
      <c r="NS41" s="359"/>
      <c r="NT41" s="359"/>
      <c r="NU41" s="359"/>
      <c r="NV41" s="359"/>
      <c r="NW41" s="358"/>
      <c r="NX41" s="359"/>
      <c r="NY41" s="359"/>
      <c r="NZ41" s="359"/>
      <c r="OA41" s="359"/>
      <c r="OB41" s="358"/>
      <c r="OC41" s="359"/>
      <c r="OD41" s="359"/>
      <c r="OE41" s="359"/>
      <c r="OF41" s="359"/>
      <c r="OG41" s="358"/>
      <c r="OH41" s="359"/>
      <c r="OI41" s="359"/>
      <c r="OJ41" s="359"/>
      <c r="OK41" s="359"/>
      <c r="OL41" s="358"/>
      <c r="OM41" s="359"/>
      <c r="ON41" s="359"/>
      <c r="OO41" s="359"/>
      <c r="OP41" s="359"/>
      <c r="OQ41" s="358"/>
      <c r="OR41" s="359"/>
      <c r="OS41" s="359"/>
      <c r="OT41" s="359"/>
      <c r="OU41" s="359"/>
      <c r="OV41" s="358"/>
      <c r="OW41" s="359"/>
      <c r="OX41" s="359"/>
      <c r="OY41" s="359"/>
      <c r="OZ41" s="359"/>
      <c r="PA41" s="358"/>
      <c r="PB41" s="359"/>
      <c r="PC41" s="359"/>
      <c r="PD41" s="359"/>
      <c r="PE41" s="359"/>
      <c r="PF41" s="358"/>
      <c r="PG41" s="359"/>
      <c r="PH41" s="359"/>
      <c r="PI41" s="359"/>
      <c r="PJ41" s="359"/>
      <c r="PK41" s="358"/>
      <c r="PL41" s="359"/>
      <c r="PM41" s="359"/>
      <c r="PN41" s="359"/>
      <c r="PO41" s="359"/>
      <c r="PP41" s="358"/>
      <c r="PQ41" s="359"/>
      <c r="PR41" s="359"/>
      <c r="PS41" s="359"/>
      <c r="PT41" s="359"/>
      <c r="PU41" s="358"/>
      <c r="PV41" s="359"/>
      <c r="PW41" s="359"/>
      <c r="PX41" s="359"/>
      <c r="PY41" s="359"/>
      <c r="PZ41" s="358"/>
      <c r="QA41" s="359"/>
      <c r="QB41" s="359"/>
      <c r="QC41" s="359"/>
      <c r="QD41" s="359"/>
      <c r="QE41" s="358"/>
      <c r="QF41" s="359"/>
      <c r="QG41" s="359"/>
      <c r="QH41" s="359"/>
      <c r="QI41" s="359"/>
      <c r="QJ41" s="358"/>
      <c r="QK41" s="359"/>
      <c r="QL41" s="359"/>
      <c r="QM41" s="359"/>
      <c r="QN41" s="359"/>
      <c r="QO41" s="358"/>
      <c r="QP41" s="359"/>
      <c r="QQ41" s="359"/>
      <c r="QR41" s="359"/>
      <c r="QS41" s="359"/>
      <c r="QT41" s="358"/>
      <c r="QU41" s="359"/>
      <c r="QV41" s="359"/>
      <c r="QW41" s="359"/>
      <c r="QX41" s="359"/>
      <c r="QY41" s="358"/>
      <c r="QZ41" s="359"/>
      <c r="RA41" s="359"/>
      <c r="RB41" s="359"/>
      <c r="RC41" s="359"/>
      <c r="RD41" s="358"/>
      <c r="RE41" s="359"/>
      <c r="RF41" s="359"/>
      <c r="RG41" s="359"/>
      <c r="RH41" s="359"/>
      <c r="RI41" s="358"/>
      <c r="RJ41" s="359"/>
      <c r="RK41" s="359"/>
      <c r="RL41" s="359"/>
      <c r="RM41" s="359"/>
      <c r="RN41" s="358"/>
      <c r="RO41" s="359"/>
      <c r="RP41" s="359"/>
      <c r="RQ41" s="359"/>
      <c r="RR41" s="359"/>
      <c r="RS41" s="358"/>
      <c r="RT41" s="359"/>
      <c r="RU41" s="359"/>
      <c r="RV41" s="359"/>
      <c r="RW41" s="359"/>
      <c r="RX41" s="358"/>
      <c r="RY41" s="359"/>
      <c r="RZ41" s="359"/>
      <c r="SA41" s="359"/>
      <c r="SB41" s="359"/>
      <c r="SC41" s="358"/>
      <c r="SD41" s="359"/>
      <c r="SE41" s="359"/>
      <c r="SF41" s="359"/>
      <c r="SG41" s="359"/>
      <c r="SH41" s="358"/>
      <c r="SI41" s="359"/>
      <c r="SJ41" s="359"/>
      <c r="SK41" s="359"/>
      <c r="SL41" s="359"/>
      <c r="SM41" s="358"/>
      <c r="SN41" s="359"/>
      <c r="SO41" s="359"/>
      <c r="SP41" s="359"/>
      <c r="SQ41" s="359"/>
      <c r="SR41" s="358"/>
      <c r="SS41" s="359"/>
      <c r="ST41" s="359"/>
      <c r="SU41" s="359"/>
      <c r="SV41" s="359"/>
      <c r="SW41" s="358"/>
      <c r="SX41" s="359"/>
      <c r="SY41" s="359"/>
      <c r="SZ41" s="359"/>
      <c r="TA41" s="359"/>
      <c r="TB41" s="354" t="n">
        <f aca="false">+AVERAGE(B41:IB41)</f>
        <v>3.41558441558442</v>
      </c>
    </row>
    <row r="42" customFormat="false" ht="15.5" hidden="false" customHeight="false" outlineLevel="0" collapsed="false">
      <c r="A42" s="356" t="s">
        <v>521</v>
      </c>
      <c r="B42" s="358" t="n">
        <v>3</v>
      </c>
      <c r="C42" s="359" t="n">
        <v>3</v>
      </c>
      <c r="D42" s="359" t="n">
        <v>5</v>
      </c>
      <c r="E42" s="359" t="n">
        <v>3</v>
      </c>
      <c r="F42" s="359" t="n">
        <v>3</v>
      </c>
      <c r="G42" s="358" t="n">
        <v>1</v>
      </c>
      <c r="H42" s="359" t="n">
        <v>3</v>
      </c>
      <c r="I42" s="359" t="n">
        <v>5</v>
      </c>
      <c r="J42" s="359" t="n">
        <v>1</v>
      </c>
      <c r="K42" s="359" t="n">
        <v>1</v>
      </c>
      <c r="L42" s="358" t="n">
        <v>1</v>
      </c>
      <c r="M42" s="359" t="n">
        <v>3</v>
      </c>
      <c r="N42" s="359" t="n">
        <v>3</v>
      </c>
      <c r="O42" s="359" t="n">
        <v>1</v>
      </c>
      <c r="P42" s="359" t="n">
        <v>1</v>
      </c>
      <c r="Q42" s="358" t="n">
        <v>1</v>
      </c>
      <c r="R42" s="359" t="n">
        <v>3</v>
      </c>
      <c r="S42" s="359" t="n">
        <v>5</v>
      </c>
      <c r="T42" s="359" t="n">
        <v>1</v>
      </c>
      <c r="U42" s="359" t="n">
        <v>3</v>
      </c>
      <c r="V42" s="358" t="n">
        <v>1</v>
      </c>
      <c r="W42" s="359" t="n">
        <v>5</v>
      </c>
      <c r="X42" s="359" t="n">
        <v>5</v>
      </c>
      <c r="Y42" s="359" t="n">
        <v>3</v>
      </c>
      <c r="Z42" s="359" t="n">
        <v>3</v>
      </c>
      <c r="AA42" s="358" t="n">
        <v>3</v>
      </c>
      <c r="AB42" s="359" t="n">
        <v>5</v>
      </c>
      <c r="AC42" s="359" t="n">
        <v>5</v>
      </c>
      <c r="AD42" s="359" t="n">
        <v>3</v>
      </c>
      <c r="AE42" s="359" t="n">
        <v>5</v>
      </c>
      <c r="AF42" s="358" t="n">
        <v>3</v>
      </c>
      <c r="AG42" s="359" t="n">
        <v>5</v>
      </c>
      <c r="AH42" s="359" t="n">
        <v>5</v>
      </c>
      <c r="AI42" s="359" t="n">
        <v>5</v>
      </c>
      <c r="AJ42" s="359" t="n">
        <v>5</v>
      </c>
      <c r="AK42" s="358" t="n">
        <v>3</v>
      </c>
      <c r="AL42" s="359" t="n">
        <v>5</v>
      </c>
      <c r="AM42" s="359" t="n">
        <v>5</v>
      </c>
      <c r="AN42" s="359" t="n">
        <v>5</v>
      </c>
      <c r="AO42" s="359" t="n">
        <v>5</v>
      </c>
      <c r="AP42" s="358" t="n">
        <v>1</v>
      </c>
      <c r="AQ42" s="359" t="n">
        <v>5</v>
      </c>
      <c r="AR42" s="359" t="n">
        <v>5</v>
      </c>
      <c r="AS42" s="359" t="n">
        <v>3</v>
      </c>
      <c r="AT42" s="359" t="n">
        <v>1</v>
      </c>
      <c r="AU42" s="358" t="n">
        <v>3</v>
      </c>
      <c r="AV42" s="359"/>
      <c r="AW42" s="359" t="n">
        <v>5</v>
      </c>
      <c r="AX42" s="359" t="n">
        <v>3</v>
      </c>
      <c r="AY42" s="359" t="n">
        <v>3</v>
      </c>
      <c r="AZ42" s="358" t="n">
        <v>1</v>
      </c>
      <c r="BA42" s="359"/>
      <c r="BB42" s="359" t="n">
        <v>5</v>
      </c>
      <c r="BC42" s="359" t="n">
        <v>1</v>
      </c>
      <c r="BD42" s="359" t="n">
        <v>1</v>
      </c>
      <c r="BE42" s="358" t="n">
        <v>1</v>
      </c>
      <c r="BF42" s="359" t="n">
        <v>5</v>
      </c>
      <c r="BG42" s="359" t="n">
        <v>5</v>
      </c>
      <c r="BH42" s="359" t="n">
        <v>1</v>
      </c>
      <c r="BI42" s="359" t="n">
        <v>1</v>
      </c>
      <c r="BJ42" s="358" t="n">
        <v>3</v>
      </c>
      <c r="BK42" s="359" t="n">
        <v>5</v>
      </c>
      <c r="BL42" s="359" t="n">
        <v>3</v>
      </c>
      <c r="BM42" s="359" t="n">
        <v>3</v>
      </c>
      <c r="BN42" s="359" t="n">
        <v>3</v>
      </c>
      <c r="BO42" s="358" t="n">
        <v>5</v>
      </c>
      <c r="BP42" s="359"/>
      <c r="BQ42" s="359" t="n">
        <v>5</v>
      </c>
      <c r="BR42" s="359" t="n">
        <v>3</v>
      </c>
      <c r="BS42" s="359" t="n">
        <v>5</v>
      </c>
      <c r="BT42" s="358" t="n">
        <v>3</v>
      </c>
      <c r="BU42" s="359" t="n">
        <v>5</v>
      </c>
      <c r="BV42" s="359" t="n">
        <v>5</v>
      </c>
      <c r="BW42" s="359" t="n">
        <v>3</v>
      </c>
      <c r="BX42" s="359" t="n">
        <v>5</v>
      </c>
      <c r="BY42" s="358" t="n">
        <v>5</v>
      </c>
      <c r="BZ42" s="358" t="n">
        <v>5</v>
      </c>
      <c r="CA42" s="359" t="n">
        <v>5</v>
      </c>
      <c r="CB42" s="359" t="n">
        <v>3</v>
      </c>
      <c r="CC42" s="359" t="n">
        <v>5</v>
      </c>
      <c r="CD42" s="358"/>
      <c r="CE42" s="359"/>
      <c r="CF42" s="359"/>
      <c r="CG42" s="359"/>
      <c r="CH42" s="359"/>
      <c r="CI42" s="358"/>
      <c r="CJ42" s="359"/>
      <c r="CK42" s="359"/>
      <c r="CL42" s="359"/>
      <c r="CM42" s="359"/>
      <c r="CN42" s="358"/>
      <c r="CO42" s="359"/>
      <c r="CP42" s="359"/>
      <c r="CQ42" s="359"/>
      <c r="CR42" s="359"/>
      <c r="CS42" s="358"/>
      <c r="CT42" s="359"/>
      <c r="CU42" s="359"/>
      <c r="CV42" s="359"/>
      <c r="CW42" s="359"/>
      <c r="CX42" s="358"/>
      <c r="CY42" s="359"/>
      <c r="CZ42" s="359"/>
      <c r="DA42" s="359"/>
      <c r="DB42" s="359"/>
      <c r="DC42" s="358"/>
      <c r="DD42" s="359"/>
      <c r="DE42" s="359"/>
      <c r="DF42" s="359"/>
      <c r="DG42" s="359"/>
      <c r="DH42" s="358"/>
      <c r="DI42" s="359"/>
      <c r="DJ42" s="359"/>
      <c r="DK42" s="359"/>
      <c r="DL42" s="359"/>
      <c r="DM42" s="358"/>
      <c r="DN42" s="359"/>
      <c r="DO42" s="359"/>
      <c r="DP42" s="359"/>
      <c r="DQ42" s="359"/>
      <c r="DR42" s="358"/>
      <c r="DS42" s="359"/>
      <c r="DT42" s="359"/>
      <c r="DU42" s="359"/>
      <c r="DV42" s="359"/>
      <c r="DW42" s="358"/>
      <c r="DX42" s="359"/>
      <c r="DY42" s="359"/>
      <c r="DZ42" s="359"/>
      <c r="EA42" s="359"/>
      <c r="EB42" s="358"/>
      <c r="EC42" s="359"/>
      <c r="ED42" s="359"/>
      <c r="EE42" s="359"/>
      <c r="EF42" s="359"/>
      <c r="EG42" s="358"/>
      <c r="EH42" s="359"/>
      <c r="EI42" s="359"/>
      <c r="EJ42" s="359"/>
      <c r="EK42" s="359"/>
      <c r="EL42" s="358"/>
      <c r="EM42" s="359"/>
      <c r="EN42" s="359"/>
      <c r="EO42" s="359"/>
      <c r="EP42" s="359"/>
      <c r="EQ42" s="358"/>
      <c r="ER42" s="359"/>
      <c r="ES42" s="359"/>
      <c r="ET42" s="359"/>
      <c r="EU42" s="359"/>
      <c r="EV42" s="358"/>
      <c r="EW42" s="359"/>
      <c r="EX42" s="359"/>
      <c r="EY42" s="359"/>
      <c r="EZ42" s="359"/>
      <c r="FA42" s="358"/>
      <c r="FB42" s="359"/>
      <c r="FC42" s="359"/>
      <c r="FD42" s="359"/>
      <c r="FE42" s="359"/>
      <c r="FF42" s="358"/>
      <c r="FG42" s="359"/>
      <c r="FH42" s="359"/>
      <c r="FI42" s="359"/>
      <c r="FJ42" s="359"/>
      <c r="FK42" s="358"/>
      <c r="FL42" s="359"/>
      <c r="FM42" s="359"/>
      <c r="FN42" s="359"/>
      <c r="FO42" s="359"/>
      <c r="FP42" s="358"/>
      <c r="FQ42" s="359"/>
      <c r="FR42" s="359"/>
      <c r="FS42" s="359"/>
      <c r="FT42" s="359"/>
      <c r="FU42" s="358"/>
      <c r="FV42" s="359"/>
      <c r="FW42" s="359"/>
      <c r="FX42" s="359"/>
      <c r="FY42" s="359"/>
      <c r="FZ42" s="358"/>
      <c r="GA42" s="359"/>
      <c r="GB42" s="359"/>
      <c r="GC42" s="359"/>
      <c r="GD42" s="359"/>
      <c r="GE42" s="358"/>
      <c r="GF42" s="359"/>
      <c r="GG42" s="359"/>
      <c r="GH42" s="359"/>
      <c r="GI42" s="359"/>
      <c r="GJ42" s="358"/>
      <c r="GK42" s="359"/>
      <c r="GL42" s="359"/>
      <c r="GM42" s="359"/>
      <c r="GN42" s="359"/>
      <c r="GO42" s="358"/>
      <c r="GP42" s="359"/>
      <c r="GQ42" s="359"/>
      <c r="GR42" s="359"/>
      <c r="GS42" s="359"/>
      <c r="GT42" s="358"/>
      <c r="GU42" s="359"/>
      <c r="GV42" s="359"/>
      <c r="GW42" s="359"/>
      <c r="GX42" s="359"/>
      <c r="GY42" s="358"/>
      <c r="GZ42" s="359"/>
      <c r="HA42" s="359"/>
      <c r="HB42" s="359"/>
      <c r="HC42" s="359"/>
      <c r="HD42" s="358"/>
      <c r="HE42" s="359"/>
      <c r="HF42" s="359"/>
      <c r="HG42" s="359"/>
      <c r="HH42" s="359"/>
      <c r="HI42" s="358"/>
      <c r="HJ42" s="359"/>
      <c r="HK42" s="359"/>
      <c r="HL42" s="359"/>
      <c r="HM42" s="359"/>
      <c r="HN42" s="358"/>
      <c r="HO42" s="359"/>
      <c r="HP42" s="359"/>
      <c r="HQ42" s="359"/>
      <c r="HR42" s="359"/>
      <c r="HS42" s="358"/>
      <c r="HT42" s="359"/>
      <c r="HU42" s="359"/>
      <c r="HV42" s="359"/>
      <c r="HW42" s="359"/>
      <c r="HX42" s="358"/>
      <c r="HY42" s="359"/>
      <c r="HZ42" s="359"/>
      <c r="IA42" s="359"/>
      <c r="IB42" s="359"/>
      <c r="IC42" s="358"/>
      <c r="ID42" s="359"/>
      <c r="IE42" s="359"/>
      <c r="IF42" s="359"/>
      <c r="IG42" s="359"/>
      <c r="IH42" s="358"/>
      <c r="II42" s="359"/>
      <c r="IJ42" s="359"/>
      <c r="IK42" s="359"/>
      <c r="IL42" s="359"/>
      <c r="IM42" s="358"/>
      <c r="IN42" s="359"/>
      <c r="IO42" s="359"/>
      <c r="IP42" s="359"/>
      <c r="IQ42" s="359"/>
      <c r="IR42" s="358"/>
      <c r="IS42" s="359"/>
      <c r="IT42" s="359"/>
      <c r="IU42" s="359"/>
      <c r="IV42" s="359"/>
      <c r="IW42" s="358"/>
      <c r="IX42" s="359"/>
      <c r="IY42" s="359"/>
      <c r="IZ42" s="359"/>
      <c r="JA42" s="359"/>
      <c r="JB42" s="358"/>
      <c r="JC42" s="359"/>
      <c r="JD42" s="359"/>
      <c r="JE42" s="359"/>
      <c r="JF42" s="359"/>
      <c r="JG42" s="358"/>
      <c r="JH42" s="359"/>
      <c r="JI42" s="359"/>
      <c r="JJ42" s="359"/>
      <c r="JK42" s="359"/>
      <c r="JL42" s="358"/>
      <c r="JM42" s="359"/>
      <c r="JN42" s="359"/>
      <c r="JO42" s="359"/>
      <c r="JP42" s="359"/>
      <c r="JQ42" s="358"/>
      <c r="JR42" s="359"/>
      <c r="JS42" s="359"/>
      <c r="JT42" s="359"/>
      <c r="JU42" s="359"/>
      <c r="JV42" s="358"/>
      <c r="JW42" s="359"/>
      <c r="JX42" s="359"/>
      <c r="JY42" s="359"/>
      <c r="JZ42" s="359"/>
      <c r="KA42" s="358"/>
      <c r="KB42" s="359"/>
      <c r="KC42" s="359"/>
      <c r="KD42" s="359"/>
      <c r="KE42" s="359"/>
      <c r="KF42" s="358"/>
      <c r="KG42" s="359"/>
      <c r="KH42" s="359"/>
      <c r="KI42" s="359"/>
      <c r="KJ42" s="359"/>
      <c r="KK42" s="358"/>
      <c r="KL42" s="359"/>
      <c r="KM42" s="359"/>
      <c r="KN42" s="359"/>
      <c r="KO42" s="359"/>
      <c r="KP42" s="358"/>
      <c r="KQ42" s="359"/>
      <c r="KR42" s="359"/>
      <c r="KS42" s="359"/>
      <c r="KT42" s="359"/>
      <c r="KU42" s="358"/>
      <c r="KV42" s="359"/>
      <c r="KW42" s="359"/>
      <c r="KX42" s="359"/>
      <c r="KY42" s="359"/>
      <c r="KZ42" s="358"/>
      <c r="LA42" s="359"/>
      <c r="LB42" s="359"/>
      <c r="LC42" s="359"/>
      <c r="LD42" s="359"/>
      <c r="LE42" s="358"/>
      <c r="LF42" s="359"/>
      <c r="LG42" s="359"/>
      <c r="LH42" s="359"/>
      <c r="LI42" s="359"/>
      <c r="LJ42" s="358"/>
      <c r="LK42" s="359"/>
      <c r="LL42" s="359"/>
      <c r="LM42" s="359"/>
      <c r="LN42" s="359"/>
      <c r="LO42" s="358"/>
      <c r="LP42" s="359"/>
      <c r="LQ42" s="359"/>
      <c r="LR42" s="359"/>
      <c r="LS42" s="359"/>
      <c r="LT42" s="358"/>
      <c r="LU42" s="359"/>
      <c r="LV42" s="359"/>
      <c r="LW42" s="359"/>
      <c r="LX42" s="359"/>
      <c r="LY42" s="358"/>
      <c r="LZ42" s="359"/>
      <c r="MA42" s="359"/>
      <c r="MB42" s="359"/>
      <c r="MC42" s="359"/>
      <c r="MD42" s="358"/>
      <c r="ME42" s="359"/>
      <c r="MF42" s="359"/>
      <c r="MG42" s="359"/>
      <c r="MH42" s="359"/>
      <c r="MI42" s="358"/>
      <c r="MJ42" s="359"/>
      <c r="MK42" s="359"/>
      <c r="ML42" s="359"/>
      <c r="MM42" s="359"/>
      <c r="MN42" s="358"/>
      <c r="MO42" s="359"/>
      <c r="MP42" s="359"/>
      <c r="MQ42" s="359"/>
      <c r="MR42" s="359"/>
      <c r="MS42" s="358"/>
      <c r="MT42" s="359"/>
      <c r="MU42" s="359"/>
      <c r="MV42" s="359"/>
      <c r="MW42" s="359"/>
      <c r="MX42" s="358"/>
      <c r="MY42" s="359"/>
      <c r="MZ42" s="359"/>
      <c r="NA42" s="359"/>
      <c r="NB42" s="359"/>
      <c r="NC42" s="358"/>
      <c r="ND42" s="359"/>
      <c r="NE42" s="359"/>
      <c r="NF42" s="359"/>
      <c r="NG42" s="359"/>
      <c r="NH42" s="358"/>
      <c r="NI42" s="359"/>
      <c r="NJ42" s="359"/>
      <c r="NK42" s="359"/>
      <c r="NL42" s="359"/>
      <c r="NM42" s="358"/>
      <c r="NN42" s="359"/>
      <c r="NO42" s="359"/>
      <c r="NP42" s="359"/>
      <c r="NQ42" s="359"/>
      <c r="NR42" s="358"/>
      <c r="NS42" s="359"/>
      <c r="NT42" s="359"/>
      <c r="NU42" s="359"/>
      <c r="NV42" s="359"/>
      <c r="NW42" s="358"/>
      <c r="NX42" s="359"/>
      <c r="NY42" s="359"/>
      <c r="NZ42" s="359"/>
      <c r="OA42" s="359"/>
      <c r="OB42" s="358"/>
      <c r="OC42" s="359"/>
      <c r="OD42" s="359"/>
      <c r="OE42" s="359"/>
      <c r="OF42" s="359"/>
      <c r="OG42" s="358"/>
      <c r="OH42" s="359"/>
      <c r="OI42" s="359"/>
      <c r="OJ42" s="359"/>
      <c r="OK42" s="359"/>
      <c r="OL42" s="358"/>
      <c r="OM42" s="359"/>
      <c r="ON42" s="359"/>
      <c r="OO42" s="359"/>
      <c r="OP42" s="359"/>
      <c r="OQ42" s="358"/>
      <c r="OR42" s="359"/>
      <c r="OS42" s="359"/>
      <c r="OT42" s="359"/>
      <c r="OU42" s="359"/>
      <c r="OV42" s="358"/>
      <c r="OW42" s="359"/>
      <c r="OX42" s="359"/>
      <c r="OY42" s="359"/>
      <c r="OZ42" s="359"/>
      <c r="PA42" s="358"/>
      <c r="PB42" s="359"/>
      <c r="PC42" s="359"/>
      <c r="PD42" s="359"/>
      <c r="PE42" s="359"/>
      <c r="PF42" s="358"/>
      <c r="PG42" s="359"/>
      <c r="PH42" s="359"/>
      <c r="PI42" s="359"/>
      <c r="PJ42" s="359"/>
      <c r="PK42" s="358"/>
      <c r="PL42" s="359"/>
      <c r="PM42" s="359"/>
      <c r="PN42" s="359"/>
      <c r="PO42" s="359"/>
      <c r="PP42" s="358"/>
      <c r="PQ42" s="359"/>
      <c r="PR42" s="359"/>
      <c r="PS42" s="359"/>
      <c r="PT42" s="359"/>
      <c r="PU42" s="358"/>
      <c r="PV42" s="359"/>
      <c r="PW42" s="359"/>
      <c r="PX42" s="359"/>
      <c r="PY42" s="359"/>
      <c r="PZ42" s="358"/>
      <c r="QA42" s="359"/>
      <c r="QB42" s="359"/>
      <c r="QC42" s="359"/>
      <c r="QD42" s="359"/>
      <c r="QE42" s="358"/>
      <c r="QF42" s="359"/>
      <c r="QG42" s="359"/>
      <c r="QH42" s="359"/>
      <c r="QI42" s="359"/>
      <c r="QJ42" s="358"/>
      <c r="QK42" s="359"/>
      <c r="QL42" s="359"/>
      <c r="QM42" s="359"/>
      <c r="QN42" s="359"/>
      <c r="QO42" s="358"/>
      <c r="QP42" s="359"/>
      <c r="QQ42" s="359"/>
      <c r="QR42" s="359"/>
      <c r="QS42" s="359"/>
      <c r="QT42" s="358"/>
      <c r="QU42" s="359"/>
      <c r="QV42" s="359"/>
      <c r="QW42" s="359"/>
      <c r="QX42" s="359"/>
      <c r="QY42" s="358"/>
      <c r="QZ42" s="359"/>
      <c r="RA42" s="359"/>
      <c r="RB42" s="359"/>
      <c r="RC42" s="359"/>
      <c r="RD42" s="358"/>
      <c r="RE42" s="359"/>
      <c r="RF42" s="359"/>
      <c r="RG42" s="359"/>
      <c r="RH42" s="359"/>
      <c r="RI42" s="358"/>
      <c r="RJ42" s="359"/>
      <c r="RK42" s="359"/>
      <c r="RL42" s="359"/>
      <c r="RM42" s="359"/>
      <c r="RN42" s="358"/>
      <c r="RO42" s="359"/>
      <c r="RP42" s="359"/>
      <c r="RQ42" s="359"/>
      <c r="RR42" s="359"/>
      <c r="RS42" s="358"/>
      <c r="RT42" s="359"/>
      <c r="RU42" s="359"/>
      <c r="RV42" s="359"/>
      <c r="RW42" s="359"/>
      <c r="RX42" s="358"/>
      <c r="RY42" s="359"/>
      <c r="RZ42" s="359"/>
      <c r="SA42" s="359"/>
      <c r="SB42" s="359"/>
      <c r="SC42" s="358"/>
      <c r="SD42" s="359"/>
      <c r="SE42" s="359"/>
      <c r="SF42" s="359"/>
      <c r="SG42" s="359"/>
      <c r="SH42" s="358"/>
      <c r="SI42" s="359"/>
      <c r="SJ42" s="359"/>
      <c r="SK42" s="359"/>
      <c r="SL42" s="359"/>
      <c r="SM42" s="358"/>
      <c r="SN42" s="359"/>
      <c r="SO42" s="359"/>
      <c r="SP42" s="359"/>
      <c r="SQ42" s="359"/>
      <c r="SR42" s="358"/>
      <c r="SS42" s="359"/>
      <c r="ST42" s="359"/>
      <c r="SU42" s="359"/>
      <c r="SV42" s="359"/>
      <c r="SW42" s="358"/>
      <c r="SX42" s="359"/>
      <c r="SY42" s="359"/>
      <c r="SZ42" s="359"/>
      <c r="TA42" s="359"/>
      <c r="TB42" s="354" t="n">
        <f aca="false">+AVERAGE(B42:IB42)</f>
        <v>3.41558441558442</v>
      </c>
    </row>
    <row r="43" customFormat="false" ht="15.5" hidden="false" customHeight="false" outlineLevel="0" collapsed="false">
      <c r="A43" s="356" t="s">
        <v>521</v>
      </c>
      <c r="B43" s="358" t="n">
        <v>3</v>
      </c>
      <c r="C43" s="359" t="n">
        <v>3</v>
      </c>
      <c r="D43" s="359" t="n">
        <v>5</v>
      </c>
      <c r="E43" s="359" t="n">
        <v>3</v>
      </c>
      <c r="F43" s="359" t="n">
        <v>3</v>
      </c>
      <c r="G43" s="358" t="n">
        <v>1</v>
      </c>
      <c r="H43" s="359" t="n">
        <v>3</v>
      </c>
      <c r="I43" s="359" t="n">
        <v>5</v>
      </c>
      <c r="J43" s="359" t="n">
        <v>1</v>
      </c>
      <c r="K43" s="359" t="n">
        <v>1</v>
      </c>
      <c r="L43" s="358" t="n">
        <v>1</v>
      </c>
      <c r="M43" s="359" t="n">
        <v>3</v>
      </c>
      <c r="N43" s="359" t="n">
        <v>3</v>
      </c>
      <c r="O43" s="359" t="n">
        <v>1</v>
      </c>
      <c r="P43" s="359" t="n">
        <v>1</v>
      </c>
      <c r="Q43" s="358" t="n">
        <v>1</v>
      </c>
      <c r="R43" s="359" t="n">
        <v>3</v>
      </c>
      <c r="S43" s="359" t="n">
        <v>5</v>
      </c>
      <c r="T43" s="359" t="n">
        <v>1</v>
      </c>
      <c r="U43" s="359" t="n">
        <v>3</v>
      </c>
      <c r="V43" s="358" t="n">
        <v>1</v>
      </c>
      <c r="W43" s="359" t="n">
        <v>5</v>
      </c>
      <c r="X43" s="359" t="n">
        <v>5</v>
      </c>
      <c r="Y43" s="359" t="n">
        <v>3</v>
      </c>
      <c r="Z43" s="359" t="n">
        <v>3</v>
      </c>
      <c r="AA43" s="358" t="n">
        <v>3</v>
      </c>
      <c r="AB43" s="359" t="n">
        <v>5</v>
      </c>
      <c r="AC43" s="359" t="n">
        <v>5</v>
      </c>
      <c r="AD43" s="359" t="n">
        <v>3</v>
      </c>
      <c r="AE43" s="359" t="n">
        <v>5</v>
      </c>
      <c r="AF43" s="358" t="n">
        <v>3</v>
      </c>
      <c r="AG43" s="359" t="n">
        <v>5</v>
      </c>
      <c r="AH43" s="359" t="n">
        <v>5</v>
      </c>
      <c r="AI43" s="359" t="n">
        <v>5</v>
      </c>
      <c r="AJ43" s="359" t="n">
        <v>5</v>
      </c>
      <c r="AK43" s="358" t="n">
        <v>3</v>
      </c>
      <c r="AL43" s="359" t="n">
        <v>5</v>
      </c>
      <c r="AM43" s="359" t="n">
        <v>5</v>
      </c>
      <c r="AN43" s="359" t="n">
        <v>5</v>
      </c>
      <c r="AO43" s="359" t="n">
        <v>5</v>
      </c>
      <c r="AP43" s="358" t="n">
        <v>1</v>
      </c>
      <c r="AQ43" s="359" t="n">
        <v>5</v>
      </c>
      <c r="AR43" s="359" t="n">
        <v>5</v>
      </c>
      <c r="AS43" s="359" t="n">
        <v>3</v>
      </c>
      <c r="AT43" s="359" t="n">
        <v>1</v>
      </c>
      <c r="AU43" s="358" t="n">
        <v>3</v>
      </c>
      <c r="AV43" s="359"/>
      <c r="AW43" s="359" t="n">
        <v>5</v>
      </c>
      <c r="AX43" s="359" t="n">
        <v>3</v>
      </c>
      <c r="AY43" s="359" t="n">
        <v>3</v>
      </c>
      <c r="AZ43" s="358" t="n">
        <v>1</v>
      </c>
      <c r="BA43" s="359"/>
      <c r="BB43" s="359" t="n">
        <v>5</v>
      </c>
      <c r="BC43" s="359" t="n">
        <v>1</v>
      </c>
      <c r="BD43" s="359" t="n">
        <v>1</v>
      </c>
      <c r="BE43" s="358" t="n">
        <v>1</v>
      </c>
      <c r="BF43" s="359" t="n">
        <v>5</v>
      </c>
      <c r="BG43" s="359" t="n">
        <v>5</v>
      </c>
      <c r="BH43" s="359" t="n">
        <v>1</v>
      </c>
      <c r="BI43" s="359" t="n">
        <v>1</v>
      </c>
      <c r="BJ43" s="358" t="n">
        <v>3</v>
      </c>
      <c r="BK43" s="359" t="n">
        <v>5</v>
      </c>
      <c r="BL43" s="359" t="n">
        <v>3</v>
      </c>
      <c r="BM43" s="359" t="n">
        <v>3</v>
      </c>
      <c r="BN43" s="359" t="n">
        <v>3</v>
      </c>
      <c r="BO43" s="358" t="n">
        <v>5</v>
      </c>
      <c r="BP43" s="359"/>
      <c r="BQ43" s="359" t="n">
        <v>5</v>
      </c>
      <c r="BR43" s="359" t="n">
        <v>3</v>
      </c>
      <c r="BS43" s="359" t="n">
        <v>5</v>
      </c>
      <c r="BT43" s="358" t="n">
        <v>3</v>
      </c>
      <c r="BU43" s="359" t="n">
        <v>5</v>
      </c>
      <c r="BV43" s="359" t="n">
        <v>5</v>
      </c>
      <c r="BW43" s="359" t="n">
        <v>3</v>
      </c>
      <c r="BX43" s="359" t="n">
        <v>5</v>
      </c>
      <c r="BY43" s="358" t="n">
        <v>5</v>
      </c>
      <c r="BZ43" s="358" t="n">
        <v>5</v>
      </c>
      <c r="CA43" s="359" t="n">
        <v>5</v>
      </c>
      <c r="CB43" s="359" t="n">
        <v>3</v>
      </c>
      <c r="CC43" s="359" t="n">
        <v>5</v>
      </c>
      <c r="CD43" s="358"/>
      <c r="CE43" s="359"/>
      <c r="CF43" s="359"/>
      <c r="CG43" s="359"/>
      <c r="CH43" s="359"/>
      <c r="CI43" s="358"/>
      <c r="CJ43" s="359"/>
      <c r="CK43" s="359"/>
      <c r="CL43" s="359"/>
      <c r="CM43" s="359"/>
      <c r="CN43" s="358"/>
      <c r="CO43" s="359"/>
      <c r="CP43" s="359"/>
      <c r="CQ43" s="359"/>
      <c r="CR43" s="359"/>
      <c r="CS43" s="358"/>
      <c r="CT43" s="359"/>
      <c r="CU43" s="359"/>
      <c r="CV43" s="359"/>
      <c r="CW43" s="359"/>
      <c r="CX43" s="358"/>
      <c r="CY43" s="359"/>
      <c r="CZ43" s="359"/>
      <c r="DA43" s="359"/>
      <c r="DB43" s="359"/>
      <c r="DC43" s="358"/>
      <c r="DD43" s="359"/>
      <c r="DE43" s="359"/>
      <c r="DF43" s="359"/>
      <c r="DG43" s="359"/>
      <c r="DH43" s="358"/>
      <c r="DI43" s="359"/>
      <c r="DJ43" s="359"/>
      <c r="DK43" s="359"/>
      <c r="DL43" s="359"/>
      <c r="DM43" s="358"/>
      <c r="DN43" s="359"/>
      <c r="DO43" s="359"/>
      <c r="DP43" s="359"/>
      <c r="DQ43" s="359"/>
      <c r="DR43" s="358"/>
      <c r="DS43" s="359"/>
      <c r="DT43" s="359"/>
      <c r="DU43" s="359"/>
      <c r="DV43" s="359"/>
      <c r="DW43" s="358"/>
      <c r="DX43" s="359"/>
      <c r="DY43" s="359"/>
      <c r="DZ43" s="359"/>
      <c r="EA43" s="359"/>
      <c r="EB43" s="358"/>
      <c r="EC43" s="359"/>
      <c r="ED43" s="359"/>
      <c r="EE43" s="359"/>
      <c r="EF43" s="359"/>
      <c r="EG43" s="358"/>
      <c r="EH43" s="359"/>
      <c r="EI43" s="359"/>
      <c r="EJ43" s="359"/>
      <c r="EK43" s="359"/>
      <c r="EL43" s="358"/>
      <c r="EM43" s="359"/>
      <c r="EN43" s="359"/>
      <c r="EO43" s="359"/>
      <c r="EP43" s="359"/>
      <c r="EQ43" s="358"/>
      <c r="ER43" s="359"/>
      <c r="ES43" s="359"/>
      <c r="ET43" s="359"/>
      <c r="EU43" s="359"/>
      <c r="EV43" s="358"/>
      <c r="EW43" s="359"/>
      <c r="EX43" s="359"/>
      <c r="EY43" s="359"/>
      <c r="EZ43" s="359"/>
      <c r="FA43" s="358"/>
      <c r="FB43" s="359"/>
      <c r="FC43" s="359"/>
      <c r="FD43" s="359"/>
      <c r="FE43" s="359"/>
      <c r="FF43" s="358"/>
      <c r="FG43" s="359"/>
      <c r="FH43" s="359"/>
      <c r="FI43" s="359"/>
      <c r="FJ43" s="359"/>
      <c r="FK43" s="358"/>
      <c r="FL43" s="359"/>
      <c r="FM43" s="359"/>
      <c r="FN43" s="359"/>
      <c r="FO43" s="359"/>
      <c r="FP43" s="358"/>
      <c r="FQ43" s="359"/>
      <c r="FR43" s="359"/>
      <c r="FS43" s="359"/>
      <c r="FT43" s="359"/>
      <c r="FU43" s="358"/>
      <c r="FV43" s="359"/>
      <c r="FW43" s="359"/>
      <c r="FX43" s="359"/>
      <c r="FY43" s="359"/>
      <c r="FZ43" s="358"/>
      <c r="GA43" s="359"/>
      <c r="GB43" s="359"/>
      <c r="GC43" s="359"/>
      <c r="GD43" s="359"/>
      <c r="GE43" s="358"/>
      <c r="GF43" s="359"/>
      <c r="GG43" s="359"/>
      <c r="GH43" s="359"/>
      <c r="GI43" s="359"/>
      <c r="GJ43" s="358"/>
      <c r="GK43" s="359"/>
      <c r="GL43" s="359"/>
      <c r="GM43" s="359"/>
      <c r="GN43" s="359"/>
      <c r="GO43" s="358"/>
      <c r="GP43" s="359"/>
      <c r="GQ43" s="359"/>
      <c r="GR43" s="359"/>
      <c r="GS43" s="359"/>
      <c r="GT43" s="358"/>
      <c r="GU43" s="359"/>
      <c r="GV43" s="359"/>
      <c r="GW43" s="359"/>
      <c r="GX43" s="359"/>
      <c r="GY43" s="358"/>
      <c r="GZ43" s="359"/>
      <c r="HA43" s="359"/>
      <c r="HB43" s="359"/>
      <c r="HC43" s="359"/>
      <c r="HD43" s="358"/>
      <c r="HE43" s="359"/>
      <c r="HF43" s="359"/>
      <c r="HG43" s="359"/>
      <c r="HH43" s="359"/>
      <c r="HI43" s="358"/>
      <c r="HJ43" s="359"/>
      <c r="HK43" s="359"/>
      <c r="HL43" s="359"/>
      <c r="HM43" s="359"/>
      <c r="HN43" s="358"/>
      <c r="HO43" s="359"/>
      <c r="HP43" s="359"/>
      <c r="HQ43" s="359"/>
      <c r="HR43" s="359"/>
      <c r="HS43" s="358"/>
      <c r="HT43" s="359"/>
      <c r="HU43" s="359"/>
      <c r="HV43" s="359"/>
      <c r="HW43" s="359"/>
      <c r="HX43" s="358"/>
      <c r="HY43" s="359"/>
      <c r="HZ43" s="359"/>
      <c r="IA43" s="359"/>
      <c r="IB43" s="359"/>
      <c r="IC43" s="358"/>
      <c r="ID43" s="359"/>
      <c r="IE43" s="359"/>
      <c r="IF43" s="359"/>
      <c r="IG43" s="359"/>
      <c r="IH43" s="358"/>
      <c r="II43" s="359"/>
      <c r="IJ43" s="359"/>
      <c r="IK43" s="359"/>
      <c r="IL43" s="359"/>
      <c r="IM43" s="358"/>
      <c r="IN43" s="359"/>
      <c r="IO43" s="359"/>
      <c r="IP43" s="359"/>
      <c r="IQ43" s="359"/>
      <c r="IR43" s="358"/>
      <c r="IS43" s="359"/>
      <c r="IT43" s="359"/>
      <c r="IU43" s="359"/>
      <c r="IV43" s="359"/>
      <c r="IW43" s="358"/>
      <c r="IX43" s="359"/>
      <c r="IY43" s="359"/>
      <c r="IZ43" s="359"/>
      <c r="JA43" s="359"/>
      <c r="JB43" s="358"/>
      <c r="JC43" s="359"/>
      <c r="JD43" s="359"/>
      <c r="JE43" s="359"/>
      <c r="JF43" s="359"/>
      <c r="JG43" s="358"/>
      <c r="JH43" s="359"/>
      <c r="JI43" s="359"/>
      <c r="JJ43" s="359"/>
      <c r="JK43" s="359"/>
      <c r="JL43" s="358"/>
      <c r="JM43" s="359"/>
      <c r="JN43" s="359"/>
      <c r="JO43" s="359"/>
      <c r="JP43" s="359"/>
      <c r="JQ43" s="358"/>
      <c r="JR43" s="359"/>
      <c r="JS43" s="359"/>
      <c r="JT43" s="359"/>
      <c r="JU43" s="359"/>
      <c r="JV43" s="358"/>
      <c r="JW43" s="359"/>
      <c r="JX43" s="359"/>
      <c r="JY43" s="359"/>
      <c r="JZ43" s="359"/>
      <c r="KA43" s="358"/>
      <c r="KB43" s="359"/>
      <c r="KC43" s="359"/>
      <c r="KD43" s="359"/>
      <c r="KE43" s="359"/>
      <c r="KF43" s="358"/>
      <c r="KG43" s="359"/>
      <c r="KH43" s="359"/>
      <c r="KI43" s="359"/>
      <c r="KJ43" s="359"/>
      <c r="KK43" s="358"/>
      <c r="KL43" s="359"/>
      <c r="KM43" s="359"/>
      <c r="KN43" s="359"/>
      <c r="KO43" s="359"/>
      <c r="KP43" s="358"/>
      <c r="KQ43" s="359"/>
      <c r="KR43" s="359"/>
      <c r="KS43" s="359"/>
      <c r="KT43" s="359"/>
      <c r="KU43" s="358"/>
      <c r="KV43" s="359"/>
      <c r="KW43" s="359"/>
      <c r="KX43" s="359"/>
      <c r="KY43" s="359"/>
      <c r="KZ43" s="358"/>
      <c r="LA43" s="359"/>
      <c r="LB43" s="359"/>
      <c r="LC43" s="359"/>
      <c r="LD43" s="359"/>
      <c r="LE43" s="358"/>
      <c r="LF43" s="359"/>
      <c r="LG43" s="359"/>
      <c r="LH43" s="359"/>
      <c r="LI43" s="359"/>
      <c r="LJ43" s="358"/>
      <c r="LK43" s="359"/>
      <c r="LL43" s="359"/>
      <c r="LM43" s="359"/>
      <c r="LN43" s="359"/>
      <c r="LO43" s="358"/>
      <c r="LP43" s="359"/>
      <c r="LQ43" s="359"/>
      <c r="LR43" s="359"/>
      <c r="LS43" s="359"/>
      <c r="LT43" s="358"/>
      <c r="LU43" s="359"/>
      <c r="LV43" s="359"/>
      <c r="LW43" s="359"/>
      <c r="LX43" s="359"/>
      <c r="LY43" s="358"/>
      <c r="LZ43" s="359"/>
      <c r="MA43" s="359"/>
      <c r="MB43" s="359"/>
      <c r="MC43" s="359"/>
      <c r="MD43" s="358"/>
      <c r="ME43" s="359"/>
      <c r="MF43" s="359"/>
      <c r="MG43" s="359"/>
      <c r="MH43" s="359"/>
      <c r="MI43" s="358"/>
      <c r="MJ43" s="359"/>
      <c r="MK43" s="359"/>
      <c r="ML43" s="359"/>
      <c r="MM43" s="359"/>
      <c r="MN43" s="358"/>
      <c r="MO43" s="359"/>
      <c r="MP43" s="359"/>
      <c r="MQ43" s="359"/>
      <c r="MR43" s="359"/>
      <c r="MS43" s="358"/>
      <c r="MT43" s="359"/>
      <c r="MU43" s="359"/>
      <c r="MV43" s="359"/>
      <c r="MW43" s="359"/>
      <c r="MX43" s="358"/>
      <c r="MY43" s="359"/>
      <c r="MZ43" s="359"/>
      <c r="NA43" s="359"/>
      <c r="NB43" s="359"/>
      <c r="NC43" s="358"/>
      <c r="ND43" s="359"/>
      <c r="NE43" s="359"/>
      <c r="NF43" s="359"/>
      <c r="NG43" s="359"/>
      <c r="NH43" s="358"/>
      <c r="NI43" s="359"/>
      <c r="NJ43" s="359"/>
      <c r="NK43" s="359"/>
      <c r="NL43" s="359"/>
      <c r="NM43" s="358"/>
      <c r="NN43" s="359"/>
      <c r="NO43" s="359"/>
      <c r="NP43" s="359"/>
      <c r="NQ43" s="359"/>
      <c r="NR43" s="358"/>
      <c r="NS43" s="359"/>
      <c r="NT43" s="359"/>
      <c r="NU43" s="359"/>
      <c r="NV43" s="359"/>
      <c r="NW43" s="358"/>
      <c r="NX43" s="359"/>
      <c r="NY43" s="359"/>
      <c r="NZ43" s="359"/>
      <c r="OA43" s="359"/>
      <c r="OB43" s="358"/>
      <c r="OC43" s="359"/>
      <c r="OD43" s="359"/>
      <c r="OE43" s="359"/>
      <c r="OF43" s="359"/>
      <c r="OG43" s="358"/>
      <c r="OH43" s="359"/>
      <c r="OI43" s="359"/>
      <c r="OJ43" s="359"/>
      <c r="OK43" s="359"/>
      <c r="OL43" s="358"/>
      <c r="OM43" s="359"/>
      <c r="ON43" s="359"/>
      <c r="OO43" s="359"/>
      <c r="OP43" s="359"/>
      <c r="OQ43" s="358"/>
      <c r="OR43" s="359"/>
      <c r="OS43" s="359"/>
      <c r="OT43" s="359"/>
      <c r="OU43" s="359"/>
      <c r="OV43" s="358"/>
      <c r="OW43" s="359"/>
      <c r="OX43" s="359"/>
      <c r="OY43" s="359"/>
      <c r="OZ43" s="359"/>
      <c r="PA43" s="358"/>
      <c r="PB43" s="359"/>
      <c r="PC43" s="359"/>
      <c r="PD43" s="359"/>
      <c r="PE43" s="359"/>
      <c r="PF43" s="358"/>
      <c r="PG43" s="359"/>
      <c r="PH43" s="359"/>
      <c r="PI43" s="359"/>
      <c r="PJ43" s="359"/>
      <c r="PK43" s="358"/>
      <c r="PL43" s="359"/>
      <c r="PM43" s="359"/>
      <c r="PN43" s="359"/>
      <c r="PO43" s="359"/>
      <c r="PP43" s="358"/>
      <c r="PQ43" s="359"/>
      <c r="PR43" s="359"/>
      <c r="PS43" s="359"/>
      <c r="PT43" s="359"/>
      <c r="PU43" s="358"/>
      <c r="PV43" s="359"/>
      <c r="PW43" s="359"/>
      <c r="PX43" s="359"/>
      <c r="PY43" s="359"/>
      <c r="PZ43" s="358"/>
      <c r="QA43" s="359"/>
      <c r="QB43" s="359"/>
      <c r="QC43" s="359"/>
      <c r="QD43" s="359"/>
      <c r="QE43" s="358"/>
      <c r="QF43" s="359"/>
      <c r="QG43" s="359"/>
      <c r="QH43" s="359"/>
      <c r="QI43" s="359"/>
      <c r="QJ43" s="358"/>
      <c r="QK43" s="359"/>
      <c r="QL43" s="359"/>
      <c r="QM43" s="359"/>
      <c r="QN43" s="359"/>
      <c r="QO43" s="358"/>
      <c r="QP43" s="359"/>
      <c r="QQ43" s="359"/>
      <c r="QR43" s="359"/>
      <c r="QS43" s="359"/>
      <c r="QT43" s="358"/>
      <c r="QU43" s="359"/>
      <c r="QV43" s="359"/>
      <c r="QW43" s="359"/>
      <c r="QX43" s="359"/>
      <c r="QY43" s="358"/>
      <c r="QZ43" s="359"/>
      <c r="RA43" s="359"/>
      <c r="RB43" s="359"/>
      <c r="RC43" s="359"/>
      <c r="RD43" s="358"/>
      <c r="RE43" s="359"/>
      <c r="RF43" s="359"/>
      <c r="RG43" s="359"/>
      <c r="RH43" s="359"/>
      <c r="RI43" s="358"/>
      <c r="RJ43" s="359"/>
      <c r="RK43" s="359"/>
      <c r="RL43" s="359"/>
      <c r="RM43" s="359"/>
      <c r="RN43" s="358"/>
      <c r="RO43" s="359"/>
      <c r="RP43" s="359"/>
      <c r="RQ43" s="359"/>
      <c r="RR43" s="359"/>
      <c r="RS43" s="358"/>
      <c r="RT43" s="359"/>
      <c r="RU43" s="359"/>
      <c r="RV43" s="359"/>
      <c r="RW43" s="359"/>
      <c r="RX43" s="358"/>
      <c r="RY43" s="359"/>
      <c r="RZ43" s="359"/>
      <c r="SA43" s="359"/>
      <c r="SB43" s="359"/>
      <c r="SC43" s="358"/>
      <c r="SD43" s="359"/>
      <c r="SE43" s="359"/>
      <c r="SF43" s="359"/>
      <c r="SG43" s="359"/>
      <c r="SH43" s="358"/>
      <c r="SI43" s="359"/>
      <c r="SJ43" s="359"/>
      <c r="SK43" s="359"/>
      <c r="SL43" s="359"/>
      <c r="SM43" s="358"/>
      <c r="SN43" s="359"/>
      <c r="SO43" s="359"/>
      <c r="SP43" s="359"/>
      <c r="SQ43" s="359"/>
      <c r="SR43" s="358"/>
      <c r="SS43" s="359"/>
      <c r="ST43" s="359"/>
      <c r="SU43" s="359"/>
      <c r="SV43" s="359"/>
      <c r="SW43" s="358"/>
      <c r="SX43" s="359"/>
      <c r="SY43" s="359"/>
      <c r="SZ43" s="359"/>
      <c r="TA43" s="359"/>
      <c r="TB43" s="354" t="n">
        <f aca="false">+AVERAGE(B43:IB43)</f>
        <v>3.41558441558442</v>
      </c>
    </row>
    <row r="44" customFormat="false" ht="15.5" hidden="false" customHeight="false" outlineLevel="0" collapsed="false">
      <c r="A44" s="356" t="s">
        <v>521</v>
      </c>
      <c r="B44" s="358" t="n">
        <v>3</v>
      </c>
      <c r="C44" s="359" t="n">
        <v>3</v>
      </c>
      <c r="D44" s="359" t="n">
        <v>5</v>
      </c>
      <c r="E44" s="359" t="n">
        <v>3</v>
      </c>
      <c r="F44" s="359" t="n">
        <v>3</v>
      </c>
      <c r="G44" s="358" t="n">
        <v>1</v>
      </c>
      <c r="H44" s="359" t="n">
        <v>3</v>
      </c>
      <c r="I44" s="359" t="n">
        <v>5</v>
      </c>
      <c r="J44" s="359" t="n">
        <v>1</v>
      </c>
      <c r="K44" s="359" t="n">
        <v>1</v>
      </c>
      <c r="L44" s="358" t="n">
        <v>1</v>
      </c>
      <c r="M44" s="359" t="n">
        <v>3</v>
      </c>
      <c r="N44" s="359" t="n">
        <v>3</v>
      </c>
      <c r="O44" s="359" t="n">
        <v>1</v>
      </c>
      <c r="P44" s="359" t="n">
        <v>1</v>
      </c>
      <c r="Q44" s="358" t="n">
        <v>1</v>
      </c>
      <c r="R44" s="359" t="n">
        <v>3</v>
      </c>
      <c r="S44" s="359" t="n">
        <v>5</v>
      </c>
      <c r="T44" s="359" t="n">
        <v>1</v>
      </c>
      <c r="U44" s="359" t="n">
        <v>3</v>
      </c>
      <c r="V44" s="358" t="n">
        <v>1</v>
      </c>
      <c r="W44" s="359" t="n">
        <v>5</v>
      </c>
      <c r="X44" s="359" t="n">
        <v>5</v>
      </c>
      <c r="Y44" s="359" t="n">
        <v>3</v>
      </c>
      <c r="Z44" s="359" t="n">
        <v>3</v>
      </c>
      <c r="AA44" s="358" t="n">
        <v>3</v>
      </c>
      <c r="AB44" s="359" t="n">
        <v>5</v>
      </c>
      <c r="AC44" s="359" t="n">
        <v>5</v>
      </c>
      <c r="AD44" s="359" t="n">
        <v>3</v>
      </c>
      <c r="AE44" s="359" t="n">
        <v>5</v>
      </c>
      <c r="AF44" s="358" t="n">
        <v>3</v>
      </c>
      <c r="AG44" s="359" t="n">
        <v>5</v>
      </c>
      <c r="AH44" s="359" t="n">
        <v>5</v>
      </c>
      <c r="AI44" s="359" t="n">
        <v>5</v>
      </c>
      <c r="AJ44" s="359" t="n">
        <v>5</v>
      </c>
      <c r="AK44" s="358" t="n">
        <v>3</v>
      </c>
      <c r="AL44" s="359" t="n">
        <v>5</v>
      </c>
      <c r="AM44" s="359" t="n">
        <v>5</v>
      </c>
      <c r="AN44" s="359" t="n">
        <v>5</v>
      </c>
      <c r="AO44" s="359" t="n">
        <v>5</v>
      </c>
      <c r="AP44" s="358" t="n">
        <v>1</v>
      </c>
      <c r="AQ44" s="359" t="n">
        <v>5</v>
      </c>
      <c r="AR44" s="359" t="n">
        <v>5</v>
      </c>
      <c r="AS44" s="359" t="n">
        <v>3</v>
      </c>
      <c r="AT44" s="359" t="n">
        <v>1</v>
      </c>
      <c r="AU44" s="358" t="n">
        <v>3</v>
      </c>
      <c r="AV44" s="359"/>
      <c r="AW44" s="359" t="n">
        <v>5</v>
      </c>
      <c r="AX44" s="359" t="n">
        <v>3</v>
      </c>
      <c r="AY44" s="359" t="n">
        <v>3</v>
      </c>
      <c r="AZ44" s="358" t="n">
        <v>1</v>
      </c>
      <c r="BA44" s="359"/>
      <c r="BB44" s="359" t="n">
        <v>5</v>
      </c>
      <c r="BC44" s="359" t="n">
        <v>1</v>
      </c>
      <c r="BD44" s="359" t="n">
        <v>1</v>
      </c>
      <c r="BE44" s="358" t="n">
        <v>1</v>
      </c>
      <c r="BF44" s="359" t="n">
        <v>5</v>
      </c>
      <c r="BG44" s="359" t="n">
        <v>5</v>
      </c>
      <c r="BH44" s="359" t="n">
        <v>1</v>
      </c>
      <c r="BI44" s="359" t="n">
        <v>1</v>
      </c>
      <c r="BJ44" s="358" t="n">
        <v>3</v>
      </c>
      <c r="BK44" s="359" t="n">
        <v>5</v>
      </c>
      <c r="BL44" s="359" t="n">
        <v>3</v>
      </c>
      <c r="BM44" s="359" t="n">
        <v>3</v>
      </c>
      <c r="BN44" s="359" t="n">
        <v>3</v>
      </c>
      <c r="BO44" s="358" t="n">
        <v>5</v>
      </c>
      <c r="BP44" s="359"/>
      <c r="BQ44" s="359" t="n">
        <v>5</v>
      </c>
      <c r="BR44" s="359" t="n">
        <v>3</v>
      </c>
      <c r="BS44" s="359" t="n">
        <v>5</v>
      </c>
      <c r="BT44" s="358" t="n">
        <v>3</v>
      </c>
      <c r="BU44" s="359" t="n">
        <v>5</v>
      </c>
      <c r="BV44" s="359" t="n">
        <v>5</v>
      </c>
      <c r="BW44" s="359" t="n">
        <v>3</v>
      </c>
      <c r="BX44" s="359" t="n">
        <v>5</v>
      </c>
      <c r="BY44" s="358" t="n">
        <v>5</v>
      </c>
      <c r="BZ44" s="358" t="n">
        <v>5</v>
      </c>
      <c r="CA44" s="359" t="n">
        <v>5</v>
      </c>
      <c r="CB44" s="359" t="n">
        <v>3</v>
      </c>
      <c r="CC44" s="359" t="n">
        <v>5</v>
      </c>
      <c r="CD44" s="358"/>
      <c r="CE44" s="359"/>
      <c r="CF44" s="359"/>
      <c r="CG44" s="359"/>
      <c r="CH44" s="359"/>
      <c r="CI44" s="358"/>
      <c r="CJ44" s="359"/>
      <c r="CK44" s="359"/>
      <c r="CL44" s="359"/>
      <c r="CM44" s="359"/>
      <c r="CN44" s="358"/>
      <c r="CO44" s="359"/>
      <c r="CP44" s="359"/>
      <c r="CQ44" s="359"/>
      <c r="CR44" s="359"/>
      <c r="CS44" s="358"/>
      <c r="CT44" s="359"/>
      <c r="CU44" s="359"/>
      <c r="CV44" s="359"/>
      <c r="CW44" s="359"/>
      <c r="CX44" s="358"/>
      <c r="CY44" s="359"/>
      <c r="CZ44" s="359"/>
      <c r="DA44" s="359"/>
      <c r="DB44" s="359"/>
      <c r="DC44" s="358"/>
      <c r="DD44" s="359"/>
      <c r="DE44" s="359"/>
      <c r="DF44" s="359"/>
      <c r="DG44" s="359"/>
      <c r="DH44" s="358"/>
      <c r="DI44" s="359"/>
      <c r="DJ44" s="359"/>
      <c r="DK44" s="359"/>
      <c r="DL44" s="359"/>
      <c r="DM44" s="358"/>
      <c r="DN44" s="359"/>
      <c r="DO44" s="359"/>
      <c r="DP44" s="359"/>
      <c r="DQ44" s="359"/>
      <c r="DR44" s="358"/>
      <c r="DS44" s="359"/>
      <c r="DT44" s="359"/>
      <c r="DU44" s="359"/>
      <c r="DV44" s="359"/>
      <c r="DW44" s="358"/>
      <c r="DX44" s="359"/>
      <c r="DY44" s="359"/>
      <c r="DZ44" s="359"/>
      <c r="EA44" s="359"/>
      <c r="EB44" s="358"/>
      <c r="EC44" s="359"/>
      <c r="ED44" s="359"/>
      <c r="EE44" s="359"/>
      <c r="EF44" s="359"/>
      <c r="EG44" s="358"/>
      <c r="EH44" s="359"/>
      <c r="EI44" s="359"/>
      <c r="EJ44" s="359"/>
      <c r="EK44" s="359"/>
      <c r="EL44" s="358"/>
      <c r="EM44" s="359"/>
      <c r="EN44" s="359"/>
      <c r="EO44" s="359"/>
      <c r="EP44" s="359"/>
      <c r="EQ44" s="358"/>
      <c r="ER44" s="359"/>
      <c r="ES44" s="359"/>
      <c r="ET44" s="359"/>
      <c r="EU44" s="359"/>
      <c r="EV44" s="358"/>
      <c r="EW44" s="359"/>
      <c r="EX44" s="359"/>
      <c r="EY44" s="359"/>
      <c r="EZ44" s="359"/>
      <c r="FA44" s="358"/>
      <c r="FB44" s="359"/>
      <c r="FC44" s="359"/>
      <c r="FD44" s="359"/>
      <c r="FE44" s="359"/>
      <c r="FF44" s="358"/>
      <c r="FG44" s="359"/>
      <c r="FH44" s="359"/>
      <c r="FI44" s="359"/>
      <c r="FJ44" s="359"/>
      <c r="FK44" s="358"/>
      <c r="FL44" s="359"/>
      <c r="FM44" s="359"/>
      <c r="FN44" s="359"/>
      <c r="FO44" s="359"/>
      <c r="FP44" s="358"/>
      <c r="FQ44" s="359"/>
      <c r="FR44" s="359"/>
      <c r="FS44" s="359"/>
      <c r="FT44" s="359"/>
      <c r="FU44" s="358"/>
      <c r="FV44" s="359"/>
      <c r="FW44" s="359"/>
      <c r="FX44" s="359"/>
      <c r="FY44" s="359"/>
      <c r="FZ44" s="358"/>
      <c r="GA44" s="359"/>
      <c r="GB44" s="359"/>
      <c r="GC44" s="359"/>
      <c r="GD44" s="359"/>
      <c r="GE44" s="358"/>
      <c r="GF44" s="359"/>
      <c r="GG44" s="359"/>
      <c r="GH44" s="359"/>
      <c r="GI44" s="359"/>
      <c r="GJ44" s="358"/>
      <c r="GK44" s="359"/>
      <c r="GL44" s="359"/>
      <c r="GM44" s="359"/>
      <c r="GN44" s="359"/>
      <c r="GO44" s="358"/>
      <c r="GP44" s="359"/>
      <c r="GQ44" s="359"/>
      <c r="GR44" s="359"/>
      <c r="GS44" s="359"/>
      <c r="GT44" s="358"/>
      <c r="GU44" s="359"/>
      <c r="GV44" s="359"/>
      <c r="GW44" s="359"/>
      <c r="GX44" s="359"/>
      <c r="GY44" s="358"/>
      <c r="GZ44" s="359"/>
      <c r="HA44" s="359"/>
      <c r="HB44" s="359"/>
      <c r="HC44" s="359"/>
      <c r="HD44" s="358"/>
      <c r="HE44" s="359"/>
      <c r="HF44" s="359"/>
      <c r="HG44" s="359"/>
      <c r="HH44" s="359"/>
      <c r="HI44" s="358"/>
      <c r="HJ44" s="359"/>
      <c r="HK44" s="359"/>
      <c r="HL44" s="359"/>
      <c r="HM44" s="359"/>
      <c r="HN44" s="358"/>
      <c r="HO44" s="359"/>
      <c r="HP44" s="359"/>
      <c r="HQ44" s="359"/>
      <c r="HR44" s="359"/>
      <c r="HS44" s="358"/>
      <c r="HT44" s="359"/>
      <c r="HU44" s="359"/>
      <c r="HV44" s="359"/>
      <c r="HW44" s="359"/>
      <c r="HX44" s="358"/>
      <c r="HY44" s="359"/>
      <c r="HZ44" s="359"/>
      <c r="IA44" s="359"/>
      <c r="IB44" s="359"/>
      <c r="IC44" s="358"/>
      <c r="ID44" s="359"/>
      <c r="IE44" s="359"/>
      <c r="IF44" s="359"/>
      <c r="IG44" s="359"/>
      <c r="IH44" s="358"/>
      <c r="II44" s="359"/>
      <c r="IJ44" s="359"/>
      <c r="IK44" s="359"/>
      <c r="IL44" s="359"/>
      <c r="IM44" s="358"/>
      <c r="IN44" s="359"/>
      <c r="IO44" s="359"/>
      <c r="IP44" s="359"/>
      <c r="IQ44" s="359"/>
      <c r="IR44" s="358"/>
      <c r="IS44" s="359"/>
      <c r="IT44" s="359"/>
      <c r="IU44" s="359"/>
      <c r="IV44" s="359"/>
      <c r="IW44" s="358"/>
      <c r="IX44" s="359"/>
      <c r="IY44" s="359"/>
      <c r="IZ44" s="359"/>
      <c r="JA44" s="359"/>
      <c r="JB44" s="358"/>
      <c r="JC44" s="359"/>
      <c r="JD44" s="359"/>
      <c r="JE44" s="359"/>
      <c r="JF44" s="359"/>
      <c r="JG44" s="358"/>
      <c r="JH44" s="359"/>
      <c r="JI44" s="359"/>
      <c r="JJ44" s="359"/>
      <c r="JK44" s="359"/>
      <c r="JL44" s="358"/>
      <c r="JM44" s="359"/>
      <c r="JN44" s="359"/>
      <c r="JO44" s="359"/>
      <c r="JP44" s="359"/>
      <c r="JQ44" s="358"/>
      <c r="JR44" s="359"/>
      <c r="JS44" s="359"/>
      <c r="JT44" s="359"/>
      <c r="JU44" s="359"/>
      <c r="JV44" s="358"/>
      <c r="JW44" s="359"/>
      <c r="JX44" s="359"/>
      <c r="JY44" s="359"/>
      <c r="JZ44" s="359"/>
      <c r="KA44" s="358"/>
      <c r="KB44" s="359"/>
      <c r="KC44" s="359"/>
      <c r="KD44" s="359"/>
      <c r="KE44" s="359"/>
      <c r="KF44" s="358"/>
      <c r="KG44" s="359"/>
      <c r="KH44" s="359"/>
      <c r="KI44" s="359"/>
      <c r="KJ44" s="359"/>
      <c r="KK44" s="358"/>
      <c r="KL44" s="359"/>
      <c r="KM44" s="359"/>
      <c r="KN44" s="359"/>
      <c r="KO44" s="359"/>
      <c r="KP44" s="358"/>
      <c r="KQ44" s="359"/>
      <c r="KR44" s="359"/>
      <c r="KS44" s="359"/>
      <c r="KT44" s="359"/>
      <c r="KU44" s="358"/>
      <c r="KV44" s="359"/>
      <c r="KW44" s="359"/>
      <c r="KX44" s="359"/>
      <c r="KY44" s="359"/>
      <c r="KZ44" s="358"/>
      <c r="LA44" s="359"/>
      <c r="LB44" s="359"/>
      <c r="LC44" s="359"/>
      <c r="LD44" s="359"/>
      <c r="LE44" s="358"/>
      <c r="LF44" s="359"/>
      <c r="LG44" s="359"/>
      <c r="LH44" s="359"/>
      <c r="LI44" s="359"/>
      <c r="LJ44" s="358"/>
      <c r="LK44" s="359"/>
      <c r="LL44" s="359"/>
      <c r="LM44" s="359"/>
      <c r="LN44" s="359"/>
      <c r="LO44" s="358"/>
      <c r="LP44" s="359"/>
      <c r="LQ44" s="359"/>
      <c r="LR44" s="359"/>
      <c r="LS44" s="359"/>
      <c r="LT44" s="358"/>
      <c r="LU44" s="359"/>
      <c r="LV44" s="359"/>
      <c r="LW44" s="359"/>
      <c r="LX44" s="359"/>
      <c r="LY44" s="358"/>
      <c r="LZ44" s="359"/>
      <c r="MA44" s="359"/>
      <c r="MB44" s="359"/>
      <c r="MC44" s="359"/>
      <c r="MD44" s="358"/>
      <c r="ME44" s="359"/>
      <c r="MF44" s="359"/>
      <c r="MG44" s="359"/>
      <c r="MH44" s="359"/>
      <c r="MI44" s="358"/>
      <c r="MJ44" s="359"/>
      <c r="MK44" s="359"/>
      <c r="ML44" s="359"/>
      <c r="MM44" s="359"/>
      <c r="MN44" s="358"/>
      <c r="MO44" s="359"/>
      <c r="MP44" s="359"/>
      <c r="MQ44" s="359"/>
      <c r="MR44" s="359"/>
      <c r="MS44" s="358"/>
      <c r="MT44" s="359"/>
      <c r="MU44" s="359"/>
      <c r="MV44" s="359"/>
      <c r="MW44" s="359"/>
      <c r="MX44" s="358"/>
      <c r="MY44" s="359"/>
      <c r="MZ44" s="359"/>
      <c r="NA44" s="359"/>
      <c r="NB44" s="359"/>
      <c r="NC44" s="358"/>
      <c r="ND44" s="359"/>
      <c r="NE44" s="359"/>
      <c r="NF44" s="359"/>
      <c r="NG44" s="359"/>
      <c r="NH44" s="358"/>
      <c r="NI44" s="359"/>
      <c r="NJ44" s="359"/>
      <c r="NK44" s="359"/>
      <c r="NL44" s="359"/>
      <c r="NM44" s="358"/>
      <c r="NN44" s="359"/>
      <c r="NO44" s="359"/>
      <c r="NP44" s="359"/>
      <c r="NQ44" s="359"/>
      <c r="NR44" s="358"/>
      <c r="NS44" s="359"/>
      <c r="NT44" s="359"/>
      <c r="NU44" s="359"/>
      <c r="NV44" s="359"/>
      <c r="NW44" s="358"/>
      <c r="NX44" s="359"/>
      <c r="NY44" s="359"/>
      <c r="NZ44" s="359"/>
      <c r="OA44" s="359"/>
      <c r="OB44" s="358"/>
      <c r="OC44" s="359"/>
      <c r="OD44" s="359"/>
      <c r="OE44" s="359"/>
      <c r="OF44" s="359"/>
      <c r="OG44" s="358"/>
      <c r="OH44" s="359"/>
      <c r="OI44" s="359"/>
      <c r="OJ44" s="359"/>
      <c r="OK44" s="359"/>
      <c r="OL44" s="358"/>
      <c r="OM44" s="359"/>
      <c r="ON44" s="359"/>
      <c r="OO44" s="359"/>
      <c r="OP44" s="359"/>
      <c r="OQ44" s="358"/>
      <c r="OR44" s="359"/>
      <c r="OS44" s="359"/>
      <c r="OT44" s="359"/>
      <c r="OU44" s="359"/>
      <c r="OV44" s="358"/>
      <c r="OW44" s="359"/>
      <c r="OX44" s="359"/>
      <c r="OY44" s="359"/>
      <c r="OZ44" s="359"/>
      <c r="PA44" s="358"/>
      <c r="PB44" s="359"/>
      <c r="PC44" s="359"/>
      <c r="PD44" s="359"/>
      <c r="PE44" s="359"/>
      <c r="PF44" s="358"/>
      <c r="PG44" s="359"/>
      <c r="PH44" s="359"/>
      <c r="PI44" s="359"/>
      <c r="PJ44" s="359"/>
      <c r="PK44" s="358"/>
      <c r="PL44" s="359"/>
      <c r="PM44" s="359"/>
      <c r="PN44" s="359"/>
      <c r="PO44" s="359"/>
      <c r="PP44" s="358"/>
      <c r="PQ44" s="359"/>
      <c r="PR44" s="359"/>
      <c r="PS44" s="359"/>
      <c r="PT44" s="359"/>
      <c r="PU44" s="358"/>
      <c r="PV44" s="359"/>
      <c r="PW44" s="359"/>
      <c r="PX44" s="359"/>
      <c r="PY44" s="359"/>
      <c r="PZ44" s="358"/>
      <c r="QA44" s="359"/>
      <c r="QB44" s="359"/>
      <c r="QC44" s="359"/>
      <c r="QD44" s="359"/>
      <c r="QE44" s="358"/>
      <c r="QF44" s="359"/>
      <c r="QG44" s="359"/>
      <c r="QH44" s="359"/>
      <c r="QI44" s="359"/>
      <c r="QJ44" s="358"/>
      <c r="QK44" s="359"/>
      <c r="QL44" s="359"/>
      <c r="QM44" s="359"/>
      <c r="QN44" s="359"/>
      <c r="QO44" s="358"/>
      <c r="QP44" s="359"/>
      <c r="QQ44" s="359"/>
      <c r="QR44" s="359"/>
      <c r="QS44" s="359"/>
      <c r="QT44" s="358"/>
      <c r="QU44" s="359"/>
      <c r="QV44" s="359"/>
      <c r="QW44" s="359"/>
      <c r="QX44" s="359"/>
      <c r="QY44" s="358"/>
      <c r="QZ44" s="359"/>
      <c r="RA44" s="359"/>
      <c r="RB44" s="359"/>
      <c r="RC44" s="359"/>
      <c r="RD44" s="358"/>
      <c r="RE44" s="359"/>
      <c r="RF44" s="359"/>
      <c r="RG44" s="359"/>
      <c r="RH44" s="359"/>
      <c r="RI44" s="358"/>
      <c r="RJ44" s="359"/>
      <c r="RK44" s="359"/>
      <c r="RL44" s="359"/>
      <c r="RM44" s="359"/>
      <c r="RN44" s="358"/>
      <c r="RO44" s="359"/>
      <c r="RP44" s="359"/>
      <c r="RQ44" s="359"/>
      <c r="RR44" s="359"/>
      <c r="RS44" s="358"/>
      <c r="RT44" s="359"/>
      <c r="RU44" s="359"/>
      <c r="RV44" s="359"/>
      <c r="RW44" s="359"/>
      <c r="RX44" s="358"/>
      <c r="RY44" s="359"/>
      <c r="RZ44" s="359"/>
      <c r="SA44" s="359"/>
      <c r="SB44" s="359"/>
      <c r="SC44" s="358"/>
      <c r="SD44" s="359"/>
      <c r="SE44" s="359"/>
      <c r="SF44" s="359"/>
      <c r="SG44" s="359"/>
      <c r="SH44" s="358"/>
      <c r="SI44" s="359"/>
      <c r="SJ44" s="359"/>
      <c r="SK44" s="359"/>
      <c r="SL44" s="359"/>
      <c r="SM44" s="358"/>
      <c r="SN44" s="359"/>
      <c r="SO44" s="359"/>
      <c r="SP44" s="359"/>
      <c r="SQ44" s="359"/>
      <c r="SR44" s="358"/>
      <c r="SS44" s="359"/>
      <c r="ST44" s="359"/>
      <c r="SU44" s="359"/>
      <c r="SV44" s="359"/>
      <c r="SW44" s="358"/>
      <c r="SX44" s="359"/>
      <c r="SY44" s="359"/>
      <c r="SZ44" s="359"/>
      <c r="TA44" s="359"/>
      <c r="TB44" s="354" t="n">
        <f aca="false">+AVERAGE(B44:IB44)</f>
        <v>3.41558441558442</v>
      </c>
    </row>
    <row r="45" customFormat="false" ht="15.5" hidden="false" customHeight="false" outlineLevel="0" collapsed="false">
      <c r="A45" s="349" t="s">
        <v>522</v>
      </c>
      <c r="B45" s="350"/>
      <c r="C45" s="351"/>
      <c r="D45" s="351"/>
      <c r="E45" s="351"/>
      <c r="F45" s="352"/>
      <c r="G45" s="350"/>
      <c r="H45" s="351"/>
      <c r="I45" s="351"/>
      <c r="J45" s="351"/>
      <c r="K45" s="352"/>
      <c r="L45" s="350"/>
      <c r="M45" s="351"/>
      <c r="N45" s="351"/>
      <c r="O45" s="351"/>
      <c r="P45" s="352"/>
      <c r="Q45" s="350"/>
      <c r="R45" s="351"/>
      <c r="S45" s="351"/>
      <c r="T45" s="351"/>
      <c r="U45" s="352"/>
      <c r="V45" s="350"/>
      <c r="W45" s="351"/>
      <c r="X45" s="351"/>
      <c r="Y45" s="351"/>
      <c r="Z45" s="352"/>
      <c r="AA45" s="350"/>
      <c r="AB45" s="351"/>
      <c r="AC45" s="351"/>
      <c r="AD45" s="351"/>
      <c r="AE45" s="352"/>
      <c r="AF45" s="350"/>
      <c r="AG45" s="351"/>
      <c r="AH45" s="351"/>
      <c r="AI45" s="351"/>
      <c r="AJ45" s="352"/>
      <c r="AK45" s="350"/>
      <c r="AL45" s="351"/>
      <c r="AM45" s="351"/>
      <c r="AN45" s="351"/>
      <c r="AO45" s="352"/>
      <c r="AP45" s="350"/>
      <c r="AQ45" s="351"/>
      <c r="AR45" s="351"/>
      <c r="AS45" s="351"/>
      <c r="AT45" s="352"/>
      <c r="AU45" s="350"/>
      <c r="AV45" s="351"/>
      <c r="AW45" s="351"/>
      <c r="AX45" s="351"/>
      <c r="AY45" s="352"/>
      <c r="AZ45" s="350"/>
      <c r="BA45" s="351"/>
      <c r="BB45" s="351"/>
      <c r="BC45" s="351"/>
      <c r="BD45" s="352"/>
      <c r="BE45" s="350"/>
      <c r="BF45" s="351"/>
      <c r="BG45" s="351"/>
      <c r="BH45" s="351"/>
      <c r="BI45" s="352"/>
      <c r="BJ45" s="350" t="n">
        <v>5</v>
      </c>
      <c r="BK45" s="351" t="n">
        <v>5</v>
      </c>
      <c r="BL45" s="351"/>
      <c r="BM45" s="351" t="n">
        <v>5</v>
      </c>
      <c r="BN45" s="351" t="n">
        <v>3</v>
      </c>
      <c r="BO45" s="350" t="n">
        <v>5</v>
      </c>
      <c r="BP45" s="351"/>
      <c r="BQ45" s="351" t="n">
        <v>5</v>
      </c>
      <c r="BR45" s="351" t="n">
        <v>3</v>
      </c>
      <c r="BS45" s="352" t="n">
        <v>5</v>
      </c>
      <c r="BT45" s="350" t="n">
        <v>5</v>
      </c>
      <c r="BU45" s="351" t="n">
        <v>5</v>
      </c>
      <c r="BV45" s="351" t="n">
        <v>5</v>
      </c>
      <c r="BW45" s="351" t="n">
        <v>3</v>
      </c>
      <c r="BX45" s="352" t="n">
        <v>3</v>
      </c>
      <c r="BY45" s="350"/>
      <c r="BZ45" s="351"/>
      <c r="CA45" s="351" t="n">
        <v>5</v>
      </c>
      <c r="CB45" s="351" t="n">
        <v>1</v>
      </c>
      <c r="CC45" s="352" t="n">
        <v>5</v>
      </c>
      <c r="CD45" s="350"/>
      <c r="CE45" s="351"/>
      <c r="CF45" s="351"/>
      <c r="CG45" s="351"/>
      <c r="CH45" s="352"/>
      <c r="CI45" s="350"/>
      <c r="CJ45" s="351"/>
      <c r="CK45" s="351"/>
      <c r="CL45" s="351"/>
      <c r="CM45" s="352"/>
      <c r="CN45" s="350"/>
      <c r="CO45" s="351"/>
      <c r="CP45" s="351"/>
      <c r="CQ45" s="351"/>
      <c r="CR45" s="352"/>
      <c r="CS45" s="350"/>
      <c r="CT45" s="351"/>
      <c r="CU45" s="351"/>
      <c r="CV45" s="351"/>
      <c r="CW45" s="352"/>
      <c r="CX45" s="350"/>
      <c r="CY45" s="351"/>
      <c r="CZ45" s="351"/>
      <c r="DA45" s="351"/>
      <c r="DB45" s="352"/>
      <c r="DC45" s="350"/>
      <c r="DD45" s="351"/>
      <c r="DE45" s="351"/>
      <c r="DF45" s="351"/>
      <c r="DG45" s="352"/>
      <c r="DH45" s="350"/>
      <c r="DI45" s="351"/>
      <c r="DJ45" s="351"/>
      <c r="DK45" s="351"/>
      <c r="DL45" s="352"/>
      <c r="DM45" s="350"/>
      <c r="DN45" s="351"/>
      <c r="DO45" s="351"/>
      <c r="DP45" s="351"/>
      <c r="DQ45" s="352"/>
      <c r="DR45" s="350"/>
      <c r="DS45" s="351"/>
      <c r="DT45" s="351"/>
      <c r="DU45" s="351"/>
      <c r="DV45" s="352"/>
      <c r="DW45" s="350"/>
      <c r="DX45" s="351"/>
      <c r="DY45" s="351"/>
      <c r="DZ45" s="351"/>
      <c r="EA45" s="352"/>
      <c r="EB45" s="350"/>
      <c r="EC45" s="351"/>
      <c r="ED45" s="351"/>
      <c r="EE45" s="351"/>
      <c r="EF45" s="352"/>
      <c r="EG45" s="350"/>
      <c r="EH45" s="351"/>
      <c r="EI45" s="351"/>
      <c r="EJ45" s="351"/>
      <c r="EK45" s="352"/>
      <c r="EL45" s="350"/>
      <c r="EM45" s="351"/>
      <c r="EN45" s="351"/>
      <c r="EO45" s="351"/>
      <c r="EP45" s="352"/>
      <c r="EQ45" s="350"/>
      <c r="ER45" s="351"/>
      <c r="ES45" s="351"/>
      <c r="ET45" s="351"/>
      <c r="EU45" s="352"/>
      <c r="EV45" s="350"/>
      <c r="EW45" s="351"/>
      <c r="EX45" s="351"/>
      <c r="EY45" s="351"/>
      <c r="EZ45" s="352"/>
      <c r="FA45" s="350"/>
      <c r="FB45" s="351"/>
      <c r="FC45" s="351"/>
      <c r="FD45" s="351"/>
      <c r="FE45" s="352"/>
      <c r="FF45" s="350"/>
      <c r="FG45" s="351"/>
      <c r="FH45" s="351"/>
      <c r="FI45" s="351"/>
      <c r="FJ45" s="352"/>
      <c r="FK45" s="350"/>
      <c r="FL45" s="351"/>
      <c r="FM45" s="351"/>
      <c r="FN45" s="351"/>
      <c r="FO45" s="352"/>
      <c r="FP45" s="350"/>
      <c r="FQ45" s="351"/>
      <c r="FR45" s="351"/>
      <c r="FS45" s="351"/>
      <c r="FT45" s="352"/>
      <c r="FU45" s="350"/>
      <c r="FV45" s="351"/>
      <c r="FW45" s="351"/>
      <c r="FX45" s="351"/>
      <c r="FY45" s="352"/>
      <c r="FZ45" s="350"/>
      <c r="GA45" s="351"/>
      <c r="GB45" s="351"/>
      <c r="GC45" s="351"/>
      <c r="GD45" s="352"/>
      <c r="GE45" s="350"/>
      <c r="GF45" s="351"/>
      <c r="GG45" s="351"/>
      <c r="GH45" s="351"/>
      <c r="GI45" s="352"/>
      <c r="GJ45" s="350"/>
      <c r="GK45" s="351"/>
      <c r="GL45" s="351"/>
      <c r="GM45" s="351"/>
      <c r="GN45" s="352"/>
      <c r="GO45" s="350"/>
      <c r="GP45" s="351"/>
      <c r="GQ45" s="351"/>
      <c r="GR45" s="351"/>
      <c r="GS45" s="352"/>
      <c r="GT45" s="350"/>
      <c r="GU45" s="351"/>
      <c r="GV45" s="351"/>
      <c r="GW45" s="351"/>
      <c r="GX45" s="352"/>
      <c r="GY45" s="350"/>
      <c r="GZ45" s="351"/>
      <c r="HA45" s="351"/>
      <c r="HB45" s="351"/>
      <c r="HC45" s="352"/>
      <c r="HD45" s="350"/>
      <c r="HE45" s="351"/>
      <c r="HF45" s="351"/>
      <c r="HG45" s="351"/>
      <c r="HH45" s="352"/>
      <c r="HI45" s="350"/>
      <c r="HJ45" s="351"/>
      <c r="HK45" s="351"/>
      <c r="HL45" s="351"/>
      <c r="HM45" s="352"/>
      <c r="HN45" s="350"/>
      <c r="HO45" s="351"/>
      <c r="HP45" s="351"/>
      <c r="HQ45" s="351"/>
      <c r="HR45" s="352"/>
      <c r="HS45" s="350"/>
      <c r="HT45" s="351"/>
      <c r="HU45" s="351"/>
      <c r="HV45" s="351"/>
      <c r="HW45" s="352"/>
      <c r="HX45" s="350"/>
      <c r="HY45" s="351"/>
      <c r="HZ45" s="351"/>
      <c r="IA45" s="351"/>
      <c r="IB45" s="352"/>
      <c r="IC45" s="350"/>
      <c r="ID45" s="351"/>
      <c r="IE45" s="351"/>
      <c r="IF45" s="351"/>
      <c r="IG45" s="352"/>
      <c r="IH45" s="350"/>
      <c r="II45" s="351"/>
      <c r="IJ45" s="351"/>
      <c r="IK45" s="351"/>
      <c r="IL45" s="352"/>
      <c r="IM45" s="350"/>
      <c r="IN45" s="351"/>
      <c r="IO45" s="351"/>
      <c r="IP45" s="351"/>
      <c r="IQ45" s="352"/>
      <c r="IR45" s="350"/>
      <c r="IS45" s="351"/>
      <c r="IT45" s="351"/>
      <c r="IU45" s="351"/>
      <c r="IV45" s="352"/>
      <c r="IW45" s="350"/>
      <c r="IX45" s="351"/>
      <c r="IY45" s="351"/>
      <c r="IZ45" s="351"/>
      <c r="JA45" s="352"/>
      <c r="JB45" s="350"/>
      <c r="JC45" s="351"/>
      <c r="JD45" s="351"/>
      <c r="JE45" s="351"/>
      <c r="JF45" s="352"/>
      <c r="JG45" s="350"/>
      <c r="JH45" s="351"/>
      <c r="JI45" s="351"/>
      <c r="JJ45" s="351"/>
      <c r="JK45" s="352"/>
      <c r="JL45" s="350"/>
      <c r="JM45" s="351"/>
      <c r="JN45" s="351"/>
      <c r="JO45" s="351"/>
      <c r="JP45" s="352"/>
      <c r="JQ45" s="350"/>
      <c r="JR45" s="351"/>
      <c r="JS45" s="351"/>
      <c r="JT45" s="351"/>
      <c r="JU45" s="352"/>
      <c r="JV45" s="350"/>
      <c r="JW45" s="351"/>
      <c r="JX45" s="351"/>
      <c r="JY45" s="351"/>
      <c r="JZ45" s="352"/>
      <c r="KA45" s="350"/>
      <c r="KB45" s="351"/>
      <c r="KC45" s="351"/>
      <c r="KD45" s="351"/>
      <c r="KE45" s="352"/>
      <c r="KF45" s="350"/>
      <c r="KG45" s="351"/>
      <c r="KH45" s="351"/>
      <c r="KI45" s="351"/>
      <c r="KJ45" s="352"/>
      <c r="KK45" s="350"/>
      <c r="KL45" s="351"/>
      <c r="KM45" s="351"/>
      <c r="KN45" s="351"/>
      <c r="KO45" s="352"/>
      <c r="KP45" s="350"/>
      <c r="KQ45" s="351"/>
      <c r="KR45" s="351"/>
      <c r="KS45" s="351"/>
      <c r="KT45" s="352"/>
      <c r="KU45" s="350"/>
      <c r="KV45" s="351"/>
      <c r="KW45" s="351"/>
      <c r="KX45" s="351"/>
      <c r="KY45" s="352"/>
      <c r="KZ45" s="350"/>
      <c r="LA45" s="351"/>
      <c r="LB45" s="351"/>
      <c r="LC45" s="351"/>
      <c r="LD45" s="352"/>
      <c r="LE45" s="350"/>
      <c r="LF45" s="351"/>
      <c r="LG45" s="351"/>
      <c r="LH45" s="351"/>
      <c r="LI45" s="352"/>
      <c r="LJ45" s="350"/>
      <c r="LK45" s="351"/>
      <c r="LL45" s="351"/>
      <c r="LM45" s="351"/>
      <c r="LN45" s="352"/>
      <c r="LO45" s="350"/>
      <c r="LP45" s="351"/>
      <c r="LQ45" s="351"/>
      <c r="LR45" s="351"/>
      <c r="LS45" s="352"/>
      <c r="LT45" s="350"/>
      <c r="LU45" s="351"/>
      <c r="LV45" s="351"/>
      <c r="LW45" s="351"/>
      <c r="LX45" s="352"/>
      <c r="LY45" s="350"/>
      <c r="LZ45" s="351"/>
      <c r="MA45" s="351"/>
      <c r="MB45" s="351"/>
      <c r="MC45" s="352"/>
      <c r="MD45" s="350"/>
      <c r="ME45" s="351"/>
      <c r="MF45" s="351"/>
      <c r="MG45" s="351"/>
      <c r="MH45" s="352"/>
      <c r="MI45" s="350"/>
      <c r="MJ45" s="351"/>
      <c r="MK45" s="351"/>
      <c r="ML45" s="351"/>
      <c r="MM45" s="352"/>
      <c r="MN45" s="350"/>
      <c r="MO45" s="351"/>
      <c r="MP45" s="351"/>
      <c r="MQ45" s="351"/>
      <c r="MR45" s="352"/>
      <c r="MS45" s="350"/>
      <c r="MT45" s="351"/>
      <c r="MU45" s="351"/>
      <c r="MV45" s="351"/>
      <c r="MW45" s="352"/>
      <c r="MX45" s="350"/>
      <c r="MY45" s="351"/>
      <c r="MZ45" s="351"/>
      <c r="NA45" s="351"/>
      <c r="NB45" s="352"/>
      <c r="NC45" s="350"/>
      <c r="ND45" s="351"/>
      <c r="NE45" s="351"/>
      <c r="NF45" s="351"/>
      <c r="NG45" s="352"/>
      <c r="NH45" s="350"/>
      <c r="NI45" s="351"/>
      <c r="NJ45" s="351"/>
      <c r="NK45" s="351"/>
      <c r="NL45" s="352"/>
      <c r="NM45" s="350"/>
      <c r="NN45" s="351"/>
      <c r="NO45" s="351"/>
      <c r="NP45" s="351"/>
      <c r="NQ45" s="352"/>
      <c r="NR45" s="350"/>
      <c r="NS45" s="351"/>
      <c r="NT45" s="351"/>
      <c r="NU45" s="351"/>
      <c r="NV45" s="352"/>
      <c r="NW45" s="350"/>
      <c r="NX45" s="351"/>
      <c r="NY45" s="351"/>
      <c r="NZ45" s="351"/>
      <c r="OA45" s="352"/>
      <c r="OB45" s="350"/>
      <c r="OC45" s="351"/>
      <c r="OD45" s="351"/>
      <c r="OE45" s="351"/>
      <c r="OF45" s="352"/>
      <c r="OG45" s="350"/>
      <c r="OH45" s="351"/>
      <c r="OI45" s="351"/>
      <c r="OJ45" s="351"/>
      <c r="OK45" s="352"/>
      <c r="OL45" s="350"/>
      <c r="OM45" s="351"/>
      <c r="ON45" s="351"/>
      <c r="OO45" s="351"/>
      <c r="OP45" s="352"/>
      <c r="OQ45" s="350"/>
      <c r="OR45" s="351"/>
      <c r="OS45" s="351"/>
      <c r="OT45" s="351"/>
      <c r="OU45" s="352"/>
      <c r="OV45" s="350"/>
      <c r="OW45" s="351"/>
      <c r="OX45" s="351"/>
      <c r="OY45" s="351"/>
      <c r="OZ45" s="352"/>
      <c r="PA45" s="350"/>
      <c r="PB45" s="351"/>
      <c r="PC45" s="351"/>
      <c r="PD45" s="351"/>
      <c r="PE45" s="352"/>
      <c r="PF45" s="350"/>
      <c r="PG45" s="351"/>
      <c r="PH45" s="351"/>
      <c r="PI45" s="351"/>
      <c r="PJ45" s="352"/>
      <c r="PK45" s="350"/>
      <c r="PL45" s="351"/>
      <c r="PM45" s="351"/>
      <c r="PN45" s="351"/>
      <c r="PO45" s="352"/>
      <c r="PP45" s="350"/>
      <c r="PQ45" s="351"/>
      <c r="PR45" s="351"/>
      <c r="PS45" s="351"/>
      <c r="PT45" s="352"/>
      <c r="PU45" s="350"/>
      <c r="PV45" s="351"/>
      <c r="PW45" s="351"/>
      <c r="PX45" s="351"/>
      <c r="PY45" s="352"/>
      <c r="PZ45" s="350"/>
      <c r="QA45" s="351"/>
      <c r="QB45" s="351"/>
      <c r="QC45" s="351"/>
      <c r="QD45" s="352"/>
      <c r="QE45" s="350"/>
      <c r="QF45" s="351"/>
      <c r="QG45" s="351"/>
      <c r="QH45" s="351"/>
      <c r="QI45" s="352"/>
      <c r="QJ45" s="350"/>
      <c r="QK45" s="351"/>
      <c r="QL45" s="351"/>
      <c r="QM45" s="351"/>
      <c r="QN45" s="352"/>
      <c r="QO45" s="350"/>
      <c r="QP45" s="351"/>
      <c r="QQ45" s="351"/>
      <c r="QR45" s="351"/>
      <c r="QS45" s="352"/>
      <c r="QT45" s="350"/>
      <c r="QU45" s="351"/>
      <c r="QV45" s="351"/>
      <c r="QW45" s="351"/>
      <c r="QX45" s="352"/>
      <c r="QY45" s="350"/>
      <c r="QZ45" s="351"/>
      <c r="RA45" s="351"/>
      <c r="RB45" s="351"/>
      <c r="RC45" s="352"/>
      <c r="RD45" s="350"/>
      <c r="RE45" s="351"/>
      <c r="RF45" s="351"/>
      <c r="RG45" s="351"/>
      <c r="RH45" s="352"/>
      <c r="RI45" s="350"/>
      <c r="RJ45" s="351"/>
      <c r="RK45" s="351"/>
      <c r="RL45" s="351"/>
      <c r="RM45" s="352"/>
      <c r="RN45" s="350"/>
      <c r="RO45" s="351"/>
      <c r="RP45" s="351"/>
      <c r="RQ45" s="351"/>
      <c r="RR45" s="352"/>
      <c r="RS45" s="350"/>
      <c r="RT45" s="351"/>
      <c r="RU45" s="351"/>
      <c r="RV45" s="351"/>
      <c r="RW45" s="352"/>
      <c r="RX45" s="350"/>
      <c r="RY45" s="351"/>
      <c r="RZ45" s="351"/>
      <c r="SA45" s="351"/>
      <c r="SB45" s="352"/>
      <c r="SC45" s="350"/>
      <c r="SD45" s="351"/>
      <c r="SE45" s="351"/>
      <c r="SF45" s="351"/>
      <c r="SG45" s="352"/>
      <c r="SH45" s="350"/>
      <c r="SI45" s="351"/>
      <c r="SJ45" s="351"/>
      <c r="SK45" s="351"/>
      <c r="SL45" s="352"/>
      <c r="SM45" s="350"/>
      <c r="SN45" s="351"/>
      <c r="SO45" s="351"/>
      <c r="SP45" s="351"/>
      <c r="SQ45" s="352"/>
      <c r="SR45" s="350"/>
      <c r="SS45" s="351"/>
      <c r="ST45" s="351"/>
      <c r="SU45" s="351"/>
      <c r="SV45" s="352"/>
      <c r="SW45" s="350"/>
      <c r="SX45" s="351"/>
      <c r="SY45" s="351"/>
      <c r="SZ45" s="351"/>
      <c r="TA45" s="352"/>
      <c r="TB45" s="354" t="n">
        <f aca="false">+AVERAGE(B45:IB45)</f>
        <v>4.25</v>
      </c>
    </row>
    <row r="46" customFormat="false" ht="15.5" hidden="false" customHeight="false" outlineLevel="0" collapsed="false">
      <c r="A46" s="355"/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3"/>
      <c r="Y46" s="353"/>
      <c r="Z46" s="353"/>
      <c r="AA46" s="353"/>
      <c r="AB46" s="353"/>
      <c r="AC46" s="353"/>
      <c r="AD46" s="353"/>
      <c r="AE46" s="353"/>
      <c r="AF46" s="353"/>
      <c r="AG46" s="353"/>
      <c r="AH46" s="353"/>
      <c r="AI46" s="353"/>
      <c r="AJ46" s="353"/>
      <c r="AK46" s="353"/>
      <c r="AL46" s="353"/>
      <c r="AM46" s="353"/>
      <c r="AN46" s="353"/>
      <c r="AO46" s="353"/>
      <c r="AP46" s="353"/>
      <c r="AQ46" s="353"/>
      <c r="AR46" s="353"/>
      <c r="AS46" s="353"/>
      <c r="AT46" s="353"/>
      <c r="AU46" s="353"/>
      <c r="AV46" s="353"/>
      <c r="AW46" s="353"/>
      <c r="AX46" s="353"/>
      <c r="AY46" s="353"/>
      <c r="AZ46" s="353"/>
      <c r="BA46" s="353"/>
      <c r="BB46" s="353"/>
      <c r="BC46" s="353"/>
      <c r="BD46" s="353"/>
      <c r="BE46" s="353"/>
      <c r="BF46" s="353"/>
      <c r="BG46" s="353"/>
      <c r="BH46" s="353"/>
      <c r="BI46" s="353"/>
      <c r="BJ46" s="353"/>
      <c r="BK46" s="353"/>
      <c r="BL46" s="353"/>
      <c r="BM46" s="353"/>
      <c r="BN46" s="353"/>
      <c r="BO46" s="353"/>
      <c r="BP46" s="353"/>
      <c r="BQ46" s="353"/>
      <c r="BR46" s="353"/>
      <c r="BS46" s="353"/>
      <c r="BT46" s="353"/>
      <c r="BU46" s="353"/>
      <c r="BV46" s="353"/>
      <c r="BW46" s="353"/>
      <c r="BX46" s="353"/>
      <c r="BY46" s="353"/>
      <c r="BZ46" s="353"/>
      <c r="CA46" s="353"/>
      <c r="CB46" s="353"/>
      <c r="CC46" s="353"/>
      <c r="CD46" s="353"/>
      <c r="CE46" s="353"/>
      <c r="CF46" s="353"/>
      <c r="CG46" s="353"/>
      <c r="CH46" s="353"/>
      <c r="CI46" s="353"/>
      <c r="CJ46" s="353"/>
      <c r="CK46" s="353"/>
      <c r="CL46" s="353"/>
      <c r="CM46" s="353"/>
      <c r="CN46" s="353"/>
      <c r="CO46" s="353"/>
      <c r="CP46" s="353"/>
      <c r="CQ46" s="353"/>
      <c r="CR46" s="353"/>
      <c r="CS46" s="353"/>
      <c r="CT46" s="353"/>
      <c r="CU46" s="353"/>
      <c r="CV46" s="353"/>
      <c r="CW46" s="353"/>
      <c r="CX46" s="353"/>
      <c r="CY46" s="353"/>
      <c r="CZ46" s="353"/>
      <c r="DA46" s="353"/>
      <c r="DB46" s="353"/>
      <c r="DC46" s="353"/>
      <c r="DD46" s="353"/>
      <c r="DE46" s="353"/>
      <c r="DF46" s="353"/>
      <c r="DG46" s="353"/>
      <c r="DH46" s="353"/>
      <c r="DI46" s="353"/>
      <c r="DJ46" s="353"/>
      <c r="DK46" s="353"/>
      <c r="DL46" s="353"/>
      <c r="DM46" s="353"/>
      <c r="DN46" s="353"/>
      <c r="DO46" s="353"/>
      <c r="DP46" s="353"/>
      <c r="DQ46" s="353"/>
      <c r="DR46" s="353"/>
      <c r="DS46" s="353"/>
      <c r="DT46" s="353"/>
      <c r="DU46" s="353"/>
      <c r="DV46" s="353"/>
      <c r="DW46" s="353"/>
      <c r="DX46" s="353"/>
      <c r="DY46" s="353"/>
      <c r="DZ46" s="353"/>
      <c r="EA46" s="353"/>
      <c r="EB46" s="353"/>
      <c r="EC46" s="353"/>
      <c r="ED46" s="353"/>
      <c r="EE46" s="353"/>
      <c r="EF46" s="353"/>
      <c r="EG46" s="353"/>
      <c r="EH46" s="353"/>
      <c r="EI46" s="353"/>
      <c r="EJ46" s="353"/>
      <c r="EK46" s="353"/>
      <c r="EL46" s="353"/>
      <c r="EM46" s="353"/>
      <c r="EN46" s="353"/>
      <c r="EO46" s="353"/>
      <c r="EP46" s="353"/>
      <c r="EQ46" s="353"/>
      <c r="ER46" s="353"/>
      <c r="ES46" s="353"/>
      <c r="ET46" s="353"/>
      <c r="EU46" s="353"/>
      <c r="EV46" s="353"/>
      <c r="EW46" s="353"/>
      <c r="EX46" s="353"/>
      <c r="EY46" s="353"/>
      <c r="EZ46" s="353"/>
      <c r="FA46" s="353"/>
      <c r="FB46" s="353"/>
      <c r="FC46" s="353"/>
      <c r="FD46" s="353"/>
      <c r="FE46" s="353"/>
      <c r="FF46" s="353"/>
      <c r="FG46" s="353"/>
      <c r="FH46" s="353"/>
      <c r="FI46" s="353"/>
      <c r="FJ46" s="353"/>
      <c r="FK46" s="353"/>
      <c r="FL46" s="353"/>
      <c r="FM46" s="353"/>
      <c r="FN46" s="353"/>
      <c r="FO46" s="353"/>
      <c r="FP46" s="353"/>
      <c r="FQ46" s="353"/>
      <c r="FR46" s="353"/>
      <c r="FS46" s="353"/>
      <c r="FT46" s="353"/>
      <c r="FU46" s="353"/>
      <c r="FV46" s="353"/>
      <c r="FW46" s="353"/>
      <c r="FX46" s="353"/>
      <c r="FY46" s="353"/>
      <c r="FZ46" s="353"/>
      <c r="GA46" s="353"/>
      <c r="GB46" s="353"/>
      <c r="GC46" s="353"/>
      <c r="GD46" s="353"/>
      <c r="GE46" s="353"/>
      <c r="GF46" s="353"/>
      <c r="GG46" s="353"/>
      <c r="GH46" s="353"/>
      <c r="GI46" s="353"/>
      <c r="GJ46" s="353"/>
      <c r="GK46" s="353"/>
      <c r="GL46" s="353"/>
      <c r="GM46" s="353"/>
      <c r="GN46" s="353"/>
      <c r="GO46" s="353"/>
      <c r="GP46" s="353"/>
      <c r="GQ46" s="353"/>
      <c r="GR46" s="353"/>
      <c r="GS46" s="353"/>
      <c r="GT46" s="353"/>
      <c r="GU46" s="353"/>
      <c r="GV46" s="353"/>
      <c r="GW46" s="353"/>
      <c r="GX46" s="353"/>
      <c r="GY46" s="353"/>
      <c r="GZ46" s="353"/>
      <c r="HA46" s="353"/>
      <c r="HB46" s="353"/>
      <c r="HC46" s="353"/>
      <c r="HD46" s="353"/>
      <c r="HE46" s="353"/>
      <c r="HF46" s="353"/>
      <c r="HG46" s="353"/>
      <c r="HH46" s="353"/>
      <c r="HI46" s="353"/>
      <c r="HJ46" s="353"/>
      <c r="HK46" s="353"/>
      <c r="HL46" s="353"/>
      <c r="HM46" s="353"/>
      <c r="HN46" s="353"/>
      <c r="HO46" s="353"/>
      <c r="HP46" s="353"/>
      <c r="HQ46" s="353"/>
      <c r="HR46" s="353"/>
      <c r="HS46" s="353"/>
      <c r="HT46" s="353"/>
      <c r="HU46" s="353"/>
      <c r="HV46" s="353"/>
      <c r="HW46" s="353"/>
      <c r="HX46" s="353"/>
      <c r="HY46" s="353"/>
      <c r="HZ46" s="353"/>
      <c r="IA46" s="353"/>
      <c r="IB46" s="353"/>
      <c r="IC46" s="353"/>
      <c r="ID46" s="353"/>
      <c r="IE46" s="353"/>
      <c r="IF46" s="353"/>
      <c r="IG46" s="353"/>
      <c r="IH46" s="353"/>
      <c r="II46" s="353"/>
      <c r="IJ46" s="353"/>
      <c r="IK46" s="353"/>
      <c r="IL46" s="353"/>
      <c r="IM46" s="353"/>
      <c r="IN46" s="353"/>
      <c r="IO46" s="353"/>
      <c r="IP46" s="353"/>
      <c r="IQ46" s="353"/>
      <c r="IR46" s="353"/>
      <c r="IS46" s="353"/>
      <c r="IT46" s="353"/>
      <c r="IU46" s="353"/>
      <c r="IV46" s="353"/>
      <c r="IW46" s="353"/>
      <c r="IX46" s="353"/>
      <c r="IY46" s="353"/>
      <c r="IZ46" s="353"/>
      <c r="JA46" s="353"/>
      <c r="JB46" s="353"/>
      <c r="JC46" s="353"/>
      <c r="JD46" s="353"/>
      <c r="JE46" s="353"/>
      <c r="JF46" s="353"/>
      <c r="JG46" s="353"/>
      <c r="JH46" s="353"/>
      <c r="JI46" s="353"/>
      <c r="JJ46" s="353"/>
      <c r="JK46" s="353"/>
      <c r="JL46" s="353"/>
      <c r="JM46" s="353"/>
      <c r="JN46" s="353"/>
      <c r="JO46" s="353"/>
      <c r="JP46" s="353"/>
      <c r="JQ46" s="353"/>
      <c r="JR46" s="353"/>
      <c r="JS46" s="353"/>
      <c r="JT46" s="353"/>
      <c r="JU46" s="353"/>
      <c r="JV46" s="353"/>
      <c r="JW46" s="353"/>
      <c r="JX46" s="353"/>
      <c r="JY46" s="353"/>
      <c r="JZ46" s="353"/>
      <c r="KA46" s="353"/>
      <c r="KB46" s="353"/>
      <c r="KC46" s="353"/>
      <c r="KD46" s="353"/>
      <c r="KE46" s="353"/>
      <c r="KF46" s="353"/>
      <c r="KG46" s="353"/>
      <c r="KH46" s="353"/>
      <c r="KI46" s="353"/>
      <c r="KJ46" s="353"/>
      <c r="KK46" s="353"/>
      <c r="KL46" s="353"/>
      <c r="KM46" s="353"/>
      <c r="KN46" s="353"/>
      <c r="KO46" s="353"/>
      <c r="KP46" s="353"/>
      <c r="KQ46" s="353"/>
      <c r="KR46" s="353"/>
      <c r="KS46" s="353"/>
      <c r="KT46" s="353"/>
      <c r="KU46" s="353"/>
      <c r="KV46" s="353"/>
      <c r="KW46" s="353"/>
      <c r="KX46" s="353"/>
      <c r="KY46" s="353"/>
      <c r="KZ46" s="353"/>
      <c r="LA46" s="353"/>
      <c r="LB46" s="353"/>
      <c r="LC46" s="353"/>
      <c r="LD46" s="353"/>
      <c r="LE46" s="353"/>
      <c r="LF46" s="353"/>
      <c r="LG46" s="353"/>
      <c r="LH46" s="353"/>
      <c r="LI46" s="353"/>
      <c r="LJ46" s="353"/>
      <c r="LK46" s="353"/>
      <c r="LL46" s="353"/>
      <c r="LM46" s="353"/>
      <c r="LN46" s="353"/>
      <c r="LO46" s="353"/>
      <c r="LP46" s="353"/>
      <c r="LQ46" s="353"/>
      <c r="LR46" s="353"/>
      <c r="LS46" s="353"/>
      <c r="LT46" s="353"/>
      <c r="LU46" s="353"/>
      <c r="LV46" s="353"/>
      <c r="LW46" s="353"/>
      <c r="LX46" s="353"/>
      <c r="LY46" s="353"/>
      <c r="LZ46" s="353"/>
      <c r="MA46" s="353"/>
      <c r="MB46" s="353"/>
      <c r="MC46" s="353"/>
      <c r="MD46" s="353"/>
      <c r="ME46" s="353"/>
      <c r="MF46" s="353"/>
      <c r="MG46" s="353"/>
      <c r="MH46" s="353"/>
      <c r="MI46" s="353"/>
      <c r="MJ46" s="353"/>
      <c r="MK46" s="353"/>
      <c r="ML46" s="353"/>
      <c r="MM46" s="353"/>
      <c r="MN46" s="353"/>
      <c r="MO46" s="353"/>
      <c r="MP46" s="353"/>
      <c r="MQ46" s="353"/>
      <c r="MR46" s="353"/>
      <c r="MS46" s="353"/>
      <c r="MT46" s="353"/>
      <c r="MU46" s="353"/>
      <c r="MV46" s="353"/>
      <c r="MW46" s="353"/>
      <c r="MX46" s="353"/>
      <c r="MY46" s="353"/>
      <c r="MZ46" s="353"/>
      <c r="NA46" s="353"/>
      <c r="NB46" s="353"/>
      <c r="NC46" s="353"/>
      <c r="ND46" s="353"/>
      <c r="NE46" s="353"/>
      <c r="NF46" s="353"/>
      <c r="NG46" s="353"/>
      <c r="NH46" s="353"/>
      <c r="NI46" s="353"/>
      <c r="NJ46" s="353"/>
      <c r="NK46" s="353"/>
      <c r="NL46" s="353"/>
      <c r="NM46" s="353"/>
      <c r="NN46" s="353"/>
      <c r="NO46" s="353"/>
      <c r="NP46" s="353"/>
      <c r="NQ46" s="353"/>
      <c r="NR46" s="353"/>
      <c r="NS46" s="353"/>
      <c r="NT46" s="353"/>
      <c r="NU46" s="353"/>
      <c r="NV46" s="353"/>
      <c r="NW46" s="353"/>
      <c r="NX46" s="353"/>
      <c r="NY46" s="353"/>
      <c r="NZ46" s="353"/>
      <c r="OA46" s="353"/>
      <c r="OB46" s="353"/>
      <c r="OC46" s="353"/>
      <c r="OD46" s="353"/>
      <c r="OE46" s="353"/>
      <c r="OF46" s="353"/>
      <c r="OG46" s="353"/>
      <c r="OH46" s="353"/>
      <c r="OI46" s="353"/>
      <c r="OJ46" s="353"/>
      <c r="OK46" s="353"/>
      <c r="OL46" s="353"/>
      <c r="OM46" s="353"/>
      <c r="ON46" s="353"/>
      <c r="OO46" s="353"/>
      <c r="OP46" s="353"/>
      <c r="OQ46" s="353"/>
      <c r="OR46" s="353"/>
      <c r="OS46" s="353"/>
      <c r="OT46" s="353"/>
      <c r="OU46" s="353"/>
      <c r="OV46" s="353"/>
      <c r="OW46" s="353"/>
      <c r="OX46" s="353"/>
      <c r="OY46" s="353"/>
      <c r="OZ46" s="353"/>
      <c r="PA46" s="353"/>
      <c r="PB46" s="353"/>
      <c r="PC46" s="353"/>
      <c r="PD46" s="353"/>
      <c r="PE46" s="353"/>
      <c r="PF46" s="353"/>
      <c r="PG46" s="353"/>
      <c r="PH46" s="353"/>
      <c r="PI46" s="353"/>
      <c r="PJ46" s="353"/>
      <c r="PK46" s="353"/>
      <c r="PL46" s="353"/>
      <c r="PM46" s="353"/>
      <c r="PN46" s="353"/>
      <c r="PO46" s="353"/>
      <c r="PP46" s="353"/>
      <c r="PQ46" s="353"/>
      <c r="PR46" s="353"/>
      <c r="PS46" s="353"/>
      <c r="PT46" s="353"/>
      <c r="PU46" s="353"/>
      <c r="PV46" s="353"/>
      <c r="PW46" s="353"/>
      <c r="PX46" s="353"/>
      <c r="PY46" s="353"/>
      <c r="PZ46" s="353"/>
      <c r="QA46" s="353"/>
      <c r="QB46" s="353"/>
      <c r="QC46" s="353"/>
      <c r="QD46" s="353"/>
      <c r="QE46" s="353"/>
      <c r="QF46" s="353"/>
      <c r="QG46" s="353"/>
      <c r="QH46" s="353"/>
      <c r="QI46" s="353"/>
      <c r="QJ46" s="353"/>
      <c r="QK46" s="353"/>
      <c r="QL46" s="353"/>
      <c r="QM46" s="353"/>
      <c r="QN46" s="353"/>
      <c r="QO46" s="353"/>
      <c r="QP46" s="353"/>
      <c r="QQ46" s="353"/>
      <c r="QR46" s="353"/>
      <c r="QS46" s="353"/>
      <c r="QT46" s="353"/>
      <c r="QU46" s="353"/>
      <c r="QV46" s="353"/>
      <c r="QW46" s="353"/>
      <c r="QX46" s="353"/>
      <c r="QY46" s="353"/>
      <c r="QZ46" s="353"/>
      <c r="RA46" s="353"/>
      <c r="RB46" s="353"/>
      <c r="RC46" s="353"/>
      <c r="RD46" s="353"/>
      <c r="RE46" s="353"/>
      <c r="RF46" s="353"/>
      <c r="RG46" s="353"/>
      <c r="RH46" s="353"/>
      <c r="RI46" s="353"/>
      <c r="RJ46" s="353"/>
      <c r="RK46" s="353"/>
      <c r="RL46" s="353"/>
      <c r="RM46" s="353"/>
      <c r="RN46" s="353"/>
      <c r="RO46" s="353"/>
      <c r="RP46" s="353"/>
      <c r="RQ46" s="353"/>
      <c r="RR46" s="353"/>
      <c r="RS46" s="353"/>
      <c r="RT46" s="353"/>
      <c r="RU46" s="353"/>
      <c r="RV46" s="353"/>
      <c r="RW46" s="353"/>
      <c r="RX46" s="353"/>
      <c r="RY46" s="353"/>
      <c r="RZ46" s="353"/>
      <c r="SA46" s="353"/>
      <c r="SB46" s="353"/>
      <c r="SC46" s="353"/>
      <c r="SD46" s="353"/>
      <c r="SE46" s="353"/>
      <c r="SF46" s="353"/>
      <c r="SG46" s="353"/>
      <c r="SH46" s="353"/>
      <c r="SI46" s="353"/>
      <c r="SJ46" s="353"/>
      <c r="SK46" s="353"/>
      <c r="SL46" s="353"/>
      <c r="SM46" s="353"/>
      <c r="SN46" s="353"/>
      <c r="SO46" s="353"/>
      <c r="SP46" s="353"/>
      <c r="SQ46" s="353"/>
      <c r="SR46" s="353"/>
      <c r="SS46" s="353"/>
      <c r="ST46" s="353"/>
      <c r="SU46" s="353"/>
      <c r="SV46" s="353"/>
      <c r="SW46" s="353"/>
      <c r="SX46" s="353"/>
      <c r="SY46" s="353"/>
      <c r="SZ46" s="353"/>
      <c r="TA46" s="353"/>
      <c r="TB46" s="360"/>
    </row>
  </sheetData>
  <mergeCells count="174">
    <mergeCell ref="A1:U1"/>
    <mergeCell ref="B3:K3"/>
    <mergeCell ref="L3:AE3"/>
    <mergeCell ref="AF3:BD3"/>
    <mergeCell ref="BE3:BX3"/>
    <mergeCell ref="BY3:CR3"/>
    <mergeCell ref="CS3:DQ3"/>
    <mergeCell ref="DR3:EK3"/>
    <mergeCell ref="EL3:FJ3"/>
    <mergeCell ref="FK3:GD3"/>
    <mergeCell ref="GE3:GX3"/>
    <mergeCell ref="GY3:HW3"/>
    <mergeCell ref="HX3:IB3"/>
    <mergeCell ref="IC3:IG3"/>
    <mergeCell ref="IH3:IL3"/>
    <mergeCell ref="IM3:IQ3"/>
    <mergeCell ref="IR3:IV3"/>
    <mergeCell ref="IW3:JA3"/>
    <mergeCell ref="JB3:JF3"/>
    <mergeCell ref="JG3:JK3"/>
    <mergeCell ref="JL3:JP3"/>
    <mergeCell ref="JQ3:JU3"/>
    <mergeCell ref="JV3:JZ3"/>
    <mergeCell ref="KA3:KE3"/>
    <mergeCell ref="KF3:KJ3"/>
    <mergeCell ref="KK3:KO3"/>
    <mergeCell ref="KP3:KT3"/>
    <mergeCell ref="KU3:KY3"/>
    <mergeCell ref="KZ3:LD3"/>
    <mergeCell ref="LE3:LI3"/>
    <mergeCell ref="LJ3:LN3"/>
    <mergeCell ref="LO3:LS3"/>
    <mergeCell ref="LT3:LX3"/>
    <mergeCell ref="LY3:MC3"/>
    <mergeCell ref="MD3:MH3"/>
    <mergeCell ref="MI3:MM3"/>
    <mergeCell ref="MN3:MR3"/>
    <mergeCell ref="MS3:MW3"/>
    <mergeCell ref="MX3:NB3"/>
    <mergeCell ref="NC3:NG3"/>
    <mergeCell ref="NH3:NL3"/>
    <mergeCell ref="NM3:NQ3"/>
    <mergeCell ref="NR3:NV3"/>
    <mergeCell ref="NW3:OA3"/>
    <mergeCell ref="OB3:OF3"/>
    <mergeCell ref="OG3:OK3"/>
    <mergeCell ref="OL3:OP3"/>
    <mergeCell ref="OQ3:OU3"/>
    <mergeCell ref="OV3:OZ3"/>
    <mergeCell ref="PA3:PE3"/>
    <mergeCell ref="PF3:PJ3"/>
    <mergeCell ref="PK3:PO3"/>
    <mergeCell ref="PP3:PT3"/>
    <mergeCell ref="PU3:PY3"/>
    <mergeCell ref="PZ3:QD3"/>
    <mergeCell ref="QE3:QI3"/>
    <mergeCell ref="QJ3:QN3"/>
    <mergeCell ref="QO3:QS3"/>
    <mergeCell ref="QT3:QX3"/>
    <mergeCell ref="QY3:RC3"/>
    <mergeCell ref="RD3:RH3"/>
    <mergeCell ref="RI3:RM3"/>
    <mergeCell ref="RN3:RR3"/>
    <mergeCell ref="RS3:RW3"/>
    <mergeCell ref="RX3:SB3"/>
    <mergeCell ref="SC3:SG3"/>
    <mergeCell ref="SH3:SL3"/>
    <mergeCell ref="SM3:SQ3"/>
    <mergeCell ref="SR3:SV3"/>
    <mergeCell ref="SW3:TA3"/>
    <mergeCell ref="B4:F4"/>
    <mergeCell ref="G4:K4"/>
    <mergeCell ref="L4:P4"/>
    <mergeCell ref="Q4:U4"/>
    <mergeCell ref="V4:Z4"/>
    <mergeCell ref="AA4:AE4"/>
    <mergeCell ref="AF4:AJ4"/>
    <mergeCell ref="AK4:AO4"/>
    <mergeCell ref="AP4:AT4"/>
    <mergeCell ref="AU4:AY4"/>
    <mergeCell ref="AZ4:BD4"/>
    <mergeCell ref="BE4:BI4"/>
    <mergeCell ref="BJ4:BN4"/>
    <mergeCell ref="BO4:BS4"/>
    <mergeCell ref="BT4:BX4"/>
    <mergeCell ref="BY4:CC4"/>
    <mergeCell ref="CD4:CH4"/>
    <mergeCell ref="CI4:CM4"/>
    <mergeCell ref="CN4:CR4"/>
    <mergeCell ref="CS4:CW4"/>
    <mergeCell ref="CX4:DB4"/>
    <mergeCell ref="DC4:DG4"/>
    <mergeCell ref="DH4:DL4"/>
    <mergeCell ref="DM4:DQ4"/>
    <mergeCell ref="DR4:DV4"/>
    <mergeCell ref="DW4:EA4"/>
    <mergeCell ref="EB4:EF4"/>
    <mergeCell ref="EG4:EK4"/>
    <mergeCell ref="EL4:EP4"/>
    <mergeCell ref="EQ4:EU4"/>
    <mergeCell ref="EV4:EZ4"/>
    <mergeCell ref="FA4:FE4"/>
    <mergeCell ref="FF4:FJ4"/>
    <mergeCell ref="FK4:FO4"/>
    <mergeCell ref="FP4:FT4"/>
    <mergeCell ref="FU4:FY4"/>
    <mergeCell ref="FZ4:GD4"/>
    <mergeCell ref="GE4:GI4"/>
    <mergeCell ref="GJ4:GN4"/>
    <mergeCell ref="GO4:GS4"/>
    <mergeCell ref="GT4:GX4"/>
    <mergeCell ref="GY4:HC4"/>
    <mergeCell ref="HD4:HH4"/>
    <mergeCell ref="HI4:HM4"/>
    <mergeCell ref="HN4:HR4"/>
    <mergeCell ref="HS4:HW4"/>
    <mergeCell ref="HX4:IB4"/>
    <mergeCell ref="IC4:IG4"/>
    <mergeCell ref="IH4:IL4"/>
    <mergeCell ref="IM4:IQ4"/>
    <mergeCell ref="IR4:IV4"/>
    <mergeCell ref="IW4:JA4"/>
    <mergeCell ref="JB4:JF4"/>
    <mergeCell ref="JG4:JK4"/>
    <mergeCell ref="JL4:JP4"/>
    <mergeCell ref="JQ4:JU4"/>
    <mergeCell ref="JV4:JZ4"/>
    <mergeCell ref="KA4:KE4"/>
    <mergeCell ref="KF4:KJ4"/>
    <mergeCell ref="KK4:KO4"/>
    <mergeCell ref="KP4:KT4"/>
    <mergeCell ref="KU4:KY4"/>
    <mergeCell ref="KZ4:LD4"/>
    <mergeCell ref="LE4:LI4"/>
    <mergeCell ref="LJ4:LN4"/>
    <mergeCell ref="LO4:LS4"/>
    <mergeCell ref="LT4:LX4"/>
    <mergeCell ref="LY4:MC4"/>
    <mergeCell ref="MD4:MH4"/>
    <mergeCell ref="MI4:MM4"/>
    <mergeCell ref="MN4:MR4"/>
    <mergeCell ref="MS4:MW4"/>
    <mergeCell ref="MX4:NB4"/>
    <mergeCell ref="NC4:NG4"/>
    <mergeCell ref="NH4:NL4"/>
    <mergeCell ref="NM4:NQ4"/>
    <mergeCell ref="NR4:NV4"/>
    <mergeCell ref="NW4:OA4"/>
    <mergeCell ref="OB4:OF4"/>
    <mergeCell ref="OG4:OK4"/>
    <mergeCell ref="OL4:OP4"/>
    <mergeCell ref="OQ4:OU4"/>
    <mergeCell ref="OV4:OZ4"/>
    <mergeCell ref="PA4:PE4"/>
    <mergeCell ref="PF4:PJ4"/>
    <mergeCell ref="PK4:PO4"/>
    <mergeCell ref="PP4:PT4"/>
    <mergeCell ref="PU4:PY4"/>
    <mergeCell ref="PZ4:QD4"/>
    <mergeCell ref="QE4:QI4"/>
    <mergeCell ref="QJ4:QN4"/>
    <mergeCell ref="QO4:QS4"/>
    <mergeCell ref="QT4:QX4"/>
    <mergeCell ref="QY4:RC4"/>
    <mergeCell ref="RD4:RH4"/>
    <mergeCell ref="RI4:RM4"/>
    <mergeCell ref="RN4:RR4"/>
    <mergeCell ref="RS4:RW4"/>
    <mergeCell ref="RX4:SB4"/>
    <mergeCell ref="SC4:SG4"/>
    <mergeCell ref="SH4:SL4"/>
    <mergeCell ref="SM4:SQ4"/>
    <mergeCell ref="SR4:SV4"/>
    <mergeCell ref="SW4:TA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C129"/>
  <sheetViews>
    <sheetView showFormulas="false" showGridLines="true" showRowColHeaders="true" showZeros="true" rightToLeft="false" tabSelected="false" showOutlineSymbols="true" defaultGridColor="true" view="normal" topLeftCell="A5" colorId="64" zoomScale="55" zoomScaleNormal="55" zoomScalePageLayoutView="100" workbookViewId="0">
      <selection pane="topLeft" activeCell="A1" activeCellId="0" sqref="A1"/>
    </sheetView>
  </sheetViews>
  <sheetFormatPr defaultColWidth="14.453125" defaultRowHeight="14.5" zeroHeight="false" outlineLevelRow="0" outlineLevelCol="0"/>
  <cols>
    <col collapsed="false" customWidth="true" hidden="false" outlineLevel="0" max="1" min="1" style="331" width="40.82"/>
    <col collapsed="false" customWidth="true" hidden="false" outlineLevel="0" max="2" min="2" style="331" width="63.45"/>
    <col collapsed="false" customWidth="true" hidden="false" outlineLevel="0" max="3" min="3" style="361" width="44.54"/>
    <col collapsed="false" customWidth="true" hidden="false" outlineLevel="0" max="5" min="4" style="331" width="6.27"/>
    <col collapsed="false" customWidth="true" hidden="false" outlineLevel="0" max="6" min="6" style="331" width="4.18"/>
    <col collapsed="false" customWidth="true" hidden="false" outlineLevel="0" max="8" min="7" style="331" width="6.27"/>
    <col collapsed="false" customWidth="true" hidden="false" outlineLevel="0" max="9" min="9" style="331" width="8.45"/>
    <col collapsed="false" customWidth="true" hidden="false" outlineLevel="0" max="10" min="10" style="331" width="4.18"/>
    <col collapsed="false" customWidth="true" hidden="false" outlineLevel="0" max="14" min="11" style="331" width="6.27"/>
    <col collapsed="false" customWidth="true" hidden="false" outlineLevel="0" max="15" min="15" style="331" width="4.18"/>
    <col collapsed="false" customWidth="true" hidden="false" outlineLevel="0" max="18" min="16" style="331" width="6.27"/>
    <col collapsed="false" customWidth="true" hidden="false" outlineLevel="0" max="19" min="19" style="331" width="4.18"/>
    <col collapsed="false" customWidth="true" hidden="false" outlineLevel="0" max="22" min="20" style="331" width="6.27"/>
    <col collapsed="false" customWidth="true" hidden="false" outlineLevel="0" max="23" min="23" style="331" width="4.18"/>
    <col collapsed="false" customWidth="true" hidden="false" outlineLevel="0" max="26" min="24" style="331" width="6.27"/>
    <col collapsed="false" customWidth="true" hidden="false" outlineLevel="0" max="28" min="27" style="331" width="4.18"/>
    <col collapsed="false" customWidth="true" hidden="false" outlineLevel="0" max="31" min="29" style="331" width="6.27"/>
    <col collapsed="false" customWidth="true" hidden="false" outlineLevel="0" max="32" min="32" style="331" width="4.18"/>
    <col collapsed="false" customWidth="true" hidden="false" outlineLevel="0" max="35" min="33" style="331" width="6.27"/>
    <col collapsed="false" customWidth="true" hidden="false" outlineLevel="0" max="36" min="36" style="331" width="4.18"/>
    <col collapsed="false" customWidth="true" hidden="false" outlineLevel="0" max="39" min="37" style="331" width="6.27"/>
    <col collapsed="false" customWidth="true" hidden="false" outlineLevel="0" max="41" min="40" style="331" width="4.18"/>
    <col collapsed="false" customWidth="true" hidden="false" outlineLevel="0" max="44" min="42" style="331" width="6.27"/>
    <col collapsed="false" customWidth="true" hidden="false" outlineLevel="0" max="45" min="45" style="331" width="4.18"/>
    <col collapsed="false" customWidth="true" hidden="false" outlineLevel="0" max="47" min="46" style="331" width="6.27"/>
    <col collapsed="false" customWidth="true" hidden="false" outlineLevel="0" max="48" min="48" style="331" width="9.45"/>
    <col collapsed="false" customWidth="true" hidden="false" outlineLevel="0" max="49" min="49" style="331" width="4.18"/>
    <col collapsed="false" customWidth="true" hidden="false" outlineLevel="0" max="53" min="50" style="331" width="6.27"/>
    <col collapsed="false" customWidth="true" hidden="false" outlineLevel="0" max="54" min="54" style="331" width="4.18"/>
    <col collapsed="false" customWidth="true" hidden="false" outlineLevel="0" max="56" min="55" style="331" width="6.27"/>
    <col collapsed="false" customWidth="true" hidden="false" outlineLevel="0" max="57" min="57" style="331" width="9.18"/>
    <col collapsed="false" customWidth="true" hidden="false" outlineLevel="0" max="58" min="58" style="331" width="4.18"/>
    <col collapsed="false" customWidth="true" hidden="false" outlineLevel="0" max="106" min="59" style="331" width="6.27"/>
    <col collapsed="false" customWidth="true" hidden="false" outlineLevel="0" max="107" min="107" style="331" width="9"/>
    <col collapsed="false" customWidth="true" hidden="false" outlineLevel="0" max="111" min="111" style="331" width="23.54"/>
  </cols>
  <sheetData>
    <row r="3" customFormat="false" ht="14.5" hidden="false" customHeight="true" outlineLevel="0" collapsed="false">
      <c r="D3" s="362" t="s">
        <v>523</v>
      </c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2"/>
      <c r="AE3" s="362"/>
      <c r="AF3" s="362"/>
      <c r="AG3" s="362"/>
      <c r="AH3" s="362"/>
      <c r="AI3" s="362"/>
      <c r="AJ3" s="362"/>
      <c r="AK3" s="362"/>
      <c r="AL3" s="362"/>
      <c r="AM3" s="362"/>
      <c r="AN3" s="362"/>
      <c r="AO3" s="362"/>
      <c r="AP3" s="362"/>
      <c r="AQ3" s="362"/>
      <c r="AR3" s="362"/>
      <c r="AS3" s="362"/>
      <c r="AT3" s="362"/>
      <c r="AU3" s="362"/>
      <c r="AV3" s="362"/>
      <c r="AW3" s="362"/>
      <c r="AX3" s="362"/>
      <c r="AY3" s="362"/>
      <c r="AZ3" s="362"/>
      <c r="BA3" s="362"/>
      <c r="BB3" s="362"/>
      <c r="BC3" s="362"/>
      <c r="BD3" s="362"/>
      <c r="BE3" s="362"/>
      <c r="BF3" s="362"/>
      <c r="BG3" s="362"/>
      <c r="BH3" s="362"/>
      <c r="BI3" s="362"/>
      <c r="BJ3" s="362"/>
      <c r="BK3" s="362"/>
      <c r="BL3" s="362"/>
      <c r="BM3" s="362"/>
      <c r="BN3" s="362"/>
      <c r="BO3" s="362"/>
      <c r="BP3" s="362"/>
      <c r="BQ3" s="362"/>
      <c r="BR3" s="362"/>
      <c r="BS3" s="362"/>
      <c r="BT3" s="362"/>
      <c r="BU3" s="362"/>
      <c r="BV3" s="362"/>
      <c r="BW3" s="362"/>
      <c r="BX3" s="362"/>
      <c r="BY3" s="362"/>
      <c r="BZ3" s="362"/>
      <c r="CA3" s="362"/>
      <c r="CB3" s="362"/>
      <c r="CC3" s="362"/>
      <c r="CD3" s="362"/>
      <c r="CE3" s="362"/>
      <c r="CF3" s="362"/>
      <c r="CG3" s="362"/>
      <c r="CH3" s="362"/>
      <c r="CI3" s="362"/>
      <c r="CJ3" s="362"/>
      <c r="CK3" s="362"/>
      <c r="CL3" s="362"/>
      <c r="CM3" s="362"/>
      <c r="CN3" s="362"/>
      <c r="CO3" s="362"/>
      <c r="CP3" s="362"/>
      <c r="CQ3" s="362"/>
      <c r="CR3" s="362"/>
      <c r="CS3" s="362"/>
      <c r="CT3" s="362"/>
      <c r="CU3" s="362"/>
      <c r="CV3" s="362"/>
      <c r="CW3" s="362"/>
      <c r="CX3" s="362"/>
      <c r="CY3" s="362"/>
      <c r="CZ3" s="362"/>
      <c r="DA3" s="362"/>
      <c r="DB3" s="362"/>
      <c r="DC3" s="362"/>
    </row>
    <row r="4" customFormat="false" ht="29.15" hidden="false" customHeight="true" outlineLevel="0" collapsed="false"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  <c r="AA4" s="362"/>
      <c r="AB4" s="362"/>
      <c r="AC4" s="362"/>
      <c r="AD4" s="362"/>
      <c r="AE4" s="362"/>
      <c r="AF4" s="362"/>
      <c r="AG4" s="362"/>
      <c r="AH4" s="362"/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362"/>
      <c r="AT4" s="362"/>
      <c r="AU4" s="362"/>
      <c r="AV4" s="362"/>
      <c r="AW4" s="362"/>
      <c r="AX4" s="362"/>
      <c r="AY4" s="362"/>
      <c r="AZ4" s="362"/>
      <c r="BA4" s="362"/>
      <c r="BB4" s="362"/>
      <c r="BC4" s="362"/>
      <c r="BD4" s="362"/>
      <c r="BE4" s="362"/>
      <c r="BF4" s="362"/>
      <c r="BG4" s="362"/>
      <c r="BH4" s="362"/>
      <c r="BI4" s="362"/>
      <c r="BJ4" s="362"/>
      <c r="BK4" s="362"/>
      <c r="BL4" s="362"/>
      <c r="BM4" s="362"/>
      <c r="BN4" s="362"/>
      <c r="BO4" s="362"/>
      <c r="BP4" s="362"/>
      <c r="BQ4" s="362"/>
      <c r="BR4" s="362"/>
      <c r="BS4" s="362"/>
      <c r="BT4" s="362"/>
      <c r="BU4" s="362"/>
      <c r="BV4" s="362"/>
      <c r="BW4" s="362"/>
      <c r="BX4" s="362"/>
      <c r="BY4" s="362"/>
      <c r="BZ4" s="362"/>
      <c r="CA4" s="362"/>
      <c r="CB4" s="362"/>
      <c r="CC4" s="362"/>
      <c r="CD4" s="362"/>
      <c r="CE4" s="362"/>
      <c r="CF4" s="362"/>
      <c r="CG4" s="362"/>
      <c r="CH4" s="362"/>
      <c r="CI4" s="362"/>
      <c r="CJ4" s="362"/>
      <c r="CK4" s="362"/>
      <c r="CL4" s="362"/>
      <c r="CM4" s="362"/>
      <c r="CN4" s="362"/>
      <c r="CO4" s="362"/>
      <c r="CP4" s="362"/>
      <c r="CQ4" s="362"/>
      <c r="CR4" s="362"/>
      <c r="CS4" s="362"/>
      <c r="CT4" s="362"/>
      <c r="CU4" s="362"/>
      <c r="CV4" s="362"/>
      <c r="CW4" s="362"/>
      <c r="CX4" s="362"/>
      <c r="CY4" s="362"/>
      <c r="CZ4" s="362"/>
      <c r="DA4" s="362"/>
      <c r="DB4" s="362"/>
      <c r="DC4" s="362"/>
    </row>
    <row r="6" customFormat="false" ht="15" hidden="false" customHeight="true" outlineLevel="0" collapsed="false"/>
    <row r="7" customFormat="false" ht="75.65" hidden="false" customHeight="true" outlineLevel="0" collapsed="false">
      <c r="A7" s="363" t="s">
        <v>100</v>
      </c>
      <c r="B7" s="364" t="s">
        <v>524</v>
      </c>
      <c r="C7" s="364" t="s">
        <v>525</v>
      </c>
      <c r="D7" s="365" t="s">
        <v>498</v>
      </c>
      <c r="E7" s="365"/>
      <c r="F7" s="365" t="s">
        <v>499</v>
      </c>
      <c r="G7" s="365"/>
      <c r="H7" s="365"/>
      <c r="I7" s="365"/>
      <c r="J7" s="366" t="s">
        <v>500</v>
      </c>
      <c r="K7" s="366"/>
      <c r="L7" s="366"/>
      <c r="M7" s="366"/>
      <c r="N7" s="366"/>
      <c r="O7" s="365" t="s">
        <v>501</v>
      </c>
      <c r="P7" s="365"/>
      <c r="Q7" s="365"/>
      <c r="R7" s="365"/>
      <c r="S7" s="367" t="s">
        <v>490</v>
      </c>
      <c r="T7" s="367"/>
      <c r="U7" s="367"/>
      <c r="V7" s="367"/>
      <c r="W7" s="363" t="s">
        <v>491</v>
      </c>
      <c r="X7" s="363"/>
      <c r="Y7" s="363"/>
      <c r="Z7" s="363"/>
      <c r="AA7" s="367" t="s">
        <v>492</v>
      </c>
      <c r="AB7" s="367"/>
      <c r="AC7" s="367"/>
      <c r="AD7" s="367"/>
      <c r="AE7" s="367"/>
      <c r="AF7" s="368" t="s">
        <v>493</v>
      </c>
      <c r="AG7" s="368"/>
      <c r="AH7" s="368"/>
      <c r="AI7" s="368"/>
      <c r="AJ7" s="367" t="s">
        <v>494</v>
      </c>
      <c r="AK7" s="367"/>
      <c r="AL7" s="367"/>
      <c r="AM7" s="367"/>
      <c r="AN7" s="367"/>
      <c r="AO7" s="363" t="s">
        <v>495</v>
      </c>
      <c r="AP7" s="363"/>
      <c r="AQ7" s="363"/>
      <c r="AR7" s="363"/>
      <c r="AS7" s="367" t="s">
        <v>496</v>
      </c>
      <c r="AT7" s="367"/>
      <c r="AU7" s="367"/>
      <c r="AV7" s="367"/>
      <c r="AW7" s="363" t="s">
        <v>497</v>
      </c>
      <c r="AX7" s="363"/>
      <c r="AY7" s="363"/>
      <c r="AZ7" s="363"/>
      <c r="BA7" s="363"/>
      <c r="BB7" s="367" t="s">
        <v>498</v>
      </c>
      <c r="BC7" s="367"/>
      <c r="BD7" s="367"/>
      <c r="BE7" s="367"/>
      <c r="BF7" s="363" t="s">
        <v>499</v>
      </c>
      <c r="BG7" s="363"/>
      <c r="BH7" s="363"/>
      <c r="BI7" s="363"/>
      <c r="BJ7" s="363"/>
      <c r="BK7" s="363"/>
      <c r="BL7" s="363"/>
      <c r="BM7" s="363"/>
      <c r="BN7" s="363"/>
      <c r="BO7" s="363"/>
      <c r="BP7" s="363"/>
      <c r="BQ7" s="363"/>
      <c r="BR7" s="363"/>
      <c r="BS7" s="363"/>
      <c r="BT7" s="363"/>
      <c r="BU7" s="363"/>
      <c r="BV7" s="363"/>
      <c r="BW7" s="363"/>
      <c r="BX7" s="363"/>
      <c r="BY7" s="363"/>
      <c r="BZ7" s="363"/>
      <c r="CA7" s="363"/>
      <c r="CB7" s="363"/>
      <c r="CC7" s="363"/>
      <c r="CD7" s="363"/>
      <c r="CE7" s="363"/>
      <c r="CF7" s="363"/>
      <c r="CG7" s="363"/>
      <c r="CH7" s="363"/>
      <c r="CI7" s="363"/>
      <c r="CJ7" s="363"/>
      <c r="CK7" s="363"/>
      <c r="CL7" s="363"/>
      <c r="CM7" s="363"/>
      <c r="CN7" s="363"/>
      <c r="CO7" s="363"/>
      <c r="CP7" s="363"/>
      <c r="CQ7" s="363"/>
      <c r="CR7" s="363"/>
      <c r="CS7" s="363"/>
      <c r="CT7" s="363"/>
      <c r="CU7" s="363"/>
      <c r="CV7" s="363"/>
      <c r="CW7" s="363"/>
      <c r="CX7" s="363"/>
      <c r="CY7" s="363"/>
      <c r="CZ7" s="363"/>
      <c r="DA7" s="363"/>
      <c r="DB7" s="363"/>
      <c r="DC7" s="363"/>
    </row>
    <row r="8" customFormat="false" ht="26.15" hidden="false" customHeight="true" outlineLevel="0" collapsed="false">
      <c r="A8" s="369"/>
      <c r="B8" s="370"/>
      <c r="C8" s="370"/>
      <c r="D8" s="371" t="s">
        <v>526</v>
      </c>
      <c r="E8" s="372" t="s">
        <v>527</v>
      </c>
      <c r="F8" s="371" t="s">
        <v>528</v>
      </c>
      <c r="G8" s="373" t="s">
        <v>529</v>
      </c>
      <c r="H8" s="373" t="s">
        <v>530</v>
      </c>
      <c r="I8" s="372" t="s">
        <v>531</v>
      </c>
      <c r="J8" s="374" t="s">
        <v>532</v>
      </c>
      <c r="K8" s="373" t="s">
        <v>533</v>
      </c>
      <c r="L8" s="373" t="s">
        <v>534</v>
      </c>
      <c r="M8" s="373" t="s">
        <v>535</v>
      </c>
      <c r="N8" s="375" t="s">
        <v>536</v>
      </c>
      <c r="O8" s="371" t="s">
        <v>537</v>
      </c>
      <c r="P8" s="373" t="s">
        <v>538</v>
      </c>
      <c r="Q8" s="373" t="s">
        <v>539</v>
      </c>
      <c r="R8" s="372" t="s">
        <v>540</v>
      </c>
      <c r="S8" s="374" t="s">
        <v>537</v>
      </c>
      <c r="T8" s="376" t="s">
        <v>538</v>
      </c>
      <c r="U8" s="376" t="s">
        <v>539</v>
      </c>
      <c r="V8" s="377" t="s">
        <v>540</v>
      </c>
      <c r="W8" s="378" t="s">
        <v>541</v>
      </c>
      <c r="X8" s="376" t="s">
        <v>542</v>
      </c>
      <c r="Y8" s="376" t="s">
        <v>543</v>
      </c>
      <c r="Z8" s="379" t="s">
        <v>544</v>
      </c>
      <c r="AA8" s="380" t="s">
        <v>545</v>
      </c>
      <c r="AB8" s="376" t="s">
        <v>546</v>
      </c>
      <c r="AC8" s="376" t="s">
        <v>547</v>
      </c>
      <c r="AD8" s="376" t="s">
        <v>548</v>
      </c>
      <c r="AE8" s="377" t="s">
        <v>549</v>
      </c>
      <c r="AF8" s="378" t="s">
        <v>528</v>
      </c>
      <c r="AG8" s="376" t="s">
        <v>529</v>
      </c>
      <c r="AH8" s="376" t="s">
        <v>530</v>
      </c>
      <c r="AI8" s="379" t="s">
        <v>531</v>
      </c>
      <c r="AJ8" s="380" t="s">
        <v>541</v>
      </c>
      <c r="AK8" s="376" t="s">
        <v>542</v>
      </c>
      <c r="AL8" s="376" t="s">
        <v>543</v>
      </c>
      <c r="AM8" s="376" t="s">
        <v>544</v>
      </c>
      <c r="AN8" s="377" t="s">
        <v>550</v>
      </c>
      <c r="AO8" s="378" t="s">
        <v>551</v>
      </c>
      <c r="AP8" s="376" t="s">
        <v>552</v>
      </c>
      <c r="AQ8" s="376" t="s">
        <v>553</v>
      </c>
      <c r="AR8" s="379" t="s">
        <v>527</v>
      </c>
      <c r="AS8" s="380" t="s">
        <v>554</v>
      </c>
      <c r="AT8" s="376" t="s">
        <v>555</v>
      </c>
      <c r="AU8" s="376" t="s">
        <v>556</v>
      </c>
      <c r="AV8" s="377" t="s">
        <v>526</v>
      </c>
      <c r="AW8" s="378" t="s">
        <v>532</v>
      </c>
      <c r="AX8" s="376" t="s">
        <v>533</v>
      </c>
      <c r="AY8" s="376" t="s">
        <v>534</v>
      </c>
      <c r="AZ8" s="376" t="s">
        <v>535</v>
      </c>
      <c r="BA8" s="379" t="s">
        <v>536</v>
      </c>
      <c r="BB8" s="380" t="s">
        <v>537</v>
      </c>
      <c r="BC8" s="376" t="s">
        <v>538</v>
      </c>
      <c r="BD8" s="379" t="s">
        <v>539</v>
      </c>
      <c r="BE8" s="377" t="s">
        <v>540</v>
      </c>
      <c r="BF8" s="378" t="s">
        <v>554</v>
      </c>
      <c r="BG8" s="376" t="s">
        <v>555</v>
      </c>
      <c r="BH8" s="379" t="s">
        <v>556</v>
      </c>
      <c r="BI8" s="379" t="s">
        <v>556</v>
      </c>
      <c r="BJ8" s="379" t="s">
        <v>556</v>
      </c>
      <c r="BK8" s="379" t="s">
        <v>556</v>
      </c>
      <c r="BL8" s="379" t="s">
        <v>556</v>
      </c>
      <c r="BM8" s="379" t="s">
        <v>556</v>
      </c>
      <c r="BN8" s="379" t="s">
        <v>556</v>
      </c>
      <c r="BO8" s="379" t="s">
        <v>556</v>
      </c>
      <c r="BP8" s="379" t="s">
        <v>556</v>
      </c>
      <c r="BQ8" s="379" t="s">
        <v>556</v>
      </c>
      <c r="BR8" s="379" t="s">
        <v>556</v>
      </c>
      <c r="BS8" s="379" t="s">
        <v>556</v>
      </c>
      <c r="BT8" s="379" t="s">
        <v>556</v>
      </c>
      <c r="BU8" s="379" t="s">
        <v>556</v>
      </c>
      <c r="BV8" s="379" t="s">
        <v>556</v>
      </c>
      <c r="BW8" s="379" t="s">
        <v>556</v>
      </c>
      <c r="BX8" s="379" t="s">
        <v>556</v>
      </c>
      <c r="BY8" s="379" t="s">
        <v>556</v>
      </c>
      <c r="BZ8" s="379" t="s">
        <v>556</v>
      </c>
      <c r="CA8" s="379" t="s">
        <v>556</v>
      </c>
      <c r="CB8" s="379" t="s">
        <v>556</v>
      </c>
      <c r="CC8" s="379" t="s">
        <v>556</v>
      </c>
      <c r="CD8" s="379" t="s">
        <v>556</v>
      </c>
      <c r="CE8" s="379" t="s">
        <v>556</v>
      </c>
      <c r="CF8" s="379" t="s">
        <v>556</v>
      </c>
      <c r="CG8" s="379" t="s">
        <v>556</v>
      </c>
      <c r="CH8" s="379" t="s">
        <v>556</v>
      </c>
      <c r="CI8" s="379" t="s">
        <v>556</v>
      </c>
      <c r="CJ8" s="379" t="s">
        <v>556</v>
      </c>
      <c r="CK8" s="379" t="s">
        <v>556</v>
      </c>
      <c r="CL8" s="379" t="s">
        <v>556</v>
      </c>
      <c r="CM8" s="379" t="s">
        <v>556</v>
      </c>
      <c r="CN8" s="379" t="s">
        <v>556</v>
      </c>
      <c r="CO8" s="379" t="s">
        <v>556</v>
      </c>
      <c r="CP8" s="379" t="s">
        <v>556</v>
      </c>
      <c r="CQ8" s="379" t="s">
        <v>556</v>
      </c>
      <c r="CR8" s="379" t="s">
        <v>556</v>
      </c>
      <c r="CS8" s="379" t="s">
        <v>556</v>
      </c>
      <c r="CT8" s="379" t="s">
        <v>556</v>
      </c>
      <c r="CU8" s="379" t="s">
        <v>556</v>
      </c>
      <c r="CV8" s="379" t="s">
        <v>556</v>
      </c>
      <c r="CW8" s="379" t="s">
        <v>556</v>
      </c>
      <c r="CX8" s="379" t="s">
        <v>556</v>
      </c>
      <c r="CY8" s="379" t="s">
        <v>556</v>
      </c>
      <c r="CZ8" s="379" t="s">
        <v>556</v>
      </c>
      <c r="DA8" s="379" t="s">
        <v>556</v>
      </c>
      <c r="DB8" s="379" t="s">
        <v>556</v>
      </c>
      <c r="DC8" s="379" t="s">
        <v>526</v>
      </c>
    </row>
    <row r="9" customFormat="false" ht="24.45" hidden="false" customHeight="false" outlineLevel="0" collapsed="false">
      <c r="A9" s="369"/>
      <c r="B9" s="381" t="s">
        <v>557</v>
      </c>
      <c r="C9" s="382" t="n">
        <v>13.33</v>
      </c>
      <c r="D9" s="383"/>
      <c r="E9" s="384"/>
      <c r="F9" s="383"/>
      <c r="G9" s="385"/>
      <c r="H9" s="385"/>
      <c r="I9" s="384"/>
      <c r="J9" s="386"/>
      <c r="K9" s="385"/>
      <c r="L9" s="385"/>
      <c r="M9" s="385"/>
      <c r="N9" s="387"/>
      <c r="O9" s="383"/>
      <c r="P9" s="385"/>
      <c r="Q9" s="385"/>
      <c r="R9" s="388"/>
      <c r="S9" s="389"/>
      <c r="T9" s="390"/>
      <c r="U9" s="390"/>
      <c r="V9" s="391"/>
      <c r="W9" s="392"/>
      <c r="X9" s="390"/>
      <c r="Y9" s="390"/>
      <c r="Z9" s="388"/>
      <c r="AA9" s="389"/>
      <c r="AB9" s="390"/>
      <c r="AC9" s="390"/>
      <c r="AD9" s="390"/>
      <c r="AE9" s="391"/>
      <c r="AF9" s="392"/>
      <c r="AG9" s="390"/>
      <c r="AH9" s="390"/>
      <c r="AI9" s="388"/>
      <c r="AJ9" s="389"/>
      <c r="AK9" s="390"/>
      <c r="AL9" s="390"/>
      <c r="AM9" s="390"/>
      <c r="AN9" s="391"/>
      <c r="AO9" s="392"/>
      <c r="AP9" s="390"/>
      <c r="AQ9" s="390"/>
      <c r="AR9" s="388"/>
      <c r="AS9" s="393"/>
      <c r="AT9" s="394"/>
      <c r="AU9" s="394"/>
      <c r="AV9" s="395"/>
      <c r="AW9" s="396"/>
      <c r="AX9" s="394"/>
      <c r="AY9" s="394"/>
      <c r="AZ9" s="394"/>
      <c r="BA9" s="397"/>
      <c r="BB9" s="393"/>
      <c r="BC9" s="394"/>
      <c r="BD9" s="394"/>
      <c r="BE9" s="395"/>
      <c r="BF9" s="396"/>
      <c r="BG9" s="394"/>
      <c r="BH9" s="394"/>
      <c r="BI9" s="394"/>
      <c r="BJ9" s="394"/>
      <c r="BK9" s="394"/>
      <c r="BL9" s="394"/>
      <c r="BM9" s="394"/>
      <c r="BN9" s="394"/>
      <c r="BO9" s="394"/>
      <c r="BP9" s="394"/>
      <c r="BQ9" s="394"/>
      <c r="BR9" s="394"/>
      <c r="BS9" s="394"/>
      <c r="BT9" s="394"/>
      <c r="BU9" s="394"/>
      <c r="BV9" s="394"/>
      <c r="BW9" s="394"/>
      <c r="BX9" s="394"/>
      <c r="BY9" s="394"/>
      <c r="BZ9" s="394"/>
      <c r="CA9" s="394"/>
      <c r="CB9" s="394"/>
      <c r="CC9" s="394"/>
      <c r="CD9" s="394"/>
      <c r="CE9" s="394"/>
      <c r="CF9" s="394"/>
      <c r="CG9" s="394"/>
      <c r="CH9" s="394"/>
      <c r="CI9" s="394"/>
      <c r="CJ9" s="394"/>
      <c r="CK9" s="394"/>
      <c r="CL9" s="394"/>
      <c r="CM9" s="394"/>
      <c r="CN9" s="394"/>
      <c r="CO9" s="394"/>
      <c r="CP9" s="394"/>
      <c r="CQ9" s="394"/>
      <c r="CR9" s="394"/>
      <c r="CS9" s="394"/>
      <c r="CT9" s="394"/>
      <c r="CU9" s="394"/>
      <c r="CV9" s="394"/>
      <c r="CW9" s="394"/>
      <c r="CX9" s="394"/>
      <c r="CY9" s="394"/>
      <c r="CZ9" s="394"/>
      <c r="DA9" s="394"/>
      <c r="DB9" s="394"/>
      <c r="DC9" s="397"/>
    </row>
    <row r="10" customFormat="false" ht="68.65" hidden="false" customHeight="true" outlineLevel="0" collapsed="false">
      <c r="A10" s="398" t="s">
        <v>558</v>
      </c>
      <c r="B10" s="399" t="s">
        <v>559</v>
      </c>
      <c r="C10" s="382" t="n">
        <v>1.5</v>
      </c>
      <c r="D10" s="400"/>
      <c r="E10" s="401"/>
      <c r="F10" s="400"/>
      <c r="G10" s="402"/>
      <c r="H10" s="402"/>
      <c r="I10" s="401"/>
      <c r="J10" s="403"/>
      <c r="K10" s="404"/>
      <c r="L10" s="404"/>
      <c r="M10" s="404"/>
      <c r="N10" s="405"/>
      <c r="O10" s="406"/>
      <c r="P10" s="404"/>
      <c r="Q10" s="404"/>
      <c r="R10" s="407"/>
      <c r="S10" s="403"/>
      <c r="T10" s="404"/>
      <c r="U10" s="404"/>
      <c r="V10" s="405"/>
      <c r="W10" s="406"/>
      <c r="X10" s="404"/>
      <c r="Y10" s="404"/>
      <c r="Z10" s="407"/>
      <c r="AA10" s="403"/>
      <c r="AB10" s="404"/>
      <c r="AC10" s="404"/>
      <c r="AD10" s="404"/>
      <c r="AE10" s="405"/>
      <c r="AF10" s="406"/>
      <c r="AG10" s="404"/>
      <c r="AH10" s="404"/>
      <c r="AI10" s="407"/>
      <c r="AJ10" s="403"/>
      <c r="AK10" s="404"/>
      <c r="AL10" s="404"/>
      <c r="AM10" s="404"/>
      <c r="AN10" s="405"/>
      <c r="AO10" s="406"/>
      <c r="AP10" s="404"/>
      <c r="AQ10" s="404"/>
      <c r="AR10" s="407"/>
      <c r="AS10" s="403"/>
      <c r="AT10" s="404"/>
      <c r="AU10" s="404"/>
      <c r="AV10" s="405"/>
      <c r="AW10" s="406"/>
      <c r="AX10" s="404"/>
      <c r="AY10" s="404"/>
      <c r="AZ10" s="404"/>
      <c r="BA10" s="407"/>
      <c r="BB10" s="403"/>
      <c r="BC10" s="404"/>
      <c r="BD10" s="404"/>
      <c r="BE10" s="405"/>
      <c r="BF10" s="406"/>
      <c r="BG10" s="404"/>
      <c r="BH10" s="404"/>
      <c r="BI10" s="404"/>
      <c r="BJ10" s="404"/>
      <c r="BK10" s="404"/>
      <c r="BL10" s="404"/>
      <c r="BM10" s="404"/>
      <c r="BN10" s="404"/>
      <c r="BO10" s="404"/>
      <c r="BP10" s="404"/>
      <c r="BQ10" s="404"/>
      <c r="BR10" s="404"/>
      <c r="BS10" s="404"/>
      <c r="BT10" s="404"/>
      <c r="BU10" s="404"/>
      <c r="BV10" s="404"/>
      <c r="BW10" s="404"/>
      <c r="BX10" s="404"/>
      <c r="BY10" s="404"/>
      <c r="BZ10" s="404"/>
      <c r="CA10" s="404"/>
      <c r="CB10" s="404"/>
      <c r="CC10" s="404"/>
      <c r="CD10" s="404"/>
      <c r="CE10" s="404"/>
      <c r="CF10" s="404"/>
      <c r="CG10" s="404"/>
      <c r="CH10" s="404"/>
      <c r="CI10" s="404"/>
      <c r="CJ10" s="404"/>
      <c r="CK10" s="404"/>
      <c r="CL10" s="404"/>
      <c r="CM10" s="404"/>
      <c r="CN10" s="404"/>
      <c r="CO10" s="404"/>
      <c r="CP10" s="404"/>
      <c r="CQ10" s="404"/>
      <c r="CR10" s="404"/>
      <c r="CS10" s="404"/>
      <c r="CT10" s="404"/>
      <c r="CU10" s="404"/>
      <c r="CV10" s="404"/>
      <c r="CW10" s="404"/>
      <c r="CX10" s="404"/>
      <c r="CY10" s="404"/>
      <c r="CZ10" s="404"/>
      <c r="DA10" s="404"/>
      <c r="DB10" s="404"/>
      <c r="DC10" s="407"/>
    </row>
    <row r="11" customFormat="false" ht="24.45" hidden="false" customHeight="false" outlineLevel="0" collapsed="false">
      <c r="A11" s="398"/>
      <c r="B11" s="399" t="s">
        <v>560</v>
      </c>
      <c r="C11" s="382"/>
      <c r="D11" s="406"/>
      <c r="E11" s="407"/>
      <c r="F11" s="406"/>
      <c r="G11" s="404"/>
      <c r="H11" s="404"/>
      <c r="I11" s="407"/>
      <c r="J11" s="408"/>
      <c r="K11" s="404"/>
      <c r="L11" s="404"/>
      <c r="M11" s="404"/>
      <c r="N11" s="405"/>
      <c r="O11" s="406"/>
      <c r="P11" s="404"/>
      <c r="Q11" s="404"/>
      <c r="R11" s="407"/>
      <c r="S11" s="403"/>
      <c r="T11" s="404"/>
      <c r="U11" s="404"/>
      <c r="V11" s="405"/>
      <c r="W11" s="406"/>
      <c r="X11" s="404"/>
      <c r="Y11" s="404"/>
      <c r="Z11" s="407"/>
      <c r="AA11" s="403"/>
      <c r="AB11" s="404"/>
      <c r="AC11" s="404"/>
      <c r="AD11" s="404"/>
      <c r="AE11" s="405"/>
      <c r="AF11" s="406"/>
      <c r="AG11" s="404"/>
      <c r="AH11" s="404"/>
      <c r="AI11" s="407"/>
      <c r="AJ11" s="403"/>
      <c r="AK11" s="404"/>
      <c r="AL11" s="404"/>
      <c r="AM11" s="404"/>
      <c r="AN11" s="405"/>
      <c r="AO11" s="406"/>
      <c r="AP11" s="404"/>
      <c r="AQ11" s="404"/>
      <c r="AR11" s="407"/>
      <c r="AS11" s="403"/>
      <c r="AT11" s="404"/>
      <c r="AU11" s="404"/>
      <c r="AV11" s="405"/>
      <c r="AW11" s="406"/>
      <c r="AX11" s="404"/>
      <c r="AY11" s="404"/>
      <c r="AZ11" s="404"/>
      <c r="BA11" s="407"/>
      <c r="BB11" s="403"/>
      <c r="BC11" s="404"/>
      <c r="BD11" s="404"/>
      <c r="BE11" s="405"/>
      <c r="BF11" s="406"/>
      <c r="BG11" s="404"/>
      <c r="BH11" s="404"/>
      <c r="BI11" s="404"/>
      <c r="BJ11" s="404"/>
      <c r="BK11" s="404"/>
      <c r="BL11" s="404"/>
      <c r="BM11" s="404"/>
      <c r="BN11" s="404"/>
      <c r="BO11" s="404"/>
      <c r="BP11" s="404"/>
      <c r="BQ11" s="404"/>
      <c r="BR11" s="404"/>
      <c r="BS11" s="404"/>
      <c r="BT11" s="404"/>
      <c r="BU11" s="404"/>
      <c r="BV11" s="404"/>
      <c r="BW11" s="404"/>
      <c r="BX11" s="404"/>
      <c r="BY11" s="404"/>
      <c r="BZ11" s="404"/>
      <c r="CA11" s="404"/>
      <c r="CB11" s="404"/>
      <c r="CC11" s="404"/>
      <c r="CD11" s="404"/>
      <c r="CE11" s="404"/>
      <c r="CF11" s="404"/>
      <c r="CG11" s="404"/>
      <c r="CH11" s="404"/>
      <c r="CI11" s="404"/>
      <c r="CJ11" s="404"/>
      <c r="CK11" s="404"/>
      <c r="CL11" s="404"/>
      <c r="CM11" s="404"/>
      <c r="CN11" s="404"/>
      <c r="CO11" s="404"/>
      <c r="CP11" s="404"/>
      <c r="CQ11" s="404"/>
      <c r="CR11" s="404"/>
      <c r="CS11" s="404"/>
      <c r="CT11" s="404"/>
      <c r="CU11" s="404"/>
      <c r="CV11" s="404"/>
      <c r="CW11" s="404"/>
      <c r="CX11" s="404"/>
      <c r="CY11" s="404"/>
      <c r="CZ11" s="404"/>
      <c r="DA11" s="404"/>
      <c r="DB11" s="404"/>
      <c r="DC11" s="407"/>
    </row>
    <row r="12" customFormat="false" ht="24.45" hidden="false" customHeight="false" outlineLevel="0" collapsed="false">
      <c r="A12" s="398"/>
      <c r="B12" s="399" t="s">
        <v>561</v>
      </c>
      <c r="C12" s="382" t="n">
        <v>5</v>
      </c>
      <c r="D12" s="406"/>
      <c r="E12" s="409"/>
      <c r="F12" s="410"/>
      <c r="G12" s="411"/>
      <c r="H12" s="411"/>
      <c r="I12" s="409"/>
      <c r="J12" s="412"/>
      <c r="K12" s="413"/>
      <c r="L12" s="413"/>
      <c r="M12" s="413"/>
      <c r="N12" s="414"/>
      <c r="O12" s="415"/>
      <c r="P12" s="413"/>
      <c r="Q12" s="413"/>
      <c r="R12" s="416"/>
      <c r="S12" s="417"/>
      <c r="T12" s="418"/>
      <c r="U12" s="418"/>
      <c r="V12" s="419"/>
      <c r="W12" s="420"/>
      <c r="X12" s="418"/>
      <c r="Y12" s="418"/>
      <c r="Z12" s="421"/>
      <c r="AA12" s="422"/>
      <c r="AB12" s="423"/>
      <c r="AC12" s="423"/>
      <c r="AD12" s="423"/>
      <c r="AE12" s="424"/>
      <c r="AF12" s="406"/>
      <c r="AG12" s="404"/>
      <c r="AH12" s="404"/>
      <c r="AI12" s="407"/>
      <c r="AJ12" s="403"/>
      <c r="AK12" s="404"/>
      <c r="AL12" s="404"/>
      <c r="AM12" s="404"/>
      <c r="AN12" s="405"/>
      <c r="AO12" s="406"/>
      <c r="AP12" s="404"/>
      <c r="AQ12" s="404"/>
      <c r="AR12" s="407"/>
      <c r="AS12" s="403"/>
      <c r="AT12" s="404"/>
      <c r="AU12" s="404"/>
      <c r="AV12" s="405"/>
      <c r="AW12" s="406"/>
      <c r="AX12" s="404"/>
      <c r="AY12" s="404"/>
      <c r="AZ12" s="404"/>
      <c r="BA12" s="407"/>
      <c r="BB12" s="403"/>
      <c r="BC12" s="404"/>
      <c r="BD12" s="404"/>
      <c r="BE12" s="405"/>
      <c r="BF12" s="406"/>
      <c r="BG12" s="404"/>
      <c r="BH12" s="404"/>
      <c r="BI12" s="404"/>
      <c r="BJ12" s="404"/>
      <c r="BK12" s="404"/>
      <c r="BL12" s="404"/>
      <c r="BM12" s="404"/>
      <c r="BN12" s="404"/>
      <c r="BO12" s="404"/>
      <c r="BP12" s="404"/>
      <c r="BQ12" s="404"/>
      <c r="BR12" s="404"/>
      <c r="BS12" s="404"/>
      <c r="BT12" s="404"/>
      <c r="BU12" s="404"/>
      <c r="BV12" s="404"/>
      <c r="BW12" s="404"/>
      <c r="BX12" s="404"/>
      <c r="BY12" s="404"/>
      <c r="BZ12" s="404"/>
      <c r="CA12" s="404"/>
      <c r="CB12" s="404"/>
      <c r="CC12" s="404"/>
      <c r="CD12" s="404"/>
      <c r="CE12" s="404"/>
      <c r="CF12" s="404"/>
      <c r="CG12" s="404"/>
      <c r="CH12" s="404"/>
      <c r="CI12" s="404"/>
      <c r="CJ12" s="404"/>
      <c r="CK12" s="404"/>
      <c r="CL12" s="404"/>
      <c r="CM12" s="404"/>
      <c r="CN12" s="404"/>
      <c r="CO12" s="404"/>
      <c r="CP12" s="404"/>
      <c r="CQ12" s="404"/>
      <c r="CR12" s="404"/>
      <c r="CS12" s="404"/>
      <c r="CT12" s="404"/>
      <c r="CU12" s="404"/>
      <c r="CV12" s="404"/>
      <c r="CW12" s="404"/>
      <c r="CX12" s="404"/>
      <c r="CY12" s="404"/>
      <c r="CZ12" s="404"/>
      <c r="DA12" s="404"/>
      <c r="DB12" s="404"/>
      <c r="DC12" s="407"/>
    </row>
    <row r="13" customFormat="false" ht="46.25" hidden="false" customHeight="false" outlineLevel="0" collapsed="false">
      <c r="A13" s="425"/>
      <c r="B13" s="426" t="s">
        <v>562</v>
      </c>
      <c r="C13" s="427" t="n">
        <v>12.75</v>
      </c>
      <c r="D13" s="428"/>
      <c r="E13" s="429"/>
      <c r="F13" s="428"/>
      <c r="G13" s="430"/>
      <c r="H13" s="430"/>
      <c r="I13" s="429"/>
      <c r="J13" s="431"/>
      <c r="K13" s="430"/>
      <c r="L13" s="430"/>
      <c r="M13" s="430"/>
      <c r="N13" s="432"/>
      <c r="O13" s="428"/>
      <c r="P13" s="430"/>
      <c r="Q13" s="430"/>
      <c r="R13" s="433"/>
      <c r="S13" s="434"/>
      <c r="T13" s="435"/>
      <c r="U13" s="435"/>
      <c r="V13" s="436"/>
      <c r="W13" s="437"/>
      <c r="X13" s="435"/>
      <c r="Y13" s="435"/>
      <c r="Z13" s="433"/>
      <c r="AA13" s="434"/>
      <c r="AB13" s="435"/>
      <c r="AC13" s="435"/>
      <c r="AD13" s="435"/>
      <c r="AE13" s="436"/>
      <c r="AF13" s="437"/>
      <c r="AG13" s="435"/>
      <c r="AH13" s="435"/>
      <c r="AI13" s="433"/>
      <c r="AJ13" s="434"/>
      <c r="AK13" s="435"/>
      <c r="AL13" s="435"/>
      <c r="AM13" s="435"/>
      <c r="AN13" s="436"/>
      <c r="AO13" s="437"/>
      <c r="AP13" s="435"/>
      <c r="AQ13" s="435"/>
      <c r="AR13" s="433"/>
      <c r="AS13" s="434"/>
      <c r="AT13" s="435"/>
      <c r="AU13" s="435"/>
      <c r="AV13" s="436"/>
      <c r="AW13" s="437"/>
      <c r="AX13" s="435"/>
      <c r="AY13" s="435"/>
      <c r="AZ13" s="435"/>
      <c r="BA13" s="433"/>
      <c r="BB13" s="434"/>
      <c r="BC13" s="435"/>
      <c r="BD13" s="435"/>
      <c r="BE13" s="436"/>
      <c r="BF13" s="437"/>
      <c r="BG13" s="435"/>
      <c r="BH13" s="404"/>
      <c r="BI13" s="404"/>
      <c r="BJ13" s="404"/>
      <c r="BK13" s="404"/>
      <c r="BL13" s="404"/>
      <c r="BM13" s="404"/>
      <c r="BN13" s="404"/>
      <c r="BO13" s="404"/>
      <c r="BP13" s="404"/>
      <c r="BQ13" s="404"/>
      <c r="BR13" s="404"/>
      <c r="BS13" s="404"/>
      <c r="BT13" s="404"/>
      <c r="BU13" s="404"/>
      <c r="BV13" s="404"/>
      <c r="BW13" s="404"/>
      <c r="BX13" s="404"/>
      <c r="BY13" s="404"/>
      <c r="BZ13" s="404"/>
      <c r="CA13" s="404"/>
      <c r="CB13" s="404"/>
      <c r="CC13" s="404"/>
      <c r="CD13" s="404"/>
      <c r="CE13" s="404"/>
      <c r="CF13" s="404"/>
      <c r="CG13" s="404"/>
      <c r="CH13" s="404"/>
      <c r="CI13" s="404"/>
      <c r="CJ13" s="404"/>
      <c r="CK13" s="404"/>
      <c r="CL13" s="404"/>
      <c r="CM13" s="404"/>
      <c r="CN13" s="404"/>
      <c r="CO13" s="404"/>
      <c r="CP13" s="404"/>
      <c r="CQ13" s="404"/>
      <c r="CR13" s="404"/>
      <c r="CS13" s="404"/>
      <c r="CT13" s="404"/>
      <c r="CU13" s="404"/>
      <c r="CV13" s="404"/>
      <c r="CW13" s="404"/>
      <c r="CX13" s="404"/>
      <c r="CY13" s="404"/>
      <c r="CZ13" s="404"/>
      <c r="DA13" s="404"/>
      <c r="DB13" s="404"/>
      <c r="DC13" s="407"/>
    </row>
    <row r="14" customFormat="false" ht="24.45" hidden="false" customHeight="true" outlineLevel="0" collapsed="false">
      <c r="A14" s="398" t="s">
        <v>205</v>
      </c>
      <c r="B14" s="399" t="s">
        <v>563</v>
      </c>
      <c r="C14" s="382"/>
      <c r="D14" s="400"/>
      <c r="E14" s="401"/>
      <c r="F14" s="400"/>
      <c r="G14" s="402"/>
      <c r="H14" s="402"/>
      <c r="I14" s="401"/>
      <c r="J14" s="408"/>
      <c r="K14" s="402"/>
      <c r="L14" s="402"/>
      <c r="M14" s="402"/>
      <c r="N14" s="438"/>
      <c r="O14" s="400"/>
      <c r="P14" s="402"/>
      <c r="Q14" s="402"/>
      <c r="R14" s="401"/>
      <c r="S14" s="408"/>
      <c r="T14" s="404"/>
      <c r="U14" s="404"/>
      <c r="V14" s="405"/>
      <c r="W14" s="406"/>
      <c r="X14" s="404"/>
      <c r="Y14" s="404"/>
      <c r="Z14" s="407"/>
      <c r="AA14" s="403"/>
      <c r="AB14" s="404"/>
      <c r="AC14" s="404"/>
      <c r="AD14" s="404"/>
      <c r="AE14" s="405"/>
      <c r="AF14" s="406"/>
      <c r="AG14" s="404"/>
      <c r="AH14" s="404"/>
      <c r="AI14" s="407"/>
      <c r="AJ14" s="403"/>
      <c r="AK14" s="404"/>
      <c r="AL14" s="404"/>
      <c r="AM14" s="404"/>
      <c r="AN14" s="405"/>
      <c r="AO14" s="406"/>
      <c r="AP14" s="404"/>
      <c r="AQ14" s="404"/>
      <c r="AR14" s="407"/>
      <c r="AS14" s="403"/>
      <c r="AT14" s="404"/>
      <c r="AU14" s="404"/>
      <c r="AV14" s="405"/>
      <c r="AW14" s="406"/>
      <c r="AX14" s="404"/>
      <c r="AY14" s="404"/>
      <c r="AZ14" s="404"/>
      <c r="BA14" s="407"/>
      <c r="BB14" s="403"/>
      <c r="BC14" s="404"/>
      <c r="BD14" s="404"/>
      <c r="BE14" s="405"/>
      <c r="BF14" s="406"/>
      <c r="BG14" s="404"/>
      <c r="BH14" s="404"/>
      <c r="BI14" s="404"/>
      <c r="BJ14" s="404"/>
      <c r="BK14" s="404"/>
      <c r="BL14" s="404"/>
      <c r="BM14" s="404"/>
      <c r="BN14" s="404"/>
      <c r="BO14" s="404"/>
      <c r="BP14" s="404"/>
      <c r="BQ14" s="404"/>
      <c r="BR14" s="404"/>
      <c r="BS14" s="404"/>
      <c r="BT14" s="404"/>
      <c r="BU14" s="404"/>
      <c r="BV14" s="404"/>
      <c r="BW14" s="404"/>
      <c r="BX14" s="404"/>
      <c r="BY14" s="404"/>
      <c r="BZ14" s="404"/>
      <c r="CA14" s="404"/>
      <c r="CB14" s="404"/>
      <c r="CC14" s="404"/>
      <c r="CD14" s="404"/>
      <c r="CE14" s="404"/>
      <c r="CF14" s="404"/>
      <c r="CG14" s="404"/>
      <c r="CH14" s="404"/>
      <c r="CI14" s="404"/>
      <c r="CJ14" s="404"/>
      <c r="CK14" s="404"/>
      <c r="CL14" s="404"/>
      <c r="CM14" s="404"/>
      <c r="CN14" s="404"/>
      <c r="CO14" s="404"/>
      <c r="CP14" s="404"/>
      <c r="CQ14" s="404"/>
      <c r="CR14" s="404"/>
      <c r="CS14" s="404"/>
      <c r="CT14" s="404"/>
      <c r="CU14" s="404"/>
      <c r="CV14" s="404"/>
      <c r="CW14" s="404"/>
      <c r="CX14" s="404"/>
      <c r="CY14" s="404"/>
      <c r="CZ14" s="404"/>
      <c r="DA14" s="404"/>
      <c r="DB14" s="404"/>
      <c r="DC14" s="407"/>
    </row>
    <row r="15" customFormat="false" ht="24.45" hidden="false" customHeight="false" outlineLevel="0" collapsed="false">
      <c r="A15" s="398"/>
      <c r="B15" s="399" t="s">
        <v>564</v>
      </c>
      <c r="C15" s="382" t="n">
        <v>5.5</v>
      </c>
      <c r="D15" s="406"/>
      <c r="E15" s="407"/>
      <c r="F15" s="400"/>
      <c r="G15" s="402"/>
      <c r="H15" s="402"/>
      <c r="I15" s="401"/>
      <c r="J15" s="408"/>
      <c r="K15" s="402"/>
      <c r="L15" s="402"/>
      <c r="M15" s="402"/>
      <c r="N15" s="438"/>
      <c r="O15" s="400"/>
      <c r="P15" s="402"/>
      <c r="Q15" s="402"/>
      <c r="R15" s="401"/>
      <c r="S15" s="408"/>
      <c r="T15" s="423"/>
      <c r="U15" s="423"/>
      <c r="V15" s="424"/>
      <c r="W15" s="439"/>
      <c r="X15" s="423"/>
      <c r="Y15" s="423"/>
      <c r="Z15" s="440"/>
      <c r="AA15" s="422"/>
      <c r="AB15" s="404"/>
      <c r="AC15" s="404"/>
      <c r="AD15" s="404"/>
      <c r="AE15" s="405"/>
      <c r="AF15" s="406"/>
      <c r="AG15" s="404"/>
      <c r="AH15" s="404"/>
      <c r="AI15" s="407"/>
      <c r="AJ15" s="403"/>
      <c r="AK15" s="404"/>
      <c r="AL15" s="404"/>
      <c r="AM15" s="404"/>
      <c r="AN15" s="405"/>
      <c r="AO15" s="406"/>
      <c r="AP15" s="404"/>
      <c r="AQ15" s="404"/>
      <c r="AR15" s="407"/>
      <c r="AS15" s="403"/>
      <c r="AT15" s="404"/>
      <c r="AU15" s="404"/>
      <c r="AV15" s="405"/>
      <c r="AW15" s="406"/>
      <c r="AX15" s="404"/>
      <c r="AY15" s="404"/>
      <c r="AZ15" s="404"/>
      <c r="BA15" s="407"/>
      <c r="BB15" s="403"/>
      <c r="BC15" s="404"/>
      <c r="BD15" s="404"/>
      <c r="BE15" s="405"/>
      <c r="BF15" s="406"/>
      <c r="BG15" s="404"/>
      <c r="BH15" s="404"/>
      <c r="BI15" s="404"/>
      <c r="BJ15" s="404"/>
      <c r="BK15" s="404"/>
      <c r="BL15" s="404"/>
      <c r="BM15" s="404"/>
      <c r="BN15" s="404"/>
      <c r="BO15" s="404"/>
      <c r="BP15" s="404"/>
      <c r="BQ15" s="404"/>
      <c r="BR15" s="404"/>
      <c r="BS15" s="404"/>
      <c r="BT15" s="404"/>
      <c r="BU15" s="404"/>
      <c r="BV15" s="404"/>
      <c r="BW15" s="404"/>
      <c r="BX15" s="404"/>
      <c r="BY15" s="404"/>
      <c r="BZ15" s="404"/>
      <c r="CA15" s="404"/>
      <c r="CB15" s="404"/>
      <c r="CC15" s="404"/>
      <c r="CD15" s="404"/>
      <c r="CE15" s="404"/>
      <c r="CF15" s="404"/>
      <c r="CG15" s="404"/>
      <c r="CH15" s="404"/>
      <c r="CI15" s="404"/>
      <c r="CJ15" s="404"/>
      <c r="CK15" s="404"/>
      <c r="CL15" s="404"/>
      <c r="CM15" s="404"/>
      <c r="CN15" s="404"/>
      <c r="CO15" s="404"/>
      <c r="CP15" s="404"/>
      <c r="CQ15" s="404"/>
      <c r="CR15" s="404"/>
      <c r="CS15" s="404"/>
      <c r="CT15" s="404"/>
      <c r="CU15" s="404"/>
      <c r="CV15" s="404"/>
      <c r="CW15" s="404"/>
      <c r="CX15" s="404"/>
      <c r="CY15" s="404"/>
      <c r="CZ15" s="404"/>
      <c r="DA15" s="404"/>
      <c r="DB15" s="404"/>
      <c r="DC15" s="407"/>
    </row>
    <row r="16" customFormat="false" ht="24.45" hidden="false" customHeight="false" outlineLevel="0" collapsed="false">
      <c r="A16" s="398"/>
      <c r="B16" s="399" t="s">
        <v>359</v>
      </c>
      <c r="C16" s="382" t="n">
        <v>5</v>
      </c>
      <c r="D16" s="441"/>
      <c r="E16" s="407"/>
      <c r="F16" s="406"/>
      <c r="G16" s="402"/>
      <c r="H16" s="402"/>
      <c r="I16" s="401"/>
      <c r="J16" s="408"/>
      <c r="K16" s="402"/>
      <c r="L16" s="402"/>
      <c r="M16" s="402"/>
      <c r="N16" s="438"/>
      <c r="O16" s="400"/>
      <c r="P16" s="402"/>
      <c r="Q16" s="402"/>
      <c r="R16" s="401"/>
      <c r="S16" s="408"/>
      <c r="T16" s="423"/>
      <c r="U16" s="423"/>
      <c r="V16" s="424"/>
      <c r="W16" s="439"/>
      <c r="X16" s="423"/>
      <c r="Y16" s="423"/>
      <c r="Z16" s="440"/>
      <c r="AA16" s="422"/>
      <c r="AB16" s="423"/>
      <c r="AC16" s="404"/>
      <c r="AD16" s="404"/>
      <c r="AE16" s="405"/>
      <c r="AF16" s="406"/>
      <c r="AG16" s="404"/>
      <c r="AH16" s="404"/>
      <c r="AI16" s="407"/>
      <c r="AJ16" s="403"/>
      <c r="AK16" s="404"/>
      <c r="AL16" s="404"/>
      <c r="AM16" s="404"/>
      <c r="AN16" s="405"/>
      <c r="AO16" s="406"/>
      <c r="AP16" s="404"/>
      <c r="AQ16" s="404"/>
      <c r="AR16" s="407"/>
      <c r="AS16" s="403"/>
      <c r="AT16" s="404"/>
      <c r="AU16" s="404"/>
      <c r="AV16" s="405"/>
      <c r="AW16" s="406"/>
      <c r="AX16" s="404"/>
      <c r="AY16" s="404"/>
      <c r="AZ16" s="404"/>
      <c r="BA16" s="407"/>
      <c r="BB16" s="403"/>
      <c r="BC16" s="404"/>
      <c r="BD16" s="404"/>
      <c r="BE16" s="405"/>
      <c r="BF16" s="406"/>
      <c r="BG16" s="404"/>
      <c r="BH16" s="404"/>
      <c r="BI16" s="404"/>
      <c r="BJ16" s="404"/>
      <c r="BK16" s="404"/>
      <c r="BL16" s="404"/>
      <c r="BM16" s="404"/>
      <c r="BN16" s="404"/>
      <c r="BO16" s="404"/>
      <c r="BP16" s="404"/>
      <c r="BQ16" s="404"/>
      <c r="BR16" s="404"/>
      <c r="BS16" s="404"/>
      <c r="BT16" s="404"/>
      <c r="BU16" s="404"/>
      <c r="BV16" s="404"/>
      <c r="BW16" s="404"/>
      <c r="BX16" s="404"/>
      <c r="BY16" s="404"/>
      <c r="BZ16" s="404"/>
      <c r="CA16" s="404"/>
      <c r="CB16" s="404"/>
      <c r="CC16" s="404"/>
      <c r="CD16" s="404"/>
      <c r="CE16" s="404"/>
      <c r="CF16" s="404"/>
      <c r="CG16" s="404"/>
      <c r="CH16" s="404"/>
      <c r="CI16" s="404"/>
      <c r="CJ16" s="404"/>
      <c r="CK16" s="404"/>
      <c r="CL16" s="404"/>
      <c r="CM16" s="404"/>
      <c r="CN16" s="404"/>
      <c r="CO16" s="404"/>
      <c r="CP16" s="404"/>
      <c r="CQ16" s="404"/>
      <c r="CR16" s="404"/>
      <c r="CS16" s="404"/>
      <c r="CT16" s="404"/>
      <c r="CU16" s="404"/>
      <c r="CV16" s="404"/>
      <c r="CW16" s="404"/>
      <c r="CX16" s="404"/>
      <c r="CY16" s="404"/>
      <c r="CZ16" s="404"/>
      <c r="DA16" s="404"/>
      <c r="DB16" s="404"/>
      <c r="DC16" s="407"/>
    </row>
    <row r="17" customFormat="false" ht="24.45" hidden="false" customHeight="false" outlineLevel="0" collapsed="false">
      <c r="A17" s="398"/>
      <c r="B17" s="399" t="s">
        <v>565</v>
      </c>
      <c r="C17" s="382" t="n">
        <v>5</v>
      </c>
      <c r="D17" s="441"/>
      <c r="E17" s="407"/>
      <c r="F17" s="406"/>
      <c r="G17" s="402"/>
      <c r="H17" s="402"/>
      <c r="I17" s="401"/>
      <c r="J17" s="408"/>
      <c r="K17" s="402"/>
      <c r="L17" s="402"/>
      <c r="M17" s="402"/>
      <c r="N17" s="438"/>
      <c r="O17" s="400"/>
      <c r="P17" s="402"/>
      <c r="Q17" s="402"/>
      <c r="R17" s="442"/>
      <c r="S17" s="443"/>
      <c r="T17" s="444"/>
      <c r="U17" s="423"/>
      <c r="V17" s="424"/>
      <c r="W17" s="439"/>
      <c r="X17" s="423"/>
      <c r="Y17" s="423"/>
      <c r="Z17" s="440"/>
      <c r="AA17" s="422"/>
      <c r="AB17" s="423"/>
      <c r="AC17" s="404"/>
      <c r="AD17" s="404"/>
      <c r="AE17" s="405"/>
      <c r="AF17" s="406"/>
      <c r="AG17" s="404"/>
      <c r="AH17" s="404"/>
      <c r="AI17" s="407"/>
      <c r="AJ17" s="403"/>
      <c r="AK17" s="404"/>
      <c r="AL17" s="404"/>
      <c r="AM17" s="404"/>
      <c r="AN17" s="405"/>
      <c r="AO17" s="406"/>
      <c r="AP17" s="404"/>
      <c r="AQ17" s="404"/>
      <c r="AR17" s="407"/>
      <c r="AS17" s="403"/>
      <c r="AT17" s="404"/>
      <c r="AU17" s="404"/>
      <c r="AV17" s="405"/>
      <c r="AW17" s="406"/>
      <c r="AX17" s="404"/>
      <c r="AY17" s="404"/>
      <c r="AZ17" s="404"/>
      <c r="BA17" s="407"/>
      <c r="BB17" s="403"/>
      <c r="BC17" s="404"/>
      <c r="BD17" s="404"/>
      <c r="BE17" s="405"/>
      <c r="BF17" s="406"/>
      <c r="BG17" s="404"/>
      <c r="BH17" s="404"/>
      <c r="BI17" s="404"/>
      <c r="BJ17" s="404"/>
      <c r="BK17" s="404"/>
      <c r="BL17" s="404"/>
      <c r="BM17" s="404"/>
      <c r="BN17" s="404"/>
      <c r="BO17" s="404"/>
      <c r="BP17" s="404"/>
      <c r="BQ17" s="404"/>
      <c r="BR17" s="404"/>
      <c r="BS17" s="404"/>
      <c r="BT17" s="404"/>
      <c r="BU17" s="404"/>
      <c r="BV17" s="404"/>
      <c r="BW17" s="404"/>
      <c r="BX17" s="404"/>
      <c r="BY17" s="404"/>
      <c r="BZ17" s="404"/>
      <c r="CA17" s="404"/>
      <c r="CB17" s="404"/>
      <c r="CC17" s="404"/>
      <c r="CD17" s="404"/>
      <c r="CE17" s="404"/>
      <c r="CF17" s="404"/>
      <c r="CG17" s="404"/>
      <c r="CH17" s="404"/>
      <c r="CI17" s="404"/>
      <c r="CJ17" s="404"/>
      <c r="CK17" s="404"/>
      <c r="CL17" s="404"/>
      <c r="CM17" s="404"/>
      <c r="CN17" s="404"/>
      <c r="CO17" s="404"/>
      <c r="CP17" s="404"/>
      <c r="CQ17" s="404"/>
      <c r="CR17" s="404"/>
      <c r="CS17" s="404"/>
      <c r="CT17" s="404"/>
      <c r="CU17" s="404"/>
      <c r="CV17" s="404"/>
      <c r="CW17" s="404"/>
      <c r="CX17" s="404"/>
      <c r="CY17" s="404"/>
      <c r="CZ17" s="404"/>
      <c r="DA17" s="404"/>
      <c r="DB17" s="404"/>
      <c r="DC17" s="407"/>
    </row>
    <row r="18" customFormat="false" ht="46.25" hidden="false" customHeight="false" outlineLevel="0" collapsed="false">
      <c r="A18" s="398"/>
      <c r="B18" s="399" t="s">
        <v>566</v>
      </c>
      <c r="C18" s="382" t="n">
        <v>2</v>
      </c>
      <c r="D18" s="445"/>
      <c r="E18" s="407"/>
      <c r="F18" s="406"/>
      <c r="G18" s="402"/>
      <c r="H18" s="402"/>
      <c r="I18" s="401"/>
      <c r="J18" s="408"/>
      <c r="K18" s="402"/>
      <c r="L18" s="402"/>
      <c r="M18" s="402"/>
      <c r="N18" s="438"/>
      <c r="O18" s="400"/>
      <c r="P18" s="402"/>
      <c r="Q18" s="402"/>
      <c r="R18" s="442"/>
      <c r="S18" s="403"/>
      <c r="T18" s="446"/>
      <c r="U18" s="404"/>
      <c r="V18" s="405"/>
      <c r="W18" s="406"/>
      <c r="X18" s="404"/>
      <c r="Y18" s="404"/>
      <c r="Z18" s="407"/>
      <c r="AA18" s="403"/>
      <c r="AB18" s="404"/>
      <c r="AC18" s="404"/>
      <c r="AD18" s="404"/>
      <c r="AE18" s="405"/>
      <c r="AF18" s="441"/>
      <c r="AG18" s="446"/>
      <c r="AH18" s="404"/>
      <c r="AI18" s="407"/>
      <c r="AJ18" s="403"/>
      <c r="AK18" s="404"/>
      <c r="AL18" s="404"/>
      <c r="AM18" s="404"/>
      <c r="AN18" s="405"/>
      <c r="AO18" s="406"/>
      <c r="AP18" s="404"/>
      <c r="AQ18" s="404"/>
      <c r="AR18" s="407"/>
      <c r="AS18" s="403"/>
      <c r="AT18" s="404"/>
      <c r="AU18" s="404"/>
      <c r="AV18" s="405"/>
      <c r="AW18" s="406"/>
      <c r="AX18" s="404"/>
      <c r="AY18" s="404"/>
      <c r="AZ18" s="404"/>
      <c r="BA18" s="407"/>
      <c r="BB18" s="403"/>
      <c r="BC18" s="404"/>
      <c r="BD18" s="404"/>
      <c r="BE18" s="405"/>
      <c r="BF18" s="406"/>
      <c r="BG18" s="404"/>
      <c r="BH18" s="404"/>
      <c r="BI18" s="404"/>
      <c r="BJ18" s="404"/>
      <c r="BK18" s="404"/>
      <c r="BL18" s="404"/>
      <c r="BM18" s="404"/>
      <c r="BN18" s="404"/>
      <c r="BO18" s="404"/>
      <c r="BP18" s="404"/>
      <c r="BQ18" s="404"/>
      <c r="BR18" s="404"/>
      <c r="BS18" s="404"/>
      <c r="BT18" s="404"/>
      <c r="BU18" s="404"/>
      <c r="BV18" s="404"/>
      <c r="BW18" s="404"/>
      <c r="BX18" s="404"/>
      <c r="BY18" s="404"/>
      <c r="BZ18" s="404"/>
      <c r="CA18" s="404"/>
      <c r="CB18" s="404"/>
      <c r="CC18" s="404"/>
      <c r="CD18" s="404"/>
      <c r="CE18" s="404"/>
      <c r="CF18" s="404"/>
      <c r="CG18" s="404"/>
      <c r="CH18" s="404"/>
      <c r="CI18" s="404"/>
      <c r="CJ18" s="404"/>
      <c r="CK18" s="404"/>
      <c r="CL18" s="404"/>
      <c r="CM18" s="404"/>
      <c r="CN18" s="404"/>
      <c r="CO18" s="404"/>
      <c r="CP18" s="404"/>
      <c r="CQ18" s="404"/>
      <c r="CR18" s="404"/>
      <c r="CS18" s="404"/>
      <c r="CT18" s="404"/>
      <c r="CU18" s="404"/>
      <c r="CV18" s="404"/>
      <c r="CW18" s="404"/>
      <c r="CX18" s="404"/>
      <c r="CY18" s="404"/>
      <c r="CZ18" s="404"/>
      <c r="DA18" s="404"/>
      <c r="DB18" s="404"/>
      <c r="DC18" s="407"/>
    </row>
    <row r="19" customFormat="false" ht="24.45" hidden="false" customHeight="false" outlineLevel="0" collapsed="false">
      <c r="A19" s="398"/>
      <c r="B19" s="399" t="s">
        <v>567</v>
      </c>
      <c r="C19" s="382" t="n">
        <v>4.75</v>
      </c>
      <c r="D19" s="445"/>
      <c r="E19" s="407"/>
      <c r="F19" s="406"/>
      <c r="G19" s="404"/>
      <c r="H19" s="404"/>
      <c r="I19" s="407"/>
      <c r="J19" s="403"/>
      <c r="K19" s="404"/>
      <c r="L19" s="404"/>
      <c r="M19" s="404"/>
      <c r="N19" s="405"/>
      <c r="O19" s="406"/>
      <c r="P19" s="404"/>
      <c r="Q19" s="404"/>
      <c r="R19" s="407"/>
      <c r="S19" s="403"/>
      <c r="T19" s="447"/>
      <c r="U19" s="423"/>
      <c r="V19" s="424"/>
      <c r="W19" s="439"/>
      <c r="X19" s="423"/>
      <c r="Y19" s="423"/>
      <c r="Z19" s="440"/>
      <c r="AA19" s="422"/>
      <c r="AB19" s="423"/>
      <c r="AC19" s="423"/>
      <c r="AD19" s="423"/>
      <c r="AE19" s="424"/>
      <c r="AF19" s="441"/>
      <c r="AG19" s="446"/>
      <c r="AH19" s="404"/>
      <c r="AI19" s="407"/>
      <c r="AJ19" s="403"/>
      <c r="AK19" s="404"/>
      <c r="AL19" s="404"/>
      <c r="AM19" s="404"/>
      <c r="AN19" s="405"/>
      <c r="AO19" s="406"/>
      <c r="AP19" s="404"/>
      <c r="AQ19" s="404"/>
      <c r="AR19" s="407"/>
      <c r="AS19" s="403"/>
      <c r="AT19" s="404"/>
      <c r="AU19" s="404"/>
      <c r="AV19" s="405"/>
      <c r="AW19" s="406"/>
      <c r="AX19" s="404"/>
      <c r="AY19" s="404"/>
      <c r="AZ19" s="404"/>
      <c r="BA19" s="407"/>
      <c r="BB19" s="403"/>
      <c r="BC19" s="404"/>
      <c r="BD19" s="404"/>
      <c r="BE19" s="405"/>
      <c r="BF19" s="406"/>
      <c r="BG19" s="404"/>
      <c r="BH19" s="404"/>
      <c r="BI19" s="404"/>
      <c r="BJ19" s="404"/>
      <c r="BK19" s="404"/>
      <c r="BL19" s="404"/>
      <c r="BM19" s="404"/>
      <c r="BN19" s="404"/>
      <c r="BO19" s="404"/>
      <c r="BP19" s="404"/>
      <c r="BQ19" s="404"/>
      <c r="BR19" s="404"/>
      <c r="BS19" s="404"/>
      <c r="BT19" s="404"/>
      <c r="BU19" s="404"/>
      <c r="BV19" s="404"/>
      <c r="BW19" s="404"/>
      <c r="BX19" s="404"/>
      <c r="BY19" s="404"/>
      <c r="BZ19" s="404"/>
      <c r="CA19" s="404"/>
      <c r="CB19" s="404"/>
      <c r="CC19" s="404"/>
      <c r="CD19" s="404"/>
      <c r="CE19" s="404"/>
      <c r="CF19" s="404"/>
      <c r="CG19" s="404"/>
      <c r="CH19" s="404"/>
      <c r="CI19" s="404"/>
      <c r="CJ19" s="404"/>
      <c r="CK19" s="404"/>
      <c r="CL19" s="404"/>
      <c r="CM19" s="404"/>
      <c r="CN19" s="404"/>
      <c r="CO19" s="404"/>
      <c r="CP19" s="404"/>
      <c r="CQ19" s="404"/>
      <c r="CR19" s="404"/>
      <c r="CS19" s="404"/>
      <c r="CT19" s="404"/>
      <c r="CU19" s="404"/>
      <c r="CV19" s="404"/>
      <c r="CW19" s="404"/>
      <c r="CX19" s="404"/>
      <c r="CY19" s="404"/>
      <c r="CZ19" s="404"/>
      <c r="DA19" s="404"/>
      <c r="DB19" s="404"/>
      <c r="DC19" s="407"/>
    </row>
    <row r="20" customFormat="false" ht="46.25" hidden="false" customHeight="false" outlineLevel="0" collapsed="false">
      <c r="A20" s="398"/>
      <c r="B20" s="448" t="s">
        <v>568</v>
      </c>
      <c r="C20" s="382" t="n">
        <v>3</v>
      </c>
      <c r="D20" s="445"/>
      <c r="E20" s="407"/>
      <c r="F20" s="406"/>
      <c r="G20" s="404"/>
      <c r="H20" s="404"/>
      <c r="I20" s="407"/>
      <c r="J20" s="403"/>
      <c r="K20" s="404"/>
      <c r="L20" s="404"/>
      <c r="M20" s="404"/>
      <c r="N20" s="405"/>
      <c r="O20" s="406"/>
      <c r="P20" s="404"/>
      <c r="Q20" s="404"/>
      <c r="R20" s="407"/>
      <c r="S20" s="403"/>
      <c r="T20" s="403"/>
      <c r="U20" s="423"/>
      <c r="V20" s="424"/>
      <c r="W20" s="439"/>
      <c r="X20" s="423"/>
      <c r="Y20" s="423"/>
      <c r="Z20" s="440"/>
      <c r="AA20" s="422"/>
      <c r="AB20" s="423"/>
      <c r="AC20" s="423"/>
      <c r="AD20" s="423"/>
      <c r="AE20" s="424"/>
      <c r="AF20" s="449"/>
      <c r="AG20" s="446"/>
      <c r="AH20" s="404"/>
      <c r="AI20" s="407"/>
      <c r="AJ20" s="403"/>
      <c r="AK20" s="404"/>
      <c r="AL20" s="404"/>
      <c r="AM20" s="404"/>
      <c r="AN20" s="405"/>
      <c r="AO20" s="406"/>
      <c r="AP20" s="404"/>
      <c r="AQ20" s="404"/>
      <c r="AR20" s="407"/>
      <c r="AS20" s="403"/>
      <c r="AT20" s="404"/>
      <c r="AU20" s="404"/>
      <c r="AV20" s="405"/>
      <c r="AW20" s="406"/>
      <c r="AX20" s="404"/>
      <c r="AY20" s="404"/>
      <c r="AZ20" s="404"/>
      <c r="BA20" s="407"/>
      <c r="BB20" s="403"/>
      <c r="BC20" s="404"/>
      <c r="BD20" s="404"/>
      <c r="BE20" s="405"/>
      <c r="BF20" s="406"/>
      <c r="BG20" s="404"/>
      <c r="BH20" s="404"/>
      <c r="BI20" s="404"/>
      <c r="BJ20" s="404"/>
      <c r="BK20" s="404"/>
      <c r="BL20" s="404"/>
      <c r="BM20" s="404"/>
      <c r="BN20" s="404"/>
      <c r="BO20" s="404"/>
      <c r="BP20" s="404"/>
      <c r="BQ20" s="404"/>
      <c r="BR20" s="404"/>
      <c r="BS20" s="404"/>
      <c r="BT20" s="404"/>
      <c r="BU20" s="404"/>
      <c r="BV20" s="404"/>
      <c r="BW20" s="404"/>
      <c r="BX20" s="404"/>
      <c r="BY20" s="404"/>
      <c r="BZ20" s="404"/>
      <c r="CA20" s="404"/>
      <c r="CB20" s="404"/>
      <c r="CC20" s="404"/>
      <c r="CD20" s="404"/>
      <c r="CE20" s="404"/>
      <c r="CF20" s="404"/>
      <c r="CG20" s="404"/>
      <c r="CH20" s="404"/>
      <c r="CI20" s="404"/>
      <c r="CJ20" s="404"/>
      <c r="CK20" s="404"/>
      <c r="CL20" s="404"/>
      <c r="CM20" s="404"/>
      <c r="CN20" s="404"/>
      <c r="CO20" s="404"/>
      <c r="CP20" s="404"/>
      <c r="CQ20" s="404"/>
      <c r="CR20" s="404"/>
      <c r="CS20" s="404"/>
      <c r="CT20" s="404"/>
      <c r="CU20" s="404"/>
      <c r="CV20" s="404"/>
      <c r="CW20" s="404"/>
      <c r="CX20" s="404"/>
      <c r="CY20" s="404"/>
      <c r="CZ20" s="404"/>
      <c r="DA20" s="404"/>
      <c r="DB20" s="404"/>
      <c r="DC20" s="407"/>
    </row>
    <row r="21" customFormat="false" ht="25.5" hidden="false" customHeight="true" outlineLevel="0" collapsed="false">
      <c r="A21" s="450" t="s">
        <v>569</v>
      </c>
      <c r="B21" s="448" t="s">
        <v>570</v>
      </c>
      <c r="C21" s="382" t="n">
        <v>3.5</v>
      </c>
      <c r="D21" s="445"/>
      <c r="E21" s="407"/>
      <c r="F21" s="406"/>
      <c r="G21" s="404"/>
      <c r="H21" s="404"/>
      <c r="I21" s="407"/>
      <c r="J21" s="403"/>
      <c r="K21" s="404"/>
      <c r="L21" s="404"/>
      <c r="M21" s="404"/>
      <c r="N21" s="405"/>
      <c r="O21" s="406"/>
      <c r="P21" s="404"/>
      <c r="Q21" s="404"/>
      <c r="R21" s="407"/>
      <c r="S21" s="403"/>
      <c r="T21" s="446"/>
      <c r="U21" s="446"/>
      <c r="V21" s="424"/>
      <c r="W21" s="439"/>
      <c r="X21" s="423"/>
      <c r="Y21" s="423"/>
      <c r="Z21" s="440"/>
      <c r="AA21" s="422"/>
      <c r="AB21" s="423"/>
      <c r="AC21" s="423"/>
      <c r="AD21" s="423"/>
      <c r="AE21" s="424"/>
      <c r="AF21" s="449"/>
      <c r="AG21" s="447"/>
      <c r="AH21" s="423"/>
      <c r="AI21" s="440"/>
      <c r="AJ21" s="403"/>
      <c r="AK21" s="404"/>
      <c r="AL21" s="404"/>
      <c r="AM21" s="404"/>
      <c r="AN21" s="405"/>
      <c r="AO21" s="406"/>
      <c r="AP21" s="404"/>
      <c r="AQ21" s="404"/>
      <c r="AR21" s="407"/>
      <c r="AS21" s="403"/>
      <c r="AT21" s="404"/>
      <c r="AU21" s="404"/>
      <c r="AV21" s="405"/>
      <c r="AW21" s="406"/>
      <c r="AX21" s="404"/>
      <c r="AY21" s="404"/>
      <c r="AZ21" s="404"/>
      <c r="BA21" s="407"/>
      <c r="BB21" s="403"/>
      <c r="BC21" s="404"/>
      <c r="BD21" s="404"/>
      <c r="BE21" s="405"/>
      <c r="BF21" s="406"/>
      <c r="BG21" s="404"/>
      <c r="BH21" s="404"/>
      <c r="BI21" s="404"/>
      <c r="BJ21" s="404"/>
      <c r="BK21" s="404"/>
      <c r="BL21" s="404"/>
      <c r="BM21" s="404"/>
      <c r="BN21" s="404"/>
      <c r="BO21" s="404"/>
      <c r="BP21" s="404"/>
      <c r="BQ21" s="404"/>
      <c r="BR21" s="404"/>
      <c r="BS21" s="404"/>
      <c r="BT21" s="404"/>
      <c r="BU21" s="404"/>
      <c r="BV21" s="404"/>
      <c r="BW21" s="404"/>
      <c r="BX21" s="404"/>
      <c r="BY21" s="404"/>
      <c r="BZ21" s="404"/>
      <c r="CA21" s="404"/>
      <c r="CB21" s="404"/>
      <c r="CC21" s="404"/>
      <c r="CD21" s="404"/>
      <c r="CE21" s="404"/>
      <c r="CF21" s="404"/>
      <c r="CG21" s="404"/>
      <c r="CH21" s="404"/>
      <c r="CI21" s="404"/>
      <c r="CJ21" s="404"/>
      <c r="CK21" s="404"/>
      <c r="CL21" s="404"/>
      <c r="CM21" s="404"/>
      <c r="CN21" s="404"/>
      <c r="CO21" s="404"/>
      <c r="CP21" s="404"/>
      <c r="CQ21" s="404"/>
      <c r="CR21" s="404"/>
      <c r="CS21" s="404"/>
      <c r="CT21" s="404"/>
      <c r="CU21" s="404"/>
      <c r="CV21" s="404"/>
      <c r="CW21" s="404"/>
      <c r="CX21" s="404"/>
      <c r="CY21" s="404"/>
      <c r="CZ21" s="404"/>
      <c r="DA21" s="404"/>
      <c r="DB21" s="404"/>
      <c r="DC21" s="407"/>
    </row>
    <row r="22" customFormat="false" ht="24.45" hidden="false" customHeight="false" outlineLevel="0" collapsed="false">
      <c r="A22" s="450"/>
      <c r="B22" s="448" t="s">
        <v>571</v>
      </c>
      <c r="C22" s="382" t="n">
        <v>3.5</v>
      </c>
      <c r="D22" s="445"/>
      <c r="E22" s="407"/>
      <c r="F22" s="406"/>
      <c r="G22" s="404"/>
      <c r="H22" s="404"/>
      <c r="I22" s="407"/>
      <c r="J22" s="403"/>
      <c r="K22" s="404"/>
      <c r="L22" s="404"/>
      <c r="M22" s="404"/>
      <c r="N22" s="405"/>
      <c r="O22" s="406"/>
      <c r="P22" s="404"/>
      <c r="Q22" s="404"/>
      <c r="R22" s="407"/>
      <c r="S22" s="403"/>
      <c r="T22" s="446"/>
      <c r="U22" s="404"/>
      <c r="V22" s="405"/>
      <c r="W22" s="406"/>
      <c r="X22" s="404"/>
      <c r="Y22" s="423"/>
      <c r="Z22" s="440"/>
      <c r="AA22" s="422"/>
      <c r="AB22" s="423"/>
      <c r="AC22" s="423"/>
      <c r="AD22" s="423"/>
      <c r="AE22" s="424"/>
      <c r="AF22" s="449"/>
      <c r="AG22" s="447"/>
      <c r="AH22" s="423"/>
      <c r="AI22" s="440"/>
      <c r="AJ22" s="422"/>
      <c r="AK22" s="423"/>
      <c r="AL22" s="423"/>
      <c r="AM22" s="423"/>
      <c r="AN22" s="424"/>
      <c r="AO22" s="406"/>
      <c r="AP22" s="404"/>
      <c r="AQ22" s="404"/>
      <c r="AR22" s="407"/>
      <c r="AS22" s="403"/>
      <c r="AT22" s="404"/>
      <c r="AU22" s="404"/>
      <c r="AV22" s="405"/>
      <c r="AW22" s="406"/>
      <c r="AX22" s="404"/>
      <c r="AY22" s="404"/>
      <c r="AZ22" s="404"/>
      <c r="BA22" s="407"/>
      <c r="BB22" s="403"/>
      <c r="BC22" s="404"/>
      <c r="BD22" s="404"/>
      <c r="BE22" s="405"/>
      <c r="BF22" s="406"/>
      <c r="BG22" s="404"/>
      <c r="BH22" s="404"/>
      <c r="BI22" s="404"/>
      <c r="BJ22" s="404"/>
      <c r="BK22" s="404"/>
      <c r="BL22" s="404"/>
      <c r="BM22" s="404"/>
      <c r="BN22" s="404"/>
      <c r="BO22" s="404"/>
      <c r="BP22" s="404"/>
      <c r="BQ22" s="404"/>
      <c r="BR22" s="404"/>
      <c r="BS22" s="404"/>
      <c r="BT22" s="404"/>
      <c r="BU22" s="404"/>
      <c r="BV22" s="404"/>
      <c r="BW22" s="404"/>
      <c r="BX22" s="404"/>
      <c r="BY22" s="404"/>
      <c r="BZ22" s="404"/>
      <c r="CA22" s="404"/>
      <c r="CB22" s="404"/>
      <c r="CC22" s="404"/>
      <c r="CD22" s="404"/>
      <c r="CE22" s="404"/>
      <c r="CF22" s="404"/>
      <c r="CG22" s="404"/>
      <c r="CH22" s="404"/>
      <c r="CI22" s="404"/>
      <c r="CJ22" s="404"/>
      <c r="CK22" s="404"/>
      <c r="CL22" s="404"/>
      <c r="CM22" s="404"/>
      <c r="CN22" s="404"/>
      <c r="CO22" s="404"/>
      <c r="CP22" s="404"/>
      <c r="CQ22" s="404"/>
      <c r="CR22" s="404"/>
      <c r="CS22" s="404"/>
      <c r="CT22" s="404"/>
      <c r="CU22" s="404"/>
      <c r="CV22" s="404"/>
      <c r="CW22" s="404"/>
      <c r="CX22" s="404"/>
      <c r="CY22" s="404"/>
      <c r="CZ22" s="404"/>
      <c r="DA22" s="404"/>
      <c r="DB22" s="404"/>
      <c r="DC22" s="407"/>
    </row>
    <row r="23" customFormat="false" ht="24.45" hidden="false" customHeight="false" outlineLevel="0" collapsed="false">
      <c r="A23" s="450"/>
      <c r="B23" s="448" t="s">
        <v>572</v>
      </c>
      <c r="C23" s="382" t="n">
        <v>7</v>
      </c>
      <c r="D23" s="445"/>
      <c r="E23" s="407"/>
      <c r="F23" s="406"/>
      <c r="G23" s="404"/>
      <c r="H23" s="404"/>
      <c r="I23" s="407"/>
      <c r="J23" s="403"/>
      <c r="K23" s="404"/>
      <c r="L23" s="404"/>
      <c r="M23" s="404"/>
      <c r="N23" s="405"/>
      <c r="O23" s="406"/>
      <c r="P23" s="404"/>
      <c r="Q23" s="404"/>
      <c r="R23" s="407"/>
      <c r="S23" s="408"/>
      <c r="T23" s="447"/>
      <c r="U23" s="423"/>
      <c r="V23" s="424"/>
      <c r="W23" s="439"/>
      <c r="X23" s="423"/>
      <c r="Y23" s="423"/>
      <c r="Z23" s="440"/>
      <c r="AA23" s="422"/>
      <c r="AB23" s="423"/>
      <c r="AC23" s="423"/>
      <c r="AD23" s="423"/>
      <c r="AE23" s="424"/>
      <c r="AF23" s="449"/>
      <c r="AG23" s="447"/>
      <c r="AH23" s="423"/>
      <c r="AI23" s="440"/>
      <c r="AJ23" s="422"/>
      <c r="AK23" s="423"/>
      <c r="AL23" s="423"/>
      <c r="AM23" s="423"/>
      <c r="AN23" s="424"/>
      <c r="AO23" s="439"/>
      <c r="AP23" s="423"/>
      <c r="AQ23" s="423"/>
      <c r="AR23" s="440"/>
      <c r="AS23" s="422"/>
      <c r="AT23" s="423"/>
      <c r="AU23" s="423"/>
      <c r="AV23" s="424"/>
      <c r="AW23" s="406"/>
      <c r="AX23" s="404"/>
      <c r="AY23" s="404"/>
      <c r="AZ23" s="404"/>
      <c r="BA23" s="407"/>
      <c r="BB23" s="403"/>
      <c r="BC23" s="404"/>
      <c r="BD23" s="404"/>
      <c r="BE23" s="405"/>
      <c r="BF23" s="406"/>
      <c r="BG23" s="404"/>
      <c r="BH23" s="404"/>
      <c r="BI23" s="404"/>
      <c r="BJ23" s="404"/>
      <c r="BK23" s="404"/>
      <c r="BL23" s="404"/>
      <c r="BM23" s="404"/>
      <c r="BN23" s="404"/>
      <c r="BO23" s="404"/>
      <c r="BP23" s="404"/>
      <c r="BQ23" s="404"/>
      <c r="BR23" s="404"/>
      <c r="BS23" s="404"/>
      <c r="BT23" s="404"/>
      <c r="BU23" s="404"/>
      <c r="BV23" s="404"/>
      <c r="BW23" s="404"/>
      <c r="BX23" s="404"/>
      <c r="BY23" s="404"/>
      <c r="BZ23" s="404"/>
      <c r="CA23" s="404"/>
      <c r="CB23" s="404"/>
      <c r="CC23" s="404"/>
      <c r="CD23" s="404"/>
      <c r="CE23" s="404"/>
      <c r="CF23" s="404"/>
      <c r="CG23" s="404"/>
      <c r="CH23" s="404"/>
      <c r="CI23" s="404"/>
      <c r="CJ23" s="404"/>
      <c r="CK23" s="404"/>
      <c r="CL23" s="404"/>
      <c r="CM23" s="404"/>
      <c r="CN23" s="404"/>
      <c r="CO23" s="404"/>
      <c r="CP23" s="404"/>
      <c r="CQ23" s="404"/>
      <c r="CR23" s="404"/>
      <c r="CS23" s="404"/>
      <c r="CT23" s="404"/>
      <c r="CU23" s="404"/>
      <c r="CV23" s="404"/>
      <c r="CW23" s="404"/>
      <c r="CX23" s="404"/>
      <c r="CY23" s="404"/>
      <c r="CZ23" s="404"/>
      <c r="DA23" s="404"/>
      <c r="DB23" s="404"/>
      <c r="DC23" s="407"/>
    </row>
    <row r="24" customFormat="false" ht="24.45" hidden="false" customHeight="false" outlineLevel="0" collapsed="false">
      <c r="A24" s="450"/>
      <c r="B24" s="448" t="s">
        <v>573</v>
      </c>
      <c r="C24" s="382" t="n">
        <v>3.5</v>
      </c>
      <c r="D24" s="406"/>
      <c r="E24" s="407"/>
      <c r="F24" s="406"/>
      <c r="G24" s="404"/>
      <c r="H24" s="404"/>
      <c r="I24" s="407"/>
      <c r="J24" s="403"/>
      <c r="K24" s="404"/>
      <c r="L24" s="404"/>
      <c r="M24" s="404"/>
      <c r="N24" s="405"/>
      <c r="O24" s="406"/>
      <c r="P24" s="404"/>
      <c r="Q24" s="404"/>
      <c r="R24" s="407"/>
      <c r="S24" s="403"/>
      <c r="T24" s="446"/>
      <c r="U24" s="404"/>
      <c r="V24" s="405"/>
      <c r="W24" s="439"/>
      <c r="X24" s="423"/>
      <c r="Y24" s="423"/>
      <c r="Z24" s="440"/>
      <c r="AA24" s="422"/>
      <c r="AB24" s="423"/>
      <c r="AC24" s="423"/>
      <c r="AD24" s="423"/>
      <c r="AE24" s="424"/>
      <c r="AF24" s="449"/>
      <c r="AG24" s="447"/>
      <c r="AH24" s="423"/>
      <c r="AI24" s="440"/>
      <c r="AJ24" s="422"/>
      <c r="AK24" s="423"/>
      <c r="AL24" s="423"/>
      <c r="AM24" s="404"/>
      <c r="AN24" s="405"/>
      <c r="AO24" s="406"/>
      <c r="AP24" s="404"/>
      <c r="AQ24" s="404"/>
      <c r="AR24" s="407"/>
      <c r="AS24" s="403"/>
      <c r="AT24" s="404"/>
      <c r="AU24" s="404"/>
      <c r="AV24" s="405"/>
      <c r="AW24" s="406"/>
      <c r="AX24" s="404"/>
      <c r="AY24" s="404"/>
      <c r="AZ24" s="404"/>
      <c r="BA24" s="407"/>
      <c r="BB24" s="403"/>
      <c r="BC24" s="404"/>
      <c r="BD24" s="404"/>
      <c r="BE24" s="405"/>
      <c r="BF24" s="406"/>
      <c r="BG24" s="404"/>
      <c r="BH24" s="404"/>
      <c r="BI24" s="404"/>
      <c r="BJ24" s="404"/>
      <c r="BK24" s="404"/>
      <c r="BL24" s="404"/>
      <c r="BM24" s="404"/>
      <c r="BN24" s="404"/>
      <c r="BO24" s="404"/>
      <c r="BP24" s="404"/>
      <c r="BQ24" s="404"/>
      <c r="BR24" s="404"/>
      <c r="BS24" s="404"/>
      <c r="BT24" s="404"/>
      <c r="BU24" s="404"/>
      <c r="BV24" s="404"/>
      <c r="BW24" s="404"/>
      <c r="BX24" s="404"/>
      <c r="BY24" s="404"/>
      <c r="BZ24" s="404"/>
      <c r="CA24" s="404"/>
      <c r="CB24" s="404"/>
      <c r="CC24" s="404"/>
      <c r="CD24" s="404"/>
      <c r="CE24" s="404"/>
      <c r="CF24" s="404"/>
      <c r="CG24" s="404"/>
      <c r="CH24" s="404"/>
      <c r="CI24" s="404"/>
      <c r="CJ24" s="404"/>
      <c r="CK24" s="404"/>
      <c r="CL24" s="404"/>
      <c r="CM24" s="404"/>
      <c r="CN24" s="404"/>
      <c r="CO24" s="404"/>
      <c r="CP24" s="404"/>
      <c r="CQ24" s="404"/>
      <c r="CR24" s="404"/>
      <c r="CS24" s="404"/>
      <c r="CT24" s="404"/>
      <c r="CU24" s="404"/>
      <c r="CV24" s="404"/>
      <c r="CW24" s="404"/>
      <c r="CX24" s="404"/>
      <c r="CY24" s="404"/>
      <c r="CZ24" s="404"/>
      <c r="DA24" s="404"/>
      <c r="DB24" s="404"/>
      <c r="DC24" s="407"/>
    </row>
    <row r="25" customFormat="false" ht="24.45" hidden="false" customHeight="false" outlineLevel="0" collapsed="false">
      <c r="A25" s="450"/>
      <c r="B25" s="448" t="s">
        <v>574</v>
      </c>
      <c r="C25" s="382" t="n">
        <v>3.75</v>
      </c>
      <c r="D25" s="406"/>
      <c r="E25" s="407"/>
      <c r="F25" s="406"/>
      <c r="G25" s="404"/>
      <c r="H25" s="404"/>
      <c r="I25" s="407"/>
      <c r="J25" s="403"/>
      <c r="K25" s="404"/>
      <c r="L25" s="404"/>
      <c r="M25" s="404"/>
      <c r="N25" s="405"/>
      <c r="O25" s="406"/>
      <c r="P25" s="404"/>
      <c r="Q25" s="404"/>
      <c r="R25" s="407"/>
      <c r="S25" s="403"/>
      <c r="T25" s="446"/>
      <c r="U25" s="404"/>
      <c r="V25" s="405"/>
      <c r="W25" s="406"/>
      <c r="X25" s="404"/>
      <c r="Y25" s="404"/>
      <c r="Z25" s="407"/>
      <c r="AA25" s="403"/>
      <c r="AB25" s="404"/>
      <c r="AC25" s="404"/>
      <c r="AD25" s="404"/>
      <c r="AE25" s="405"/>
      <c r="AF25" s="441"/>
      <c r="AG25" s="447"/>
      <c r="AH25" s="423"/>
      <c r="AI25" s="440"/>
      <c r="AJ25" s="422"/>
      <c r="AK25" s="423"/>
      <c r="AL25" s="423"/>
      <c r="AM25" s="423"/>
      <c r="AN25" s="424"/>
      <c r="AO25" s="439"/>
      <c r="AP25" s="423"/>
      <c r="AQ25" s="423"/>
      <c r="AR25" s="440"/>
      <c r="AS25" s="422"/>
      <c r="AT25" s="423"/>
      <c r="AU25" s="423"/>
      <c r="AV25" s="424"/>
      <c r="AW25" s="406"/>
      <c r="AX25" s="404"/>
      <c r="AY25" s="404"/>
      <c r="AZ25" s="404"/>
      <c r="BA25" s="407"/>
      <c r="BB25" s="403"/>
      <c r="BC25" s="404"/>
      <c r="BD25" s="404"/>
      <c r="BE25" s="405"/>
      <c r="BF25" s="406"/>
      <c r="BG25" s="404"/>
      <c r="BH25" s="404"/>
      <c r="BI25" s="404"/>
      <c r="BJ25" s="404"/>
      <c r="BK25" s="404"/>
      <c r="BL25" s="404"/>
      <c r="BM25" s="404"/>
      <c r="BN25" s="404"/>
      <c r="BO25" s="404"/>
      <c r="BP25" s="404"/>
      <c r="BQ25" s="404"/>
      <c r="BR25" s="404"/>
      <c r="BS25" s="404"/>
      <c r="BT25" s="404"/>
      <c r="BU25" s="404"/>
      <c r="BV25" s="404"/>
      <c r="BW25" s="404"/>
      <c r="BX25" s="404"/>
      <c r="BY25" s="404"/>
      <c r="BZ25" s="404"/>
      <c r="CA25" s="404"/>
      <c r="CB25" s="404"/>
      <c r="CC25" s="404"/>
      <c r="CD25" s="404"/>
      <c r="CE25" s="404"/>
      <c r="CF25" s="404"/>
      <c r="CG25" s="404"/>
      <c r="CH25" s="404"/>
      <c r="CI25" s="404"/>
      <c r="CJ25" s="404"/>
      <c r="CK25" s="404"/>
      <c r="CL25" s="404"/>
      <c r="CM25" s="404"/>
      <c r="CN25" s="404"/>
      <c r="CO25" s="404"/>
      <c r="CP25" s="404"/>
      <c r="CQ25" s="404"/>
      <c r="CR25" s="404"/>
      <c r="CS25" s="404"/>
      <c r="CT25" s="404"/>
      <c r="CU25" s="404"/>
      <c r="CV25" s="404"/>
      <c r="CW25" s="404"/>
      <c r="CX25" s="404"/>
      <c r="CY25" s="404"/>
      <c r="CZ25" s="404"/>
      <c r="DA25" s="404"/>
      <c r="DB25" s="404"/>
      <c r="DC25" s="407"/>
    </row>
    <row r="26" customFormat="false" ht="46.25" hidden="false" customHeight="false" outlineLevel="0" collapsed="false">
      <c r="A26" s="450"/>
      <c r="B26" s="451" t="s">
        <v>575</v>
      </c>
      <c r="C26" s="382" t="n">
        <v>4</v>
      </c>
      <c r="D26" s="406"/>
      <c r="E26" s="407"/>
      <c r="F26" s="406"/>
      <c r="G26" s="404"/>
      <c r="H26" s="404"/>
      <c r="I26" s="407"/>
      <c r="J26" s="403"/>
      <c r="K26" s="404"/>
      <c r="L26" s="404"/>
      <c r="M26" s="404"/>
      <c r="N26" s="405"/>
      <c r="O26" s="406"/>
      <c r="P26" s="404"/>
      <c r="Q26" s="404"/>
      <c r="R26" s="407"/>
      <c r="S26" s="403"/>
      <c r="T26" s="404"/>
      <c r="U26" s="404"/>
      <c r="V26" s="405"/>
      <c r="W26" s="406"/>
      <c r="X26" s="404"/>
      <c r="Y26" s="404"/>
      <c r="Z26" s="407"/>
      <c r="AA26" s="422"/>
      <c r="AB26" s="423"/>
      <c r="AC26" s="423"/>
      <c r="AD26" s="423"/>
      <c r="AE26" s="424"/>
      <c r="AF26" s="439"/>
      <c r="AG26" s="423"/>
      <c r="AH26" s="423"/>
      <c r="AI26" s="440"/>
      <c r="AJ26" s="422"/>
      <c r="AK26" s="423"/>
      <c r="AL26" s="423"/>
      <c r="AM26" s="423"/>
      <c r="AN26" s="424"/>
      <c r="AO26" s="439"/>
      <c r="AP26" s="423"/>
      <c r="AQ26" s="423"/>
      <c r="AR26" s="440"/>
      <c r="AS26" s="403"/>
      <c r="AT26" s="404"/>
      <c r="AU26" s="404"/>
      <c r="AV26" s="405"/>
      <c r="AW26" s="406"/>
      <c r="AX26" s="404"/>
      <c r="AY26" s="404"/>
      <c r="AZ26" s="404"/>
      <c r="BA26" s="407"/>
      <c r="BB26" s="403"/>
      <c r="BC26" s="404"/>
      <c r="BD26" s="404"/>
      <c r="BE26" s="405"/>
      <c r="BF26" s="406"/>
      <c r="BG26" s="404"/>
      <c r="BH26" s="404"/>
      <c r="BI26" s="404"/>
      <c r="BJ26" s="404"/>
      <c r="BK26" s="404"/>
      <c r="BL26" s="404"/>
      <c r="BM26" s="404"/>
      <c r="BN26" s="404"/>
      <c r="BO26" s="404"/>
      <c r="BP26" s="404"/>
      <c r="BQ26" s="404"/>
      <c r="BR26" s="404"/>
      <c r="BS26" s="404"/>
      <c r="BT26" s="404"/>
      <c r="BU26" s="404"/>
      <c r="BV26" s="404"/>
      <c r="BW26" s="404"/>
      <c r="BX26" s="404"/>
      <c r="BY26" s="404"/>
      <c r="BZ26" s="404"/>
      <c r="CA26" s="404"/>
      <c r="CB26" s="404"/>
      <c r="CC26" s="404"/>
      <c r="CD26" s="404"/>
      <c r="CE26" s="404"/>
      <c r="CF26" s="404"/>
      <c r="CG26" s="404"/>
      <c r="CH26" s="404"/>
      <c r="CI26" s="404"/>
      <c r="CJ26" s="404"/>
      <c r="CK26" s="404"/>
      <c r="CL26" s="404"/>
      <c r="CM26" s="404"/>
      <c r="CN26" s="404"/>
      <c r="CO26" s="404"/>
      <c r="CP26" s="404"/>
      <c r="CQ26" s="404"/>
      <c r="CR26" s="404"/>
      <c r="CS26" s="404"/>
      <c r="CT26" s="404"/>
      <c r="CU26" s="404"/>
      <c r="CV26" s="404"/>
      <c r="CW26" s="404"/>
      <c r="CX26" s="404"/>
      <c r="CY26" s="404"/>
      <c r="CZ26" s="404"/>
      <c r="DA26" s="404"/>
      <c r="DB26" s="404"/>
      <c r="DC26" s="407"/>
    </row>
    <row r="27" customFormat="false" ht="46.25" hidden="false" customHeight="true" outlineLevel="0" collapsed="false">
      <c r="A27" s="452" t="s">
        <v>576</v>
      </c>
      <c r="B27" s="451" t="s">
        <v>577</v>
      </c>
      <c r="C27" s="382" t="n">
        <v>3</v>
      </c>
      <c r="D27" s="406"/>
      <c r="E27" s="407"/>
      <c r="F27" s="406"/>
      <c r="G27" s="404"/>
      <c r="H27" s="404"/>
      <c r="I27" s="407"/>
      <c r="J27" s="403"/>
      <c r="K27" s="404"/>
      <c r="L27" s="404"/>
      <c r="M27" s="404"/>
      <c r="N27" s="405"/>
      <c r="O27" s="406"/>
      <c r="P27" s="404"/>
      <c r="Q27" s="404"/>
      <c r="R27" s="407"/>
      <c r="S27" s="403"/>
      <c r="T27" s="404"/>
      <c r="U27" s="404"/>
      <c r="V27" s="405"/>
      <c r="W27" s="406"/>
      <c r="X27" s="404"/>
      <c r="Y27" s="404"/>
      <c r="Z27" s="407"/>
      <c r="AA27" s="403"/>
      <c r="AB27" s="404"/>
      <c r="AC27" s="404"/>
      <c r="AD27" s="404"/>
      <c r="AE27" s="405"/>
      <c r="AF27" s="406"/>
      <c r="AG27" s="404"/>
      <c r="AH27" s="404"/>
      <c r="AI27" s="407"/>
      <c r="AJ27" s="403"/>
      <c r="AK27" s="404"/>
      <c r="AL27" s="404"/>
      <c r="AM27" s="404"/>
      <c r="AN27" s="405"/>
      <c r="AO27" s="406"/>
      <c r="AP27" s="404"/>
      <c r="AQ27" s="404"/>
      <c r="AR27" s="407"/>
      <c r="AS27" s="422"/>
      <c r="AT27" s="423"/>
      <c r="AU27" s="423"/>
      <c r="AV27" s="424"/>
      <c r="AW27" s="439"/>
      <c r="AX27" s="423"/>
      <c r="AY27" s="423"/>
      <c r="AZ27" s="423"/>
      <c r="BA27" s="440"/>
      <c r="BB27" s="422"/>
      <c r="BC27" s="423"/>
      <c r="BD27" s="423"/>
      <c r="BE27" s="424"/>
      <c r="BF27" s="406"/>
      <c r="BG27" s="404"/>
      <c r="BH27" s="404"/>
      <c r="BI27" s="404"/>
      <c r="BJ27" s="404"/>
      <c r="BK27" s="404"/>
      <c r="BL27" s="404"/>
      <c r="BM27" s="404"/>
      <c r="BN27" s="404"/>
      <c r="BO27" s="404"/>
      <c r="BP27" s="404"/>
      <c r="BQ27" s="404"/>
      <c r="BR27" s="404"/>
      <c r="BS27" s="404"/>
      <c r="BT27" s="404"/>
      <c r="BU27" s="404"/>
      <c r="BV27" s="404"/>
      <c r="BW27" s="404"/>
      <c r="BX27" s="404"/>
      <c r="BY27" s="404"/>
      <c r="BZ27" s="404"/>
      <c r="CA27" s="404"/>
      <c r="CB27" s="404"/>
      <c r="CC27" s="404"/>
      <c r="CD27" s="404"/>
      <c r="CE27" s="404"/>
      <c r="CF27" s="404"/>
      <c r="CG27" s="404"/>
      <c r="CH27" s="404"/>
      <c r="CI27" s="404"/>
      <c r="CJ27" s="404"/>
      <c r="CK27" s="404"/>
      <c r="CL27" s="404"/>
      <c r="CM27" s="404"/>
      <c r="CN27" s="404"/>
      <c r="CO27" s="404"/>
      <c r="CP27" s="404"/>
      <c r="CQ27" s="404"/>
      <c r="CR27" s="404"/>
      <c r="CS27" s="404"/>
      <c r="CT27" s="404"/>
      <c r="CU27" s="404"/>
      <c r="CV27" s="404"/>
      <c r="CW27" s="404"/>
      <c r="CX27" s="404"/>
      <c r="CY27" s="404"/>
      <c r="CZ27" s="404"/>
      <c r="DA27" s="404"/>
      <c r="DB27" s="404"/>
      <c r="DC27" s="407"/>
    </row>
    <row r="28" customFormat="false" ht="24.45" hidden="false" customHeight="false" outlineLevel="0" collapsed="false">
      <c r="A28" s="452"/>
      <c r="B28" s="451" t="s">
        <v>578</v>
      </c>
      <c r="C28" s="382" t="n">
        <v>5</v>
      </c>
      <c r="D28" s="406"/>
      <c r="E28" s="407"/>
      <c r="F28" s="406"/>
      <c r="G28" s="404"/>
      <c r="H28" s="404"/>
      <c r="I28" s="407"/>
      <c r="J28" s="403"/>
      <c r="K28" s="404"/>
      <c r="L28" s="404"/>
      <c r="M28" s="404"/>
      <c r="N28" s="405"/>
      <c r="O28" s="406"/>
      <c r="P28" s="404"/>
      <c r="Q28" s="404"/>
      <c r="R28" s="407"/>
      <c r="S28" s="403"/>
      <c r="T28" s="404"/>
      <c r="U28" s="404"/>
      <c r="V28" s="405"/>
      <c r="W28" s="406"/>
      <c r="X28" s="404"/>
      <c r="Y28" s="404"/>
      <c r="Z28" s="407"/>
      <c r="AA28" s="403"/>
      <c r="AB28" s="404"/>
      <c r="AC28" s="404"/>
      <c r="AD28" s="404"/>
      <c r="AE28" s="405"/>
      <c r="AF28" s="406"/>
      <c r="AG28" s="404"/>
      <c r="AH28" s="404"/>
      <c r="AI28" s="407"/>
      <c r="AJ28" s="422"/>
      <c r="AK28" s="423"/>
      <c r="AL28" s="423"/>
      <c r="AM28" s="423"/>
      <c r="AN28" s="424"/>
      <c r="AO28" s="439"/>
      <c r="AP28" s="423"/>
      <c r="AQ28" s="423"/>
      <c r="AR28" s="440"/>
      <c r="AS28" s="422"/>
      <c r="AT28" s="423"/>
      <c r="AU28" s="423"/>
      <c r="AV28" s="424"/>
      <c r="AW28" s="439"/>
      <c r="AX28" s="423"/>
      <c r="AY28" s="423"/>
      <c r="AZ28" s="423"/>
      <c r="BA28" s="440"/>
      <c r="BB28" s="422"/>
      <c r="BC28" s="423"/>
      <c r="BD28" s="423"/>
      <c r="BE28" s="424"/>
      <c r="BF28" s="406"/>
      <c r="BG28" s="404"/>
      <c r="BH28" s="404"/>
      <c r="BI28" s="404"/>
      <c r="BJ28" s="404"/>
      <c r="BK28" s="404"/>
      <c r="BL28" s="404"/>
      <c r="BM28" s="404"/>
      <c r="BN28" s="404"/>
      <c r="BO28" s="404"/>
      <c r="BP28" s="404"/>
      <c r="BQ28" s="404"/>
      <c r="BR28" s="404"/>
      <c r="BS28" s="404"/>
      <c r="BT28" s="404"/>
      <c r="BU28" s="404"/>
      <c r="BV28" s="404"/>
      <c r="BW28" s="404"/>
      <c r="BX28" s="404"/>
      <c r="BY28" s="404"/>
      <c r="BZ28" s="404"/>
      <c r="CA28" s="404"/>
      <c r="CB28" s="404"/>
      <c r="CC28" s="404"/>
      <c r="CD28" s="404"/>
      <c r="CE28" s="404"/>
      <c r="CF28" s="404"/>
      <c r="CG28" s="404"/>
      <c r="CH28" s="404"/>
      <c r="CI28" s="404"/>
      <c r="CJ28" s="404"/>
      <c r="CK28" s="404"/>
      <c r="CL28" s="404"/>
      <c r="CM28" s="404"/>
      <c r="CN28" s="404"/>
      <c r="CO28" s="404"/>
      <c r="CP28" s="404"/>
      <c r="CQ28" s="404"/>
      <c r="CR28" s="404"/>
      <c r="CS28" s="404"/>
      <c r="CT28" s="404"/>
      <c r="CU28" s="404"/>
      <c r="CV28" s="404"/>
      <c r="CW28" s="404"/>
      <c r="CX28" s="404"/>
      <c r="CY28" s="404"/>
      <c r="CZ28" s="404"/>
      <c r="DA28" s="404"/>
      <c r="DB28" s="404"/>
      <c r="DC28" s="407"/>
    </row>
    <row r="29" customFormat="false" ht="24.45" hidden="false" customHeight="false" outlineLevel="0" collapsed="false">
      <c r="A29" s="452"/>
      <c r="B29" s="451" t="s">
        <v>579</v>
      </c>
      <c r="C29" s="382" t="n">
        <v>4</v>
      </c>
      <c r="D29" s="406"/>
      <c r="E29" s="407"/>
      <c r="F29" s="406"/>
      <c r="G29" s="404"/>
      <c r="H29" s="404"/>
      <c r="I29" s="407"/>
      <c r="J29" s="403"/>
      <c r="K29" s="404"/>
      <c r="L29" s="404"/>
      <c r="M29" s="404"/>
      <c r="N29" s="405"/>
      <c r="O29" s="406"/>
      <c r="P29" s="404"/>
      <c r="Q29" s="404"/>
      <c r="R29" s="407"/>
      <c r="S29" s="403"/>
      <c r="T29" s="404"/>
      <c r="U29" s="404"/>
      <c r="V29" s="405"/>
      <c r="W29" s="406"/>
      <c r="X29" s="404"/>
      <c r="Y29" s="404"/>
      <c r="Z29" s="407"/>
      <c r="AA29" s="403"/>
      <c r="AB29" s="404"/>
      <c r="AC29" s="404"/>
      <c r="AD29" s="404"/>
      <c r="AE29" s="405"/>
      <c r="AF29" s="406"/>
      <c r="AG29" s="404"/>
      <c r="AH29" s="423"/>
      <c r="AI29" s="440"/>
      <c r="AJ29" s="422"/>
      <c r="AK29" s="423"/>
      <c r="AL29" s="423"/>
      <c r="AM29" s="423"/>
      <c r="AN29" s="424"/>
      <c r="AO29" s="439"/>
      <c r="AP29" s="423"/>
      <c r="AQ29" s="423"/>
      <c r="AR29" s="440"/>
      <c r="AS29" s="422"/>
      <c r="AT29" s="423"/>
      <c r="AU29" s="423"/>
      <c r="AV29" s="424"/>
      <c r="AW29" s="439"/>
      <c r="AX29" s="423"/>
      <c r="AY29" s="423"/>
      <c r="AZ29" s="404"/>
      <c r="BA29" s="407"/>
      <c r="BB29" s="403"/>
      <c r="BC29" s="404"/>
      <c r="BD29" s="404"/>
      <c r="BE29" s="405"/>
      <c r="BF29" s="406"/>
      <c r="BG29" s="404"/>
      <c r="BH29" s="404"/>
      <c r="BI29" s="404"/>
      <c r="BJ29" s="404"/>
      <c r="BK29" s="404"/>
      <c r="BL29" s="404"/>
      <c r="BM29" s="404"/>
      <c r="BN29" s="404"/>
      <c r="BO29" s="404"/>
      <c r="BP29" s="404"/>
      <c r="BQ29" s="404"/>
      <c r="BR29" s="404"/>
      <c r="BS29" s="404"/>
      <c r="BT29" s="404"/>
      <c r="BU29" s="404"/>
      <c r="BV29" s="404"/>
      <c r="BW29" s="404"/>
      <c r="BX29" s="404"/>
      <c r="BY29" s="404"/>
      <c r="BZ29" s="404"/>
      <c r="CA29" s="404"/>
      <c r="CB29" s="404"/>
      <c r="CC29" s="404"/>
      <c r="CD29" s="404"/>
      <c r="CE29" s="404"/>
      <c r="CF29" s="404"/>
      <c r="CG29" s="404"/>
      <c r="CH29" s="404"/>
      <c r="CI29" s="404"/>
      <c r="CJ29" s="404"/>
      <c r="CK29" s="404"/>
      <c r="CL29" s="404"/>
      <c r="CM29" s="404"/>
      <c r="CN29" s="404"/>
      <c r="CO29" s="404"/>
      <c r="CP29" s="404"/>
      <c r="CQ29" s="404"/>
      <c r="CR29" s="404"/>
      <c r="CS29" s="404"/>
      <c r="CT29" s="404"/>
      <c r="CU29" s="404"/>
      <c r="CV29" s="404"/>
      <c r="CW29" s="404"/>
      <c r="CX29" s="404"/>
      <c r="CY29" s="404"/>
      <c r="CZ29" s="404"/>
      <c r="DA29" s="404"/>
      <c r="DB29" s="404"/>
      <c r="DC29" s="407"/>
    </row>
    <row r="30" customFormat="false" ht="24.45" hidden="false" customHeight="false" outlineLevel="0" collapsed="false">
      <c r="A30" s="452"/>
      <c r="B30" s="451" t="s">
        <v>580</v>
      </c>
      <c r="C30" s="382" t="n">
        <v>2</v>
      </c>
      <c r="D30" s="406"/>
      <c r="E30" s="407"/>
      <c r="F30" s="406"/>
      <c r="G30" s="404"/>
      <c r="H30" s="404"/>
      <c r="I30" s="407"/>
      <c r="J30" s="403"/>
      <c r="K30" s="404"/>
      <c r="L30" s="404"/>
      <c r="M30" s="404"/>
      <c r="N30" s="405"/>
      <c r="O30" s="406"/>
      <c r="P30" s="404"/>
      <c r="Q30" s="404"/>
      <c r="R30" s="407"/>
      <c r="S30" s="403"/>
      <c r="T30" s="404"/>
      <c r="U30" s="404"/>
      <c r="V30" s="405"/>
      <c r="W30" s="406"/>
      <c r="X30" s="404"/>
      <c r="Y30" s="404"/>
      <c r="Z30" s="407"/>
      <c r="AA30" s="403"/>
      <c r="AB30" s="404"/>
      <c r="AC30" s="404"/>
      <c r="AD30" s="404"/>
      <c r="AE30" s="405"/>
      <c r="AF30" s="406"/>
      <c r="AG30" s="404"/>
      <c r="AH30" s="404"/>
      <c r="AI30" s="407"/>
      <c r="AJ30" s="403"/>
      <c r="AK30" s="404"/>
      <c r="AL30" s="404"/>
      <c r="AM30" s="404"/>
      <c r="AN30" s="405"/>
      <c r="AO30" s="406"/>
      <c r="AP30" s="404"/>
      <c r="AQ30" s="404"/>
      <c r="AR30" s="407"/>
      <c r="AS30" s="403"/>
      <c r="AT30" s="404"/>
      <c r="AU30" s="404"/>
      <c r="AV30" s="405"/>
      <c r="AW30" s="406"/>
      <c r="AX30" s="404"/>
      <c r="AY30" s="404"/>
      <c r="AZ30" s="423"/>
      <c r="BA30" s="440"/>
      <c r="BB30" s="422"/>
      <c r="BC30" s="423"/>
      <c r="BD30" s="423"/>
      <c r="BE30" s="424"/>
      <c r="BF30" s="439"/>
      <c r="BG30" s="423"/>
      <c r="BH30" s="404"/>
      <c r="BI30" s="404"/>
      <c r="BJ30" s="404"/>
      <c r="BK30" s="404"/>
      <c r="BL30" s="404"/>
      <c r="BM30" s="404"/>
      <c r="BN30" s="404"/>
      <c r="BO30" s="404"/>
      <c r="BP30" s="404"/>
      <c r="BQ30" s="404"/>
      <c r="BR30" s="404"/>
      <c r="BS30" s="404"/>
      <c r="BT30" s="404"/>
      <c r="BU30" s="404"/>
      <c r="BV30" s="404"/>
      <c r="BW30" s="404"/>
      <c r="BX30" s="404"/>
      <c r="BY30" s="404"/>
      <c r="BZ30" s="404"/>
      <c r="CA30" s="404"/>
      <c r="CB30" s="404"/>
      <c r="CC30" s="404"/>
      <c r="CD30" s="404"/>
      <c r="CE30" s="404"/>
      <c r="CF30" s="404"/>
      <c r="CG30" s="404"/>
      <c r="CH30" s="404"/>
      <c r="CI30" s="404"/>
      <c r="CJ30" s="404"/>
      <c r="CK30" s="404"/>
      <c r="CL30" s="404"/>
      <c r="CM30" s="404"/>
      <c r="CN30" s="404"/>
      <c r="CO30" s="404"/>
      <c r="CP30" s="404"/>
      <c r="CQ30" s="404"/>
      <c r="CR30" s="404"/>
      <c r="CS30" s="404"/>
      <c r="CT30" s="404"/>
      <c r="CU30" s="404"/>
      <c r="CV30" s="404"/>
      <c r="CW30" s="404"/>
      <c r="CX30" s="404"/>
      <c r="CY30" s="404"/>
      <c r="CZ30" s="404"/>
      <c r="DA30" s="404"/>
      <c r="DB30" s="404"/>
      <c r="DC30" s="407"/>
    </row>
    <row r="31" customFormat="false" ht="24.45" hidden="false" customHeight="false" outlineLevel="0" collapsed="false">
      <c r="A31" s="453" t="s">
        <v>132</v>
      </c>
      <c r="B31" s="451" t="s">
        <v>581</v>
      </c>
      <c r="C31" s="382" t="n">
        <v>7</v>
      </c>
      <c r="D31" s="406"/>
      <c r="E31" s="407"/>
      <c r="F31" s="406"/>
      <c r="G31" s="404"/>
      <c r="H31" s="404"/>
      <c r="I31" s="407"/>
      <c r="J31" s="403"/>
      <c r="K31" s="404"/>
      <c r="L31" s="404"/>
      <c r="M31" s="404"/>
      <c r="N31" s="405"/>
      <c r="O31" s="406"/>
      <c r="P31" s="404"/>
      <c r="Q31" s="404"/>
      <c r="R31" s="407"/>
      <c r="S31" s="403"/>
      <c r="T31" s="404"/>
      <c r="U31" s="404"/>
      <c r="V31" s="405"/>
      <c r="W31" s="439"/>
      <c r="X31" s="423"/>
      <c r="Y31" s="423"/>
      <c r="Z31" s="440"/>
      <c r="AA31" s="422"/>
      <c r="AB31" s="423"/>
      <c r="AC31" s="423"/>
      <c r="AD31" s="423"/>
      <c r="AE31" s="424"/>
      <c r="AF31" s="439"/>
      <c r="AG31" s="423"/>
      <c r="AH31" s="423"/>
      <c r="AI31" s="440"/>
      <c r="AJ31" s="422"/>
      <c r="AK31" s="423"/>
      <c r="AL31" s="423"/>
      <c r="AM31" s="423"/>
      <c r="AN31" s="424"/>
      <c r="AO31" s="439"/>
      <c r="AP31" s="423"/>
      <c r="AQ31" s="423"/>
      <c r="AR31" s="440"/>
      <c r="AS31" s="422"/>
      <c r="AT31" s="423"/>
      <c r="AU31" s="423"/>
      <c r="AV31" s="424"/>
      <c r="AW31" s="439"/>
      <c r="AX31" s="423"/>
      <c r="AY31" s="423"/>
      <c r="AZ31" s="423"/>
      <c r="BA31" s="440"/>
      <c r="BB31" s="403"/>
      <c r="BC31" s="404"/>
      <c r="BD31" s="404"/>
      <c r="BE31" s="405"/>
      <c r="BF31" s="406"/>
      <c r="BG31" s="404"/>
      <c r="BH31" s="404"/>
      <c r="BI31" s="404"/>
      <c r="BJ31" s="404"/>
      <c r="BK31" s="404"/>
      <c r="BL31" s="404"/>
      <c r="BM31" s="404"/>
      <c r="BN31" s="404"/>
      <c r="BO31" s="404"/>
      <c r="BP31" s="404"/>
      <c r="BQ31" s="404"/>
      <c r="BR31" s="404"/>
      <c r="BS31" s="404"/>
      <c r="BT31" s="404"/>
      <c r="BU31" s="404"/>
      <c r="BV31" s="404"/>
      <c r="BW31" s="404"/>
      <c r="BX31" s="404"/>
      <c r="BY31" s="404"/>
      <c r="BZ31" s="404"/>
      <c r="CA31" s="404"/>
      <c r="CB31" s="404"/>
      <c r="CC31" s="404"/>
      <c r="CD31" s="404"/>
      <c r="CE31" s="404"/>
      <c r="CF31" s="404"/>
      <c r="CG31" s="404"/>
      <c r="CH31" s="404"/>
      <c r="CI31" s="404"/>
      <c r="CJ31" s="404"/>
      <c r="CK31" s="404"/>
      <c r="CL31" s="404"/>
      <c r="CM31" s="404"/>
      <c r="CN31" s="404"/>
      <c r="CO31" s="404"/>
      <c r="CP31" s="404"/>
      <c r="CQ31" s="404"/>
      <c r="CR31" s="404"/>
      <c r="CS31" s="404"/>
      <c r="CT31" s="404"/>
      <c r="CU31" s="404"/>
      <c r="CV31" s="404"/>
      <c r="CW31" s="404"/>
      <c r="CX31" s="404"/>
      <c r="CY31" s="404"/>
      <c r="CZ31" s="404"/>
      <c r="DA31" s="404"/>
      <c r="DB31" s="404"/>
      <c r="DC31" s="407"/>
    </row>
    <row r="32" customFormat="false" ht="24.45" hidden="false" customHeight="true" outlineLevel="0" collapsed="false">
      <c r="A32" s="398" t="s">
        <v>582</v>
      </c>
      <c r="B32" s="451" t="s">
        <v>583</v>
      </c>
      <c r="C32" s="382" t="n">
        <v>3</v>
      </c>
      <c r="D32" s="406"/>
      <c r="E32" s="407"/>
      <c r="F32" s="406"/>
      <c r="G32" s="404"/>
      <c r="H32" s="404"/>
      <c r="I32" s="407"/>
      <c r="J32" s="403"/>
      <c r="K32" s="404"/>
      <c r="L32" s="404"/>
      <c r="M32" s="404"/>
      <c r="N32" s="405"/>
      <c r="O32" s="406"/>
      <c r="P32" s="404"/>
      <c r="Q32" s="404"/>
      <c r="R32" s="407"/>
      <c r="S32" s="403"/>
      <c r="T32" s="404"/>
      <c r="U32" s="404"/>
      <c r="V32" s="405"/>
      <c r="W32" s="406"/>
      <c r="X32" s="404"/>
      <c r="Y32" s="404"/>
      <c r="Z32" s="407"/>
      <c r="AA32" s="403"/>
      <c r="AB32" s="404"/>
      <c r="AC32" s="404"/>
      <c r="AD32" s="404"/>
      <c r="AE32" s="405"/>
      <c r="AF32" s="406"/>
      <c r="AG32" s="404"/>
      <c r="AH32" s="404"/>
      <c r="AI32" s="407"/>
      <c r="AJ32" s="403"/>
      <c r="AK32" s="404"/>
      <c r="AL32" s="404"/>
      <c r="AM32" s="404"/>
      <c r="AN32" s="405"/>
      <c r="AO32" s="406"/>
      <c r="AP32" s="404"/>
      <c r="AQ32" s="404"/>
      <c r="AR32" s="407"/>
      <c r="AS32" s="422"/>
      <c r="AT32" s="423"/>
      <c r="AU32" s="423"/>
      <c r="AV32" s="424"/>
      <c r="AW32" s="439"/>
      <c r="AX32" s="423"/>
      <c r="AY32" s="423"/>
      <c r="AZ32" s="423"/>
      <c r="BA32" s="440"/>
      <c r="BB32" s="422"/>
      <c r="BC32" s="423"/>
      <c r="BD32" s="423"/>
      <c r="BE32" s="424"/>
      <c r="BF32" s="406"/>
      <c r="BG32" s="404"/>
      <c r="BH32" s="404"/>
      <c r="BI32" s="404"/>
      <c r="BJ32" s="404"/>
      <c r="BK32" s="404"/>
      <c r="BL32" s="404"/>
      <c r="BM32" s="404"/>
      <c r="BN32" s="404"/>
      <c r="BO32" s="404"/>
      <c r="BP32" s="404"/>
      <c r="BQ32" s="404"/>
      <c r="BR32" s="404"/>
      <c r="BS32" s="404"/>
      <c r="BT32" s="404"/>
      <c r="BU32" s="404"/>
      <c r="BV32" s="404"/>
      <c r="BW32" s="404"/>
      <c r="BX32" s="404"/>
      <c r="BY32" s="404"/>
      <c r="BZ32" s="404"/>
      <c r="CA32" s="404"/>
      <c r="CB32" s="404"/>
      <c r="CC32" s="404"/>
      <c r="CD32" s="404"/>
      <c r="CE32" s="404"/>
      <c r="CF32" s="404"/>
      <c r="CG32" s="404"/>
      <c r="CH32" s="404"/>
      <c r="CI32" s="404"/>
      <c r="CJ32" s="404"/>
      <c r="CK32" s="404"/>
      <c r="CL32" s="404"/>
      <c r="CM32" s="404"/>
      <c r="CN32" s="404"/>
      <c r="CO32" s="404"/>
      <c r="CP32" s="404"/>
      <c r="CQ32" s="404"/>
      <c r="CR32" s="404"/>
      <c r="CS32" s="404"/>
      <c r="CT32" s="404"/>
      <c r="CU32" s="404"/>
      <c r="CV32" s="404"/>
      <c r="CW32" s="404"/>
      <c r="CX32" s="404"/>
      <c r="CY32" s="404"/>
      <c r="CZ32" s="404"/>
      <c r="DA32" s="404"/>
      <c r="DB32" s="404"/>
      <c r="DC32" s="407"/>
    </row>
    <row r="33" customFormat="false" ht="24.45" hidden="false" customHeight="false" outlineLevel="0" collapsed="false">
      <c r="A33" s="398"/>
      <c r="B33" s="451" t="s">
        <v>584</v>
      </c>
      <c r="C33" s="382" t="n">
        <v>2</v>
      </c>
      <c r="D33" s="406"/>
      <c r="E33" s="407"/>
      <c r="F33" s="406"/>
      <c r="G33" s="404"/>
      <c r="H33" s="404"/>
      <c r="I33" s="407"/>
      <c r="J33" s="403"/>
      <c r="K33" s="404"/>
      <c r="L33" s="404"/>
      <c r="M33" s="404"/>
      <c r="N33" s="405"/>
      <c r="O33" s="406"/>
      <c r="P33" s="404"/>
      <c r="Q33" s="404"/>
      <c r="R33" s="407"/>
      <c r="S33" s="403"/>
      <c r="T33" s="404"/>
      <c r="U33" s="404"/>
      <c r="V33" s="405"/>
      <c r="W33" s="406"/>
      <c r="X33" s="404"/>
      <c r="Y33" s="404"/>
      <c r="Z33" s="407"/>
      <c r="AA33" s="403"/>
      <c r="AB33" s="404"/>
      <c r="AC33" s="404"/>
      <c r="AD33" s="404"/>
      <c r="AE33" s="405"/>
      <c r="AF33" s="406"/>
      <c r="AG33" s="404"/>
      <c r="AH33" s="404"/>
      <c r="AI33" s="407"/>
      <c r="AJ33" s="403"/>
      <c r="AK33" s="404"/>
      <c r="AL33" s="404"/>
      <c r="AM33" s="404"/>
      <c r="AN33" s="405"/>
      <c r="AO33" s="406"/>
      <c r="AP33" s="404"/>
      <c r="AQ33" s="404"/>
      <c r="AR33" s="407"/>
      <c r="AS33" s="403"/>
      <c r="AT33" s="404"/>
      <c r="AU33" s="404"/>
      <c r="AV33" s="405"/>
      <c r="AW33" s="439"/>
      <c r="AX33" s="423"/>
      <c r="AY33" s="423"/>
      <c r="AZ33" s="423"/>
      <c r="BA33" s="440"/>
      <c r="BB33" s="422"/>
      <c r="BC33" s="423"/>
      <c r="BD33" s="423"/>
      <c r="BE33" s="424"/>
      <c r="BF33" s="406"/>
      <c r="BG33" s="404"/>
      <c r="BH33" s="404"/>
      <c r="BI33" s="404"/>
      <c r="BJ33" s="404"/>
      <c r="BK33" s="404"/>
      <c r="BL33" s="404"/>
      <c r="BM33" s="404"/>
      <c r="BN33" s="404"/>
      <c r="BO33" s="404"/>
      <c r="BP33" s="404"/>
      <c r="BQ33" s="404"/>
      <c r="BR33" s="404"/>
      <c r="BS33" s="404"/>
      <c r="BT33" s="404"/>
      <c r="BU33" s="404"/>
      <c r="BV33" s="404"/>
      <c r="BW33" s="404"/>
      <c r="BX33" s="404"/>
      <c r="BY33" s="404"/>
      <c r="BZ33" s="404"/>
      <c r="CA33" s="404"/>
      <c r="CB33" s="404"/>
      <c r="CC33" s="404"/>
      <c r="CD33" s="404"/>
      <c r="CE33" s="404"/>
      <c r="CF33" s="404"/>
      <c r="CG33" s="404"/>
      <c r="CH33" s="404"/>
      <c r="CI33" s="404"/>
      <c r="CJ33" s="404"/>
      <c r="CK33" s="404"/>
      <c r="CL33" s="404"/>
      <c r="CM33" s="404"/>
      <c r="CN33" s="404"/>
      <c r="CO33" s="404"/>
      <c r="CP33" s="404"/>
      <c r="CQ33" s="404"/>
      <c r="CR33" s="404"/>
      <c r="CS33" s="404"/>
      <c r="CT33" s="404"/>
      <c r="CU33" s="404"/>
      <c r="CV33" s="404"/>
      <c r="CW33" s="404"/>
      <c r="CX33" s="404"/>
      <c r="CY33" s="404"/>
      <c r="CZ33" s="404"/>
      <c r="DA33" s="404"/>
      <c r="DB33" s="404"/>
      <c r="DC33" s="407"/>
    </row>
    <row r="34" customFormat="false" ht="24.45" hidden="false" customHeight="false" outlineLevel="0" collapsed="false">
      <c r="A34" s="398"/>
      <c r="B34" s="451" t="s">
        <v>585</v>
      </c>
      <c r="C34" s="382"/>
      <c r="D34" s="406"/>
      <c r="E34" s="407"/>
      <c r="F34" s="406"/>
      <c r="G34" s="404"/>
      <c r="H34" s="404"/>
      <c r="I34" s="407"/>
      <c r="J34" s="403"/>
      <c r="K34" s="404"/>
      <c r="L34" s="404"/>
      <c r="M34" s="404"/>
      <c r="N34" s="405"/>
      <c r="O34" s="406"/>
      <c r="P34" s="404"/>
      <c r="Q34" s="404"/>
      <c r="R34" s="407"/>
      <c r="S34" s="403"/>
      <c r="T34" s="404"/>
      <c r="U34" s="404"/>
      <c r="V34" s="405"/>
      <c r="W34" s="406"/>
      <c r="X34" s="404"/>
      <c r="Y34" s="404"/>
      <c r="Z34" s="407"/>
      <c r="AA34" s="403"/>
      <c r="AB34" s="404"/>
      <c r="AC34" s="404"/>
      <c r="AD34" s="404"/>
      <c r="AE34" s="405"/>
      <c r="AF34" s="406"/>
      <c r="AG34" s="404"/>
      <c r="AH34" s="404"/>
      <c r="AI34" s="407"/>
      <c r="AJ34" s="403"/>
      <c r="AK34" s="404"/>
      <c r="AL34" s="404"/>
      <c r="AM34" s="404"/>
      <c r="AN34" s="405"/>
      <c r="AO34" s="406"/>
      <c r="AP34" s="404"/>
      <c r="AQ34" s="404"/>
      <c r="AR34" s="407"/>
      <c r="AS34" s="403"/>
      <c r="AT34" s="404"/>
      <c r="AU34" s="404"/>
      <c r="AV34" s="405"/>
      <c r="AW34" s="439"/>
      <c r="AX34" s="423"/>
      <c r="AY34" s="423"/>
      <c r="AZ34" s="423"/>
      <c r="BA34" s="440"/>
      <c r="BB34" s="422"/>
      <c r="BC34" s="423"/>
      <c r="BD34" s="423"/>
      <c r="BE34" s="424"/>
      <c r="BF34" s="406"/>
      <c r="BG34" s="404"/>
      <c r="BH34" s="404"/>
      <c r="BI34" s="404"/>
      <c r="BJ34" s="404"/>
      <c r="BK34" s="404"/>
      <c r="BL34" s="404"/>
      <c r="BM34" s="404"/>
      <c r="BN34" s="404"/>
      <c r="BO34" s="404"/>
      <c r="BP34" s="404"/>
      <c r="BQ34" s="404"/>
      <c r="BR34" s="404"/>
      <c r="BS34" s="404"/>
      <c r="BT34" s="404"/>
      <c r="BU34" s="404"/>
      <c r="BV34" s="404"/>
      <c r="BW34" s="404"/>
      <c r="BX34" s="404"/>
      <c r="BY34" s="404"/>
      <c r="BZ34" s="404"/>
      <c r="CA34" s="404"/>
      <c r="CB34" s="404"/>
      <c r="CC34" s="404"/>
      <c r="CD34" s="404"/>
      <c r="CE34" s="404"/>
      <c r="CF34" s="404"/>
      <c r="CG34" s="404"/>
      <c r="CH34" s="404"/>
      <c r="CI34" s="404"/>
      <c r="CJ34" s="404"/>
      <c r="CK34" s="404"/>
      <c r="CL34" s="404"/>
      <c r="CM34" s="404"/>
      <c r="CN34" s="404"/>
      <c r="CO34" s="404"/>
      <c r="CP34" s="404"/>
      <c r="CQ34" s="404"/>
      <c r="CR34" s="404"/>
      <c r="CS34" s="404"/>
      <c r="CT34" s="404"/>
      <c r="CU34" s="404"/>
      <c r="CV34" s="404"/>
      <c r="CW34" s="404"/>
      <c r="CX34" s="404"/>
      <c r="CY34" s="404"/>
      <c r="CZ34" s="404"/>
      <c r="DA34" s="404"/>
      <c r="DB34" s="404"/>
      <c r="DC34" s="407"/>
    </row>
    <row r="35" customFormat="false" ht="24.45" hidden="false" customHeight="false" outlineLevel="0" collapsed="false">
      <c r="A35" s="398"/>
      <c r="B35" s="451" t="s">
        <v>586</v>
      </c>
      <c r="C35" s="382" t="n">
        <v>2.5</v>
      </c>
      <c r="D35" s="406"/>
      <c r="E35" s="407"/>
      <c r="F35" s="406"/>
      <c r="G35" s="404"/>
      <c r="H35" s="404"/>
      <c r="I35" s="407"/>
      <c r="J35" s="403"/>
      <c r="K35" s="404"/>
      <c r="L35" s="404"/>
      <c r="M35" s="404"/>
      <c r="N35" s="405"/>
      <c r="O35" s="406"/>
      <c r="P35" s="404"/>
      <c r="Q35" s="404"/>
      <c r="R35" s="407"/>
      <c r="S35" s="403"/>
      <c r="T35" s="404"/>
      <c r="U35" s="404"/>
      <c r="V35" s="405"/>
      <c r="W35" s="406"/>
      <c r="X35" s="404"/>
      <c r="Y35" s="404"/>
      <c r="Z35" s="407"/>
      <c r="AA35" s="403"/>
      <c r="AB35" s="404"/>
      <c r="AC35" s="404"/>
      <c r="AD35" s="404"/>
      <c r="AE35" s="405"/>
      <c r="AF35" s="406"/>
      <c r="AG35" s="404"/>
      <c r="AH35" s="404"/>
      <c r="AI35" s="407"/>
      <c r="AJ35" s="403"/>
      <c r="AK35" s="404"/>
      <c r="AL35" s="404"/>
      <c r="AM35" s="404"/>
      <c r="AN35" s="405"/>
      <c r="AO35" s="406"/>
      <c r="AP35" s="404"/>
      <c r="AQ35" s="404"/>
      <c r="AR35" s="407"/>
      <c r="AS35" s="403"/>
      <c r="AT35" s="404"/>
      <c r="AU35" s="404"/>
      <c r="AV35" s="405"/>
      <c r="AW35" s="439"/>
      <c r="AX35" s="423"/>
      <c r="AY35" s="423"/>
      <c r="AZ35" s="423"/>
      <c r="BA35" s="440"/>
      <c r="BB35" s="422"/>
      <c r="BC35" s="423"/>
      <c r="BD35" s="423"/>
      <c r="BE35" s="424"/>
      <c r="BF35" s="439"/>
      <c r="BG35" s="423"/>
      <c r="BH35" s="404"/>
      <c r="BI35" s="404"/>
      <c r="BJ35" s="404"/>
      <c r="BK35" s="404"/>
      <c r="BL35" s="404"/>
      <c r="BM35" s="404"/>
      <c r="BN35" s="404"/>
      <c r="BO35" s="404"/>
      <c r="BP35" s="404"/>
      <c r="BQ35" s="404"/>
      <c r="BR35" s="404"/>
      <c r="BS35" s="404"/>
      <c r="BT35" s="404"/>
      <c r="BU35" s="404"/>
      <c r="BV35" s="404"/>
      <c r="BW35" s="404"/>
      <c r="BX35" s="404"/>
      <c r="BY35" s="404"/>
      <c r="BZ35" s="404"/>
      <c r="CA35" s="404"/>
      <c r="CB35" s="404"/>
      <c r="CC35" s="404"/>
      <c r="CD35" s="404"/>
      <c r="CE35" s="404"/>
      <c r="CF35" s="404"/>
      <c r="CG35" s="404"/>
      <c r="CH35" s="404"/>
      <c r="CI35" s="404"/>
      <c r="CJ35" s="404"/>
      <c r="CK35" s="404"/>
      <c r="CL35" s="404"/>
      <c r="CM35" s="404"/>
      <c r="CN35" s="404"/>
      <c r="CO35" s="404"/>
      <c r="CP35" s="404"/>
      <c r="CQ35" s="404"/>
      <c r="CR35" s="404"/>
      <c r="CS35" s="404"/>
      <c r="CT35" s="404"/>
      <c r="CU35" s="404"/>
      <c r="CV35" s="404"/>
      <c r="CW35" s="404"/>
      <c r="CX35" s="404"/>
      <c r="CY35" s="404"/>
      <c r="CZ35" s="404"/>
      <c r="DA35" s="404"/>
      <c r="DB35" s="404"/>
      <c r="DC35" s="407"/>
    </row>
    <row r="36" customFormat="false" ht="24.45" hidden="false" customHeight="true" outlineLevel="0" collapsed="false">
      <c r="A36" s="398" t="s">
        <v>144</v>
      </c>
      <c r="B36" s="399" t="s">
        <v>587</v>
      </c>
      <c r="C36" s="382" t="n">
        <v>11.5</v>
      </c>
      <c r="D36" s="445"/>
      <c r="E36" s="407"/>
      <c r="F36" s="406"/>
      <c r="G36" s="402"/>
      <c r="H36" s="402"/>
      <c r="I36" s="401"/>
      <c r="J36" s="408"/>
      <c r="K36" s="402"/>
      <c r="L36" s="402"/>
      <c r="M36" s="402"/>
      <c r="N36" s="438"/>
      <c r="O36" s="400"/>
      <c r="P36" s="402"/>
      <c r="Q36" s="402"/>
      <c r="R36" s="401"/>
      <c r="S36" s="408"/>
      <c r="T36" s="423"/>
      <c r="U36" s="447"/>
      <c r="V36" s="454"/>
      <c r="W36" s="449"/>
      <c r="X36" s="447"/>
      <c r="Y36" s="447"/>
      <c r="Z36" s="455"/>
      <c r="AA36" s="422"/>
      <c r="AB36" s="423"/>
      <c r="AC36" s="423"/>
      <c r="AD36" s="423"/>
      <c r="AE36" s="424"/>
      <c r="AF36" s="449"/>
      <c r="AG36" s="423"/>
      <c r="AH36" s="423"/>
      <c r="AI36" s="440"/>
      <c r="AJ36" s="422"/>
      <c r="AK36" s="423"/>
      <c r="AL36" s="423"/>
      <c r="AM36" s="423"/>
      <c r="AN36" s="424"/>
      <c r="AO36" s="439"/>
      <c r="AP36" s="423"/>
      <c r="AQ36" s="423"/>
      <c r="AR36" s="440"/>
      <c r="AS36" s="422"/>
      <c r="AT36" s="423"/>
      <c r="AU36" s="423"/>
      <c r="AV36" s="424"/>
      <c r="AW36" s="439"/>
      <c r="AX36" s="423"/>
      <c r="AY36" s="423"/>
      <c r="AZ36" s="423"/>
      <c r="BA36" s="440"/>
      <c r="BB36" s="422"/>
      <c r="BC36" s="423"/>
      <c r="BD36" s="423"/>
      <c r="BE36" s="424"/>
      <c r="BF36" s="406"/>
      <c r="BG36" s="404"/>
      <c r="BH36" s="404"/>
      <c r="BI36" s="404"/>
      <c r="BJ36" s="404"/>
      <c r="BK36" s="404"/>
      <c r="BL36" s="404"/>
      <c r="BM36" s="404"/>
      <c r="BN36" s="404"/>
      <c r="BO36" s="404"/>
      <c r="BP36" s="404"/>
      <c r="BQ36" s="404"/>
      <c r="BR36" s="404"/>
      <c r="BS36" s="404"/>
      <c r="BT36" s="404"/>
      <c r="BU36" s="404"/>
      <c r="BV36" s="404"/>
      <c r="BW36" s="404"/>
      <c r="BX36" s="404"/>
      <c r="BY36" s="404"/>
      <c r="BZ36" s="404"/>
      <c r="CA36" s="404"/>
      <c r="CB36" s="404"/>
      <c r="CC36" s="404"/>
      <c r="CD36" s="404"/>
      <c r="CE36" s="404"/>
      <c r="CF36" s="404"/>
      <c r="CG36" s="404"/>
      <c r="CH36" s="404"/>
      <c r="CI36" s="404"/>
      <c r="CJ36" s="404"/>
      <c r="CK36" s="404"/>
      <c r="CL36" s="404"/>
      <c r="CM36" s="404"/>
      <c r="CN36" s="404"/>
      <c r="CO36" s="404"/>
      <c r="CP36" s="404"/>
      <c r="CQ36" s="404"/>
      <c r="CR36" s="404"/>
      <c r="CS36" s="404"/>
      <c r="CT36" s="404"/>
      <c r="CU36" s="404"/>
      <c r="CV36" s="404"/>
      <c r="CW36" s="404"/>
      <c r="CX36" s="404"/>
      <c r="CY36" s="404"/>
      <c r="CZ36" s="404"/>
      <c r="DA36" s="404"/>
      <c r="DB36" s="404"/>
      <c r="DC36" s="407"/>
    </row>
    <row r="37" customFormat="false" ht="84" hidden="false" customHeight="true" outlineLevel="0" collapsed="false">
      <c r="A37" s="398"/>
      <c r="B37" s="399" t="s">
        <v>588</v>
      </c>
      <c r="C37" s="382" t="n">
        <v>4</v>
      </c>
      <c r="D37" s="406"/>
      <c r="E37" s="407"/>
      <c r="F37" s="406"/>
      <c r="G37" s="404"/>
      <c r="H37" s="404"/>
      <c r="I37" s="407"/>
      <c r="J37" s="403"/>
      <c r="K37" s="404"/>
      <c r="L37" s="404"/>
      <c r="M37" s="404"/>
      <c r="N37" s="405"/>
      <c r="O37" s="406"/>
      <c r="P37" s="404"/>
      <c r="Q37" s="404"/>
      <c r="R37" s="407"/>
      <c r="S37" s="408"/>
      <c r="T37" s="423"/>
      <c r="U37" s="423"/>
      <c r="V37" s="424"/>
      <c r="W37" s="439"/>
      <c r="X37" s="423"/>
      <c r="Y37" s="423"/>
      <c r="Z37" s="440"/>
      <c r="AA37" s="422"/>
      <c r="AB37" s="423"/>
      <c r="AC37" s="423"/>
      <c r="AD37" s="423"/>
      <c r="AE37" s="424"/>
      <c r="AF37" s="439"/>
      <c r="AG37" s="423"/>
      <c r="AH37" s="423"/>
      <c r="AI37" s="440"/>
      <c r="AJ37" s="403"/>
      <c r="AK37" s="404"/>
      <c r="AL37" s="404"/>
      <c r="AM37" s="404"/>
      <c r="AN37" s="405"/>
      <c r="AO37" s="406"/>
      <c r="AP37" s="404"/>
      <c r="AQ37" s="404"/>
      <c r="AR37" s="407"/>
      <c r="AS37" s="403"/>
      <c r="AT37" s="404"/>
      <c r="AU37" s="404"/>
      <c r="AV37" s="405"/>
      <c r="AW37" s="406"/>
      <c r="AX37" s="404"/>
      <c r="AY37" s="404"/>
      <c r="AZ37" s="404"/>
      <c r="BA37" s="407"/>
      <c r="BB37" s="403"/>
      <c r="BC37" s="404"/>
      <c r="BD37" s="404"/>
      <c r="BE37" s="405"/>
      <c r="BF37" s="406"/>
      <c r="BG37" s="404"/>
      <c r="BH37" s="404"/>
      <c r="BI37" s="404"/>
      <c r="BJ37" s="404"/>
      <c r="BK37" s="404"/>
      <c r="BL37" s="404"/>
      <c r="BM37" s="404"/>
      <c r="BN37" s="404"/>
      <c r="BO37" s="404"/>
      <c r="BP37" s="404"/>
      <c r="BQ37" s="404"/>
      <c r="BR37" s="404"/>
      <c r="BS37" s="404"/>
      <c r="BT37" s="404"/>
      <c r="BU37" s="404"/>
      <c r="BV37" s="404"/>
      <c r="BW37" s="404"/>
      <c r="BX37" s="404"/>
      <c r="BY37" s="404"/>
      <c r="BZ37" s="404"/>
      <c r="CA37" s="404"/>
      <c r="CB37" s="404"/>
      <c r="CC37" s="404"/>
      <c r="CD37" s="404"/>
      <c r="CE37" s="404"/>
      <c r="CF37" s="404"/>
      <c r="CG37" s="404"/>
      <c r="CH37" s="404"/>
      <c r="CI37" s="404"/>
      <c r="CJ37" s="404"/>
      <c r="CK37" s="404"/>
      <c r="CL37" s="404"/>
      <c r="CM37" s="404"/>
      <c r="CN37" s="404"/>
      <c r="CO37" s="404"/>
      <c r="CP37" s="404"/>
      <c r="CQ37" s="404"/>
      <c r="CR37" s="404"/>
      <c r="CS37" s="404"/>
      <c r="CT37" s="404"/>
      <c r="CU37" s="404"/>
      <c r="CV37" s="404"/>
      <c r="CW37" s="404"/>
      <c r="CX37" s="404"/>
      <c r="CY37" s="404"/>
      <c r="CZ37" s="404"/>
      <c r="DA37" s="404"/>
      <c r="DB37" s="404"/>
      <c r="DC37" s="407"/>
    </row>
    <row r="38" customFormat="false" ht="24.45" hidden="false" customHeight="false" outlineLevel="0" collapsed="false">
      <c r="A38" s="398"/>
      <c r="B38" s="399" t="s">
        <v>589</v>
      </c>
      <c r="C38" s="382"/>
      <c r="D38" s="445"/>
      <c r="E38" s="407"/>
      <c r="F38" s="406"/>
      <c r="G38" s="404"/>
      <c r="H38" s="404"/>
      <c r="I38" s="407"/>
      <c r="J38" s="403"/>
      <c r="K38" s="404"/>
      <c r="L38" s="404"/>
      <c r="M38" s="404"/>
      <c r="N38" s="405"/>
      <c r="O38" s="406"/>
      <c r="P38" s="404"/>
      <c r="Q38" s="404"/>
      <c r="R38" s="407"/>
      <c r="S38" s="403"/>
      <c r="T38" s="404"/>
      <c r="U38" s="456"/>
      <c r="V38" s="457"/>
      <c r="W38" s="449"/>
      <c r="X38" s="447"/>
      <c r="Y38" s="447"/>
      <c r="Z38" s="455"/>
      <c r="AA38" s="422"/>
      <c r="AB38" s="423"/>
      <c r="AC38" s="423"/>
      <c r="AD38" s="423"/>
      <c r="AE38" s="424"/>
      <c r="AF38" s="449"/>
      <c r="AG38" s="423"/>
      <c r="AH38" s="423"/>
      <c r="AI38" s="440"/>
      <c r="AJ38" s="422"/>
      <c r="AK38" s="423"/>
      <c r="AL38" s="423"/>
      <c r="AM38" s="423"/>
      <c r="AN38" s="424"/>
      <c r="AO38" s="439"/>
      <c r="AP38" s="423"/>
      <c r="AQ38" s="423"/>
      <c r="AR38" s="440"/>
      <c r="AS38" s="422"/>
      <c r="AT38" s="423"/>
      <c r="AU38" s="423"/>
      <c r="AV38" s="424"/>
      <c r="AW38" s="439"/>
      <c r="AX38" s="423"/>
      <c r="AY38" s="423"/>
      <c r="AZ38" s="423"/>
      <c r="BA38" s="440"/>
      <c r="BB38" s="403"/>
      <c r="BC38" s="404"/>
      <c r="BD38" s="404"/>
      <c r="BE38" s="405"/>
      <c r="BF38" s="406"/>
      <c r="BG38" s="404"/>
      <c r="BH38" s="404"/>
      <c r="BI38" s="404"/>
      <c r="BJ38" s="404"/>
      <c r="BK38" s="404"/>
      <c r="BL38" s="404"/>
      <c r="BM38" s="404"/>
      <c r="BN38" s="404"/>
      <c r="BO38" s="404"/>
      <c r="BP38" s="404"/>
      <c r="BQ38" s="404"/>
      <c r="BR38" s="404"/>
      <c r="BS38" s="404"/>
      <c r="BT38" s="404"/>
      <c r="BU38" s="404"/>
      <c r="BV38" s="404"/>
      <c r="BW38" s="404"/>
      <c r="BX38" s="404"/>
      <c r="BY38" s="404"/>
      <c r="BZ38" s="404"/>
      <c r="CA38" s="404"/>
      <c r="CB38" s="404"/>
      <c r="CC38" s="404"/>
      <c r="CD38" s="404"/>
      <c r="CE38" s="404"/>
      <c r="CF38" s="404"/>
      <c r="CG38" s="404"/>
      <c r="CH38" s="404"/>
      <c r="CI38" s="404"/>
      <c r="CJ38" s="404"/>
      <c r="CK38" s="404"/>
      <c r="CL38" s="404"/>
      <c r="CM38" s="404"/>
      <c r="CN38" s="404"/>
      <c r="CO38" s="404"/>
      <c r="CP38" s="404"/>
      <c r="CQ38" s="404"/>
      <c r="CR38" s="404"/>
      <c r="CS38" s="404"/>
      <c r="CT38" s="404"/>
      <c r="CU38" s="404"/>
      <c r="CV38" s="404"/>
      <c r="CW38" s="404"/>
      <c r="CX38" s="404"/>
      <c r="CY38" s="404"/>
      <c r="CZ38" s="404"/>
      <c r="DA38" s="404"/>
      <c r="DB38" s="404"/>
      <c r="DC38" s="407"/>
    </row>
    <row r="39" customFormat="false" ht="24.45" hidden="false" customHeight="false" outlineLevel="0" collapsed="false">
      <c r="A39" s="398"/>
      <c r="B39" s="399" t="s">
        <v>590</v>
      </c>
      <c r="C39" s="382" t="n">
        <v>1</v>
      </c>
      <c r="D39" s="445"/>
      <c r="E39" s="407"/>
      <c r="F39" s="406"/>
      <c r="G39" s="404"/>
      <c r="H39" s="404"/>
      <c r="I39" s="407"/>
      <c r="J39" s="403"/>
      <c r="K39" s="404"/>
      <c r="L39" s="404"/>
      <c r="M39" s="404"/>
      <c r="N39" s="405"/>
      <c r="O39" s="406"/>
      <c r="P39" s="404"/>
      <c r="Q39" s="404"/>
      <c r="R39" s="407"/>
      <c r="S39" s="403"/>
      <c r="T39" s="404"/>
      <c r="U39" s="456"/>
      <c r="V39" s="457"/>
      <c r="W39" s="458"/>
      <c r="X39" s="456"/>
      <c r="Y39" s="456"/>
      <c r="Z39" s="459"/>
      <c r="AA39" s="403"/>
      <c r="AB39" s="404"/>
      <c r="AC39" s="404"/>
      <c r="AD39" s="404"/>
      <c r="AE39" s="405"/>
      <c r="AF39" s="458"/>
      <c r="AG39" s="447"/>
      <c r="AH39" s="404"/>
      <c r="AI39" s="407"/>
      <c r="AJ39" s="403"/>
      <c r="AK39" s="404"/>
      <c r="AL39" s="404"/>
      <c r="AM39" s="404"/>
      <c r="AN39" s="405"/>
      <c r="AO39" s="406"/>
      <c r="AP39" s="404"/>
      <c r="AQ39" s="404"/>
      <c r="AR39" s="407"/>
      <c r="AS39" s="403"/>
      <c r="AT39" s="404"/>
      <c r="AU39" s="404"/>
      <c r="AV39" s="405"/>
      <c r="AW39" s="406"/>
      <c r="AX39" s="404"/>
      <c r="AY39" s="404"/>
      <c r="AZ39" s="404"/>
      <c r="BA39" s="407"/>
      <c r="BB39" s="403"/>
      <c r="BC39" s="404"/>
      <c r="BD39" s="404"/>
      <c r="BE39" s="405"/>
      <c r="BF39" s="406"/>
      <c r="BG39" s="404"/>
      <c r="BH39" s="404"/>
      <c r="BI39" s="404"/>
      <c r="BJ39" s="404"/>
      <c r="BK39" s="404"/>
      <c r="BL39" s="404"/>
      <c r="BM39" s="404"/>
      <c r="BN39" s="404"/>
      <c r="BO39" s="404"/>
      <c r="BP39" s="404"/>
      <c r="BQ39" s="404"/>
      <c r="BR39" s="404"/>
      <c r="BS39" s="404"/>
      <c r="BT39" s="404"/>
      <c r="BU39" s="404"/>
      <c r="BV39" s="404"/>
      <c r="BW39" s="404"/>
      <c r="BX39" s="404"/>
      <c r="BY39" s="404"/>
      <c r="BZ39" s="404"/>
      <c r="CA39" s="404"/>
      <c r="CB39" s="404"/>
      <c r="CC39" s="404"/>
      <c r="CD39" s="404"/>
      <c r="CE39" s="404"/>
      <c r="CF39" s="404"/>
      <c r="CG39" s="404"/>
      <c r="CH39" s="404"/>
      <c r="CI39" s="404"/>
      <c r="CJ39" s="404"/>
      <c r="CK39" s="404"/>
      <c r="CL39" s="404"/>
      <c r="CM39" s="404"/>
      <c r="CN39" s="404"/>
      <c r="CO39" s="404"/>
      <c r="CP39" s="404"/>
      <c r="CQ39" s="404"/>
      <c r="CR39" s="404"/>
      <c r="CS39" s="404"/>
      <c r="CT39" s="404"/>
      <c r="CU39" s="404"/>
      <c r="CV39" s="404"/>
      <c r="CW39" s="404"/>
      <c r="CX39" s="404"/>
      <c r="CY39" s="404"/>
      <c r="CZ39" s="404"/>
      <c r="DA39" s="404"/>
      <c r="DB39" s="404"/>
      <c r="DC39" s="407"/>
    </row>
    <row r="40" customFormat="false" ht="24.45" hidden="false" customHeight="false" outlineLevel="0" collapsed="false">
      <c r="A40" s="398"/>
      <c r="B40" s="399" t="s">
        <v>591</v>
      </c>
      <c r="C40" s="382" t="n">
        <v>5.5</v>
      </c>
      <c r="D40" s="445"/>
      <c r="E40" s="407"/>
      <c r="F40" s="406"/>
      <c r="G40" s="404"/>
      <c r="H40" s="404"/>
      <c r="I40" s="407"/>
      <c r="J40" s="403"/>
      <c r="K40" s="404"/>
      <c r="L40" s="404"/>
      <c r="M40" s="404"/>
      <c r="N40" s="405"/>
      <c r="O40" s="406"/>
      <c r="P40" s="404"/>
      <c r="Q40" s="404"/>
      <c r="R40" s="407"/>
      <c r="S40" s="403"/>
      <c r="T40" s="404"/>
      <c r="U40" s="456"/>
      <c r="V40" s="457"/>
      <c r="W40" s="458"/>
      <c r="X40" s="456"/>
      <c r="Y40" s="456"/>
      <c r="Z40" s="459"/>
      <c r="AA40" s="403"/>
      <c r="AB40" s="404"/>
      <c r="AC40" s="423"/>
      <c r="AD40" s="423"/>
      <c r="AE40" s="424"/>
      <c r="AF40" s="449"/>
      <c r="AG40" s="423"/>
      <c r="AH40" s="423"/>
      <c r="AI40" s="440"/>
      <c r="AJ40" s="422"/>
      <c r="AK40" s="423"/>
      <c r="AL40" s="423"/>
      <c r="AM40" s="423"/>
      <c r="AN40" s="424"/>
      <c r="AO40" s="439"/>
      <c r="AP40" s="423"/>
      <c r="AQ40" s="423"/>
      <c r="AR40" s="440"/>
      <c r="AS40" s="422"/>
      <c r="AT40" s="423"/>
      <c r="AU40" s="423"/>
      <c r="AV40" s="424"/>
      <c r="AW40" s="439"/>
      <c r="AX40" s="423"/>
      <c r="AY40" s="423"/>
      <c r="AZ40" s="423"/>
      <c r="BA40" s="440"/>
      <c r="BB40" s="403"/>
      <c r="BC40" s="404"/>
      <c r="BD40" s="404"/>
      <c r="BE40" s="405"/>
      <c r="BF40" s="406"/>
      <c r="BG40" s="404"/>
      <c r="BH40" s="404"/>
      <c r="BI40" s="404"/>
      <c r="BJ40" s="404"/>
      <c r="BK40" s="404"/>
      <c r="BL40" s="404"/>
      <c r="BM40" s="404"/>
      <c r="BN40" s="404"/>
      <c r="BO40" s="404"/>
      <c r="BP40" s="404"/>
      <c r="BQ40" s="404"/>
      <c r="BR40" s="404"/>
      <c r="BS40" s="404"/>
      <c r="BT40" s="404"/>
      <c r="BU40" s="404"/>
      <c r="BV40" s="404"/>
      <c r="BW40" s="404"/>
      <c r="BX40" s="404"/>
      <c r="BY40" s="404"/>
      <c r="BZ40" s="404"/>
      <c r="CA40" s="404"/>
      <c r="CB40" s="404"/>
      <c r="CC40" s="404"/>
      <c r="CD40" s="404"/>
      <c r="CE40" s="404"/>
      <c r="CF40" s="404"/>
      <c r="CG40" s="404"/>
      <c r="CH40" s="404"/>
      <c r="CI40" s="404"/>
      <c r="CJ40" s="404"/>
      <c r="CK40" s="404"/>
      <c r="CL40" s="404"/>
      <c r="CM40" s="404"/>
      <c r="CN40" s="404"/>
      <c r="CO40" s="404"/>
      <c r="CP40" s="404"/>
      <c r="CQ40" s="404"/>
      <c r="CR40" s="404"/>
      <c r="CS40" s="404"/>
      <c r="CT40" s="404"/>
      <c r="CU40" s="404"/>
      <c r="CV40" s="404"/>
      <c r="CW40" s="404"/>
      <c r="CX40" s="404"/>
      <c r="CY40" s="404"/>
      <c r="CZ40" s="404"/>
      <c r="DA40" s="404"/>
      <c r="DB40" s="404"/>
      <c r="DC40" s="407"/>
    </row>
    <row r="41" customFormat="false" ht="24.45" hidden="false" customHeight="false" outlineLevel="0" collapsed="false">
      <c r="A41" s="398"/>
      <c r="B41" s="399" t="s">
        <v>592</v>
      </c>
      <c r="C41" s="382" t="n">
        <v>11</v>
      </c>
      <c r="D41" s="445"/>
      <c r="E41" s="407"/>
      <c r="F41" s="406"/>
      <c r="G41" s="404"/>
      <c r="H41" s="404"/>
      <c r="I41" s="407"/>
      <c r="J41" s="408"/>
      <c r="K41" s="402"/>
      <c r="L41" s="402"/>
      <c r="M41" s="402"/>
      <c r="N41" s="438"/>
      <c r="O41" s="400"/>
      <c r="P41" s="402"/>
      <c r="Q41" s="402"/>
      <c r="R41" s="401"/>
      <c r="S41" s="408"/>
      <c r="T41" s="423"/>
      <c r="U41" s="447"/>
      <c r="V41" s="454"/>
      <c r="W41" s="449"/>
      <c r="X41" s="447"/>
      <c r="Y41" s="447"/>
      <c r="Z41" s="455"/>
      <c r="AA41" s="422"/>
      <c r="AB41" s="423"/>
      <c r="AC41" s="423"/>
      <c r="AD41" s="423"/>
      <c r="AE41" s="424"/>
      <c r="AF41" s="449"/>
      <c r="AG41" s="423"/>
      <c r="AH41" s="423"/>
      <c r="AI41" s="440"/>
      <c r="AJ41" s="422"/>
      <c r="AK41" s="423"/>
      <c r="AL41" s="423"/>
      <c r="AM41" s="423"/>
      <c r="AN41" s="424"/>
      <c r="AO41" s="439"/>
      <c r="AP41" s="423"/>
      <c r="AQ41" s="423"/>
      <c r="AR41" s="440"/>
      <c r="AS41" s="422"/>
      <c r="AT41" s="423"/>
      <c r="AU41" s="423"/>
      <c r="AV41" s="424"/>
      <c r="AW41" s="439"/>
      <c r="AX41" s="423"/>
      <c r="AY41" s="423"/>
      <c r="AZ41" s="423"/>
      <c r="BA41" s="440"/>
      <c r="BB41" s="422"/>
      <c r="BC41" s="423"/>
      <c r="BD41" s="423"/>
      <c r="BE41" s="424"/>
      <c r="BF41" s="406"/>
      <c r="BG41" s="404"/>
      <c r="BH41" s="404"/>
      <c r="BI41" s="404"/>
      <c r="BJ41" s="404"/>
      <c r="BK41" s="404"/>
      <c r="BL41" s="404"/>
      <c r="BM41" s="404"/>
      <c r="BN41" s="404"/>
      <c r="BO41" s="404"/>
      <c r="BP41" s="404"/>
      <c r="BQ41" s="404"/>
      <c r="BR41" s="404"/>
      <c r="BS41" s="404"/>
      <c r="BT41" s="404"/>
      <c r="BU41" s="404"/>
      <c r="BV41" s="404"/>
      <c r="BW41" s="404"/>
      <c r="BX41" s="404"/>
      <c r="BY41" s="404"/>
      <c r="BZ41" s="404"/>
      <c r="CA41" s="404"/>
      <c r="CB41" s="404"/>
      <c r="CC41" s="404"/>
      <c r="CD41" s="404"/>
      <c r="CE41" s="404"/>
      <c r="CF41" s="404"/>
      <c r="CG41" s="404"/>
      <c r="CH41" s="404"/>
      <c r="CI41" s="404"/>
      <c r="CJ41" s="404"/>
      <c r="CK41" s="404"/>
      <c r="CL41" s="404"/>
      <c r="CM41" s="404"/>
      <c r="CN41" s="404"/>
      <c r="CO41" s="404"/>
      <c r="CP41" s="404"/>
      <c r="CQ41" s="404"/>
      <c r="CR41" s="404"/>
      <c r="CS41" s="404"/>
      <c r="CT41" s="404"/>
      <c r="CU41" s="404"/>
      <c r="CV41" s="404"/>
      <c r="CW41" s="404"/>
      <c r="CX41" s="404"/>
      <c r="CY41" s="404"/>
      <c r="CZ41" s="404"/>
      <c r="DA41" s="404"/>
      <c r="DB41" s="404"/>
      <c r="DC41" s="407"/>
    </row>
    <row r="42" customFormat="false" ht="24.45" hidden="false" customHeight="false" outlineLevel="0" collapsed="false">
      <c r="A42" s="398"/>
      <c r="B42" s="399" t="s">
        <v>593</v>
      </c>
      <c r="C42" s="382" t="n">
        <v>0.5</v>
      </c>
      <c r="D42" s="445"/>
      <c r="E42" s="407"/>
      <c r="F42" s="406"/>
      <c r="G42" s="404"/>
      <c r="H42" s="404"/>
      <c r="I42" s="407"/>
      <c r="L42" s="404"/>
      <c r="M42" s="404"/>
      <c r="N42" s="405"/>
      <c r="O42" s="406"/>
      <c r="P42" s="404"/>
      <c r="Q42" s="408"/>
      <c r="R42" s="401"/>
      <c r="S42" s="403"/>
      <c r="T42" s="404"/>
      <c r="U42" s="456"/>
      <c r="V42" s="457"/>
      <c r="W42" s="458"/>
      <c r="X42" s="456"/>
      <c r="Y42" s="456"/>
      <c r="Z42" s="459"/>
      <c r="AA42" s="403"/>
      <c r="AB42" s="404"/>
      <c r="AC42" s="404"/>
      <c r="AD42" s="404"/>
      <c r="AE42" s="405"/>
      <c r="AF42" s="458"/>
      <c r="AG42" s="404"/>
      <c r="AH42" s="404"/>
      <c r="AI42" s="407"/>
      <c r="AJ42" s="403"/>
      <c r="AK42" s="404"/>
      <c r="AL42" s="404"/>
      <c r="AM42" s="404"/>
      <c r="AN42" s="405"/>
      <c r="AO42" s="406"/>
      <c r="AP42" s="404"/>
      <c r="AQ42" s="404"/>
      <c r="AR42" s="407"/>
      <c r="AS42" s="403"/>
      <c r="AT42" s="404"/>
      <c r="AU42" s="404"/>
      <c r="AV42" s="405"/>
      <c r="AW42" s="406"/>
      <c r="AX42" s="404"/>
      <c r="AY42" s="404"/>
      <c r="AZ42" s="404"/>
      <c r="BA42" s="407"/>
      <c r="BB42" s="403"/>
      <c r="BC42" s="404"/>
      <c r="BD42" s="404"/>
      <c r="BE42" s="405"/>
      <c r="BF42" s="406"/>
      <c r="BG42" s="404"/>
      <c r="BH42" s="404"/>
      <c r="BI42" s="404"/>
      <c r="BJ42" s="404"/>
      <c r="BK42" s="404"/>
      <c r="BL42" s="404"/>
      <c r="BM42" s="404"/>
      <c r="BN42" s="404"/>
      <c r="BO42" s="404"/>
      <c r="BP42" s="404"/>
      <c r="BQ42" s="404"/>
      <c r="BR42" s="404"/>
      <c r="BS42" s="404"/>
      <c r="BT42" s="404"/>
      <c r="BU42" s="404"/>
      <c r="BV42" s="404"/>
      <c r="BW42" s="404"/>
      <c r="BX42" s="404"/>
      <c r="BY42" s="404"/>
      <c r="BZ42" s="404"/>
      <c r="CA42" s="404"/>
      <c r="CB42" s="404"/>
      <c r="CC42" s="404"/>
      <c r="CD42" s="404"/>
      <c r="CE42" s="404"/>
      <c r="CF42" s="404"/>
      <c r="CG42" s="404"/>
      <c r="CH42" s="404"/>
      <c r="CI42" s="404"/>
      <c r="CJ42" s="404"/>
      <c r="CK42" s="404"/>
      <c r="CL42" s="404"/>
      <c r="CM42" s="404"/>
      <c r="CN42" s="404"/>
      <c r="CO42" s="404"/>
      <c r="CP42" s="404"/>
      <c r="CQ42" s="404"/>
      <c r="CR42" s="404"/>
      <c r="CS42" s="404"/>
      <c r="CT42" s="404"/>
      <c r="CU42" s="404"/>
      <c r="CV42" s="404"/>
      <c r="CW42" s="404"/>
      <c r="CX42" s="404"/>
      <c r="CY42" s="404"/>
      <c r="CZ42" s="404"/>
      <c r="DA42" s="404"/>
      <c r="DB42" s="404"/>
      <c r="DC42" s="407"/>
    </row>
    <row r="43" customFormat="false" ht="24.45" hidden="false" customHeight="false" outlineLevel="0" collapsed="false">
      <c r="A43" s="398"/>
      <c r="B43" s="399" t="s">
        <v>594</v>
      </c>
      <c r="C43" s="382" t="n">
        <v>1</v>
      </c>
      <c r="D43" s="445"/>
      <c r="E43" s="407"/>
      <c r="F43" s="406"/>
      <c r="G43" s="404"/>
      <c r="H43" s="404"/>
      <c r="I43" s="407"/>
      <c r="J43" s="403"/>
      <c r="K43" s="404"/>
      <c r="L43" s="404"/>
      <c r="M43" s="404"/>
      <c r="N43" s="405"/>
      <c r="O43" s="406"/>
      <c r="P43" s="404"/>
      <c r="Q43" s="404"/>
      <c r="R43" s="407"/>
      <c r="S43" s="403"/>
      <c r="T43" s="404"/>
      <c r="U43" s="456"/>
      <c r="V43" s="457"/>
      <c r="W43" s="447"/>
      <c r="X43" s="456"/>
      <c r="Y43" s="456"/>
      <c r="Z43" s="459"/>
      <c r="AA43" s="403"/>
      <c r="AB43" s="404"/>
      <c r="AC43" s="404"/>
      <c r="AD43" s="404"/>
      <c r="AE43" s="405"/>
      <c r="AF43" s="458"/>
      <c r="AH43" s="404"/>
      <c r="AI43" s="407"/>
      <c r="AJ43" s="403"/>
      <c r="AK43" s="404"/>
      <c r="AL43" s="404"/>
      <c r="AM43" s="404"/>
      <c r="AN43" s="405"/>
      <c r="AO43" s="406"/>
      <c r="AP43" s="404"/>
      <c r="AQ43" s="404"/>
      <c r="AR43" s="407"/>
      <c r="AS43" s="403"/>
      <c r="AT43" s="404"/>
      <c r="AU43" s="404"/>
      <c r="AV43" s="405"/>
      <c r="AW43" s="406"/>
      <c r="AX43" s="404"/>
      <c r="AY43" s="404"/>
      <c r="AZ43" s="404"/>
      <c r="BA43" s="407"/>
      <c r="BB43" s="403"/>
      <c r="BC43" s="404"/>
      <c r="BD43" s="404"/>
      <c r="BE43" s="405"/>
      <c r="BF43" s="406"/>
      <c r="BG43" s="404"/>
      <c r="BH43" s="404"/>
      <c r="BI43" s="404"/>
      <c r="BJ43" s="404"/>
      <c r="BK43" s="404"/>
      <c r="BL43" s="404"/>
      <c r="BM43" s="404"/>
      <c r="BN43" s="404"/>
      <c r="BO43" s="404"/>
      <c r="BP43" s="404"/>
      <c r="BQ43" s="404"/>
      <c r="BR43" s="404"/>
      <c r="BS43" s="404"/>
      <c r="BT43" s="404"/>
      <c r="BU43" s="404"/>
      <c r="BV43" s="404"/>
      <c r="BW43" s="404"/>
      <c r="BX43" s="404"/>
      <c r="BY43" s="404"/>
      <c r="BZ43" s="404"/>
      <c r="CA43" s="404"/>
      <c r="CB43" s="404"/>
      <c r="CC43" s="404"/>
      <c r="CD43" s="404"/>
      <c r="CE43" s="404"/>
      <c r="CF43" s="404"/>
      <c r="CG43" s="404"/>
      <c r="CH43" s="404"/>
      <c r="CI43" s="404"/>
      <c r="CJ43" s="404"/>
      <c r="CK43" s="404"/>
      <c r="CL43" s="404"/>
      <c r="CM43" s="404"/>
      <c r="CN43" s="404"/>
      <c r="CO43" s="404"/>
      <c r="CP43" s="404"/>
      <c r="CQ43" s="404"/>
      <c r="CR43" s="404"/>
      <c r="CS43" s="404"/>
      <c r="CT43" s="404"/>
      <c r="CU43" s="404"/>
      <c r="CV43" s="404"/>
      <c r="CW43" s="404"/>
      <c r="CX43" s="404"/>
      <c r="CY43" s="404"/>
      <c r="CZ43" s="404"/>
      <c r="DA43" s="404"/>
      <c r="DB43" s="404"/>
      <c r="DC43" s="407"/>
    </row>
    <row r="44" customFormat="false" ht="46.25" hidden="false" customHeight="false" outlineLevel="0" collapsed="false">
      <c r="A44" s="398"/>
      <c r="B44" s="399" t="s">
        <v>595</v>
      </c>
      <c r="C44" s="382" t="n">
        <v>6.5</v>
      </c>
      <c r="D44" s="445"/>
      <c r="E44" s="407"/>
      <c r="F44" s="406"/>
      <c r="G44" s="404"/>
      <c r="H44" s="404"/>
      <c r="I44" s="407"/>
      <c r="J44" s="403"/>
      <c r="K44" s="404"/>
      <c r="L44" s="404"/>
      <c r="M44" s="404"/>
      <c r="N44" s="405"/>
      <c r="O44" s="406"/>
      <c r="P44" s="404"/>
      <c r="Q44" s="404"/>
      <c r="R44" s="407"/>
      <c r="S44" s="403"/>
      <c r="T44" s="404"/>
      <c r="U44" s="456"/>
      <c r="V44" s="457"/>
      <c r="W44" s="458"/>
      <c r="X44" s="456"/>
      <c r="Y44" s="456"/>
      <c r="Z44" s="459"/>
      <c r="AA44" s="403"/>
      <c r="AB44" s="404"/>
      <c r="AC44" s="423"/>
      <c r="AD44" s="423"/>
      <c r="AE44" s="424"/>
      <c r="AF44" s="449"/>
      <c r="AG44" s="423"/>
      <c r="AH44" s="423"/>
      <c r="AI44" s="440"/>
      <c r="AJ44" s="422"/>
      <c r="AK44" s="423"/>
      <c r="AL44" s="423"/>
      <c r="AM44" s="423"/>
      <c r="AN44" s="424"/>
      <c r="AO44" s="439"/>
      <c r="AP44" s="423"/>
      <c r="AQ44" s="423"/>
      <c r="AR44" s="440"/>
      <c r="AS44" s="422"/>
      <c r="AT44" s="423"/>
      <c r="AU44" s="423"/>
      <c r="AV44" s="424"/>
      <c r="AW44" s="439"/>
      <c r="AX44" s="423"/>
      <c r="AY44" s="423"/>
      <c r="AZ44" s="423"/>
      <c r="BA44" s="440"/>
      <c r="BB44" s="422"/>
      <c r="BC44" s="423"/>
      <c r="BD44" s="423"/>
      <c r="BE44" s="424"/>
      <c r="BF44" s="406"/>
      <c r="BG44" s="404"/>
      <c r="BH44" s="404"/>
      <c r="BI44" s="404"/>
      <c r="BJ44" s="404"/>
      <c r="BK44" s="404"/>
      <c r="BL44" s="404"/>
      <c r="BM44" s="404"/>
      <c r="BN44" s="404"/>
      <c r="BO44" s="404"/>
      <c r="BP44" s="404"/>
      <c r="BQ44" s="404"/>
      <c r="BR44" s="404"/>
      <c r="BS44" s="404"/>
      <c r="BT44" s="404"/>
      <c r="BU44" s="404"/>
      <c r="BV44" s="404"/>
      <c r="BW44" s="404"/>
      <c r="BX44" s="404"/>
      <c r="BY44" s="404"/>
      <c r="BZ44" s="404"/>
      <c r="CA44" s="404"/>
      <c r="CB44" s="404"/>
      <c r="CC44" s="404"/>
      <c r="CD44" s="404"/>
      <c r="CE44" s="404"/>
      <c r="CF44" s="404"/>
      <c r="CG44" s="404"/>
      <c r="CH44" s="404"/>
      <c r="CI44" s="404"/>
      <c r="CJ44" s="404"/>
      <c r="CK44" s="404"/>
      <c r="CL44" s="404"/>
      <c r="CM44" s="404"/>
      <c r="CN44" s="404"/>
      <c r="CO44" s="404"/>
      <c r="CP44" s="404"/>
      <c r="CQ44" s="404"/>
      <c r="CR44" s="404"/>
      <c r="CS44" s="404"/>
      <c r="CT44" s="404"/>
      <c r="CU44" s="404"/>
      <c r="CV44" s="404"/>
      <c r="CW44" s="404"/>
      <c r="CX44" s="404"/>
      <c r="CY44" s="404"/>
      <c r="CZ44" s="404"/>
      <c r="DA44" s="404"/>
      <c r="DB44" s="404"/>
      <c r="DC44" s="407"/>
    </row>
    <row r="45" customFormat="false" ht="46.25" hidden="false" customHeight="false" outlineLevel="0" collapsed="false">
      <c r="A45" s="398"/>
      <c r="B45" s="399" t="s">
        <v>596</v>
      </c>
      <c r="C45" s="382" t="n">
        <v>5</v>
      </c>
      <c r="D45" s="445"/>
      <c r="E45" s="407"/>
      <c r="F45" s="406"/>
      <c r="G45" s="404"/>
      <c r="H45" s="404"/>
      <c r="I45" s="407"/>
      <c r="J45" s="403"/>
      <c r="K45" s="404"/>
      <c r="L45" s="404"/>
      <c r="M45" s="404"/>
      <c r="N45" s="405"/>
      <c r="O45" s="406"/>
      <c r="P45" s="404"/>
      <c r="Q45" s="404"/>
      <c r="R45" s="407"/>
      <c r="S45" s="403"/>
      <c r="T45" s="404"/>
      <c r="U45" s="456"/>
      <c r="V45" s="457"/>
      <c r="W45" s="458"/>
      <c r="X45" s="456"/>
      <c r="Y45" s="456"/>
      <c r="Z45" s="459"/>
      <c r="AA45" s="403"/>
      <c r="AB45" s="404"/>
      <c r="AC45" s="404"/>
      <c r="AD45" s="404"/>
      <c r="AE45" s="405"/>
      <c r="AF45" s="458"/>
      <c r="AG45" s="404"/>
      <c r="AH45" s="404"/>
      <c r="AI45" s="407"/>
      <c r="AJ45" s="422"/>
      <c r="AK45" s="423"/>
      <c r="AL45" s="423"/>
      <c r="AM45" s="423"/>
      <c r="AN45" s="424"/>
      <c r="AO45" s="439"/>
      <c r="AP45" s="423"/>
      <c r="AQ45" s="423"/>
      <c r="AR45" s="440"/>
      <c r="AS45" s="422"/>
      <c r="AT45" s="423"/>
      <c r="AU45" s="423"/>
      <c r="AV45" s="424"/>
      <c r="AW45" s="439"/>
      <c r="AX45" s="423"/>
      <c r="AY45" s="423"/>
      <c r="AZ45" s="423"/>
      <c r="BA45" s="440"/>
      <c r="BB45" s="422"/>
      <c r="BC45" s="423"/>
      <c r="BD45" s="423"/>
      <c r="BE45" s="424"/>
      <c r="BF45" s="406"/>
      <c r="BG45" s="404"/>
      <c r="BH45" s="404"/>
      <c r="BI45" s="404"/>
      <c r="BJ45" s="404"/>
      <c r="BK45" s="404"/>
      <c r="BL45" s="404"/>
      <c r="BM45" s="404"/>
      <c r="BN45" s="404"/>
      <c r="BO45" s="404"/>
      <c r="BP45" s="404"/>
      <c r="BQ45" s="404"/>
      <c r="BR45" s="404"/>
      <c r="BS45" s="404"/>
      <c r="BT45" s="404"/>
      <c r="BU45" s="404"/>
      <c r="BV45" s="404"/>
      <c r="BW45" s="404"/>
      <c r="BX45" s="404"/>
      <c r="BY45" s="404"/>
      <c r="BZ45" s="404"/>
      <c r="CA45" s="404"/>
      <c r="CB45" s="404"/>
      <c r="CC45" s="404"/>
      <c r="CD45" s="404"/>
      <c r="CE45" s="404"/>
      <c r="CF45" s="404"/>
      <c r="CG45" s="404"/>
      <c r="CH45" s="404"/>
      <c r="CI45" s="404"/>
      <c r="CJ45" s="404"/>
      <c r="CK45" s="404"/>
      <c r="CL45" s="404"/>
      <c r="CM45" s="404"/>
      <c r="CN45" s="404"/>
      <c r="CO45" s="404"/>
      <c r="CP45" s="404"/>
      <c r="CQ45" s="404"/>
      <c r="CR45" s="404"/>
      <c r="CS45" s="404"/>
      <c r="CT45" s="404"/>
      <c r="CU45" s="404"/>
      <c r="CV45" s="404"/>
      <c r="CW45" s="404"/>
      <c r="CX45" s="404"/>
      <c r="CY45" s="404"/>
      <c r="CZ45" s="404"/>
      <c r="DA45" s="404"/>
      <c r="DB45" s="404"/>
      <c r="DC45" s="407"/>
    </row>
    <row r="46" customFormat="false" ht="24.45" hidden="false" customHeight="false" outlineLevel="0" collapsed="false">
      <c r="A46" s="398"/>
      <c r="B46" s="399" t="s">
        <v>597</v>
      </c>
      <c r="C46" s="382" t="n">
        <v>1.5</v>
      </c>
      <c r="D46" s="445"/>
      <c r="E46" s="407"/>
      <c r="F46" s="406"/>
      <c r="G46" s="404"/>
      <c r="H46" s="404"/>
      <c r="I46" s="407"/>
      <c r="J46" s="403"/>
      <c r="K46" s="404"/>
      <c r="L46" s="404"/>
      <c r="M46" s="404"/>
      <c r="N46" s="405"/>
      <c r="O46" s="406"/>
      <c r="P46" s="404"/>
      <c r="Q46" s="404"/>
      <c r="R46" s="407"/>
      <c r="S46" s="403"/>
      <c r="T46" s="404"/>
      <c r="U46" s="456"/>
      <c r="V46" s="457"/>
      <c r="W46" s="458"/>
      <c r="X46" s="456"/>
      <c r="Y46" s="456"/>
      <c r="Z46" s="459"/>
      <c r="AA46" s="403"/>
      <c r="AB46" s="404"/>
      <c r="AC46" s="404"/>
      <c r="AD46" s="404"/>
      <c r="AE46" s="405"/>
      <c r="AF46" s="458"/>
      <c r="AG46" s="404"/>
      <c r="AH46" s="404"/>
      <c r="AI46" s="407"/>
      <c r="AJ46" s="403"/>
      <c r="AK46" s="404"/>
      <c r="AL46" s="404"/>
      <c r="AM46" s="423"/>
      <c r="AN46" s="424"/>
      <c r="AO46" s="439"/>
      <c r="AP46" s="423"/>
      <c r="AQ46" s="423"/>
      <c r="AR46" s="440"/>
      <c r="AS46" s="403"/>
      <c r="AT46" s="404"/>
      <c r="AU46" s="404"/>
      <c r="AV46" s="405"/>
      <c r="AW46" s="406"/>
      <c r="AX46" s="404"/>
      <c r="AY46" s="404"/>
      <c r="AZ46" s="404"/>
      <c r="BA46" s="407"/>
      <c r="BB46" s="403"/>
      <c r="BC46" s="404"/>
      <c r="BD46" s="404"/>
      <c r="BE46" s="405"/>
      <c r="BF46" s="406"/>
      <c r="BG46" s="404"/>
      <c r="BH46" s="404"/>
      <c r="BI46" s="404"/>
      <c r="BJ46" s="404"/>
      <c r="BK46" s="404"/>
      <c r="BL46" s="404"/>
      <c r="BM46" s="404"/>
      <c r="BN46" s="404"/>
      <c r="BO46" s="404"/>
      <c r="BP46" s="404"/>
      <c r="BQ46" s="404"/>
      <c r="BR46" s="404"/>
      <c r="BS46" s="404"/>
      <c r="BT46" s="404"/>
      <c r="BU46" s="404"/>
      <c r="BV46" s="404"/>
      <c r="BW46" s="404"/>
      <c r="BX46" s="404"/>
      <c r="BY46" s="404"/>
      <c r="BZ46" s="404"/>
      <c r="CA46" s="404"/>
      <c r="CB46" s="404"/>
      <c r="CC46" s="404"/>
      <c r="CD46" s="404"/>
      <c r="CE46" s="404"/>
      <c r="CF46" s="404"/>
      <c r="CG46" s="404"/>
      <c r="CH46" s="404"/>
      <c r="CI46" s="404"/>
      <c r="CJ46" s="404"/>
      <c r="CK46" s="404"/>
      <c r="CL46" s="404"/>
      <c r="CM46" s="404"/>
      <c r="CN46" s="404"/>
      <c r="CO46" s="404"/>
      <c r="CP46" s="404"/>
      <c r="CQ46" s="404"/>
      <c r="CR46" s="404"/>
      <c r="CS46" s="404"/>
      <c r="CT46" s="404"/>
      <c r="CU46" s="404"/>
      <c r="CV46" s="404"/>
      <c r="CW46" s="404"/>
      <c r="CX46" s="404"/>
      <c r="CY46" s="404"/>
      <c r="CZ46" s="404"/>
      <c r="DA46" s="404"/>
      <c r="DB46" s="404"/>
      <c r="DC46" s="407"/>
    </row>
    <row r="47" customFormat="false" ht="24.45" hidden="false" customHeight="false" outlineLevel="0" collapsed="false">
      <c r="A47" s="398"/>
      <c r="B47" s="399" t="s">
        <v>598</v>
      </c>
      <c r="C47" s="382" t="n">
        <v>2.5</v>
      </c>
      <c r="D47" s="445"/>
      <c r="E47" s="407"/>
      <c r="F47" s="406"/>
      <c r="G47" s="404"/>
      <c r="H47" s="404"/>
      <c r="I47" s="407"/>
      <c r="J47" s="403"/>
      <c r="K47" s="404"/>
      <c r="L47" s="404"/>
      <c r="M47" s="404"/>
      <c r="N47" s="405"/>
      <c r="O47" s="406"/>
      <c r="P47" s="404"/>
      <c r="Q47" s="404"/>
      <c r="R47" s="407"/>
      <c r="S47" s="403"/>
      <c r="T47" s="404"/>
      <c r="U47" s="456"/>
      <c r="V47" s="457"/>
      <c r="W47" s="458"/>
      <c r="X47" s="447"/>
      <c r="Y47" s="447"/>
      <c r="Z47" s="455"/>
      <c r="AA47" s="422"/>
      <c r="AB47" s="423"/>
      <c r="AC47" s="423"/>
      <c r="AD47" s="423"/>
      <c r="AE47" s="424"/>
      <c r="AF47" s="449"/>
      <c r="AG47" s="423"/>
      <c r="AH47" s="423"/>
      <c r="AI47" s="440"/>
      <c r="AJ47" s="403"/>
      <c r="AK47" s="404"/>
      <c r="AL47" s="404"/>
      <c r="AM47" s="404"/>
      <c r="AN47" s="405"/>
      <c r="AO47" s="406"/>
      <c r="AP47" s="404"/>
      <c r="AQ47" s="404"/>
      <c r="AR47" s="407"/>
      <c r="AS47" s="403"/>
      <c r="AT47" s="404"/>
      <c r="AU47" s="404"/>
      <c r="AV47" s="405"/>
      <c r="AW47" s="406"/>
      <c r="AX47" s="404"/>
      <c r="AY47" s="404"/>
      <c r="AZ47" s="404"/>
      <c r="BA47" s="407"/>
      <c r="BB47" s="403"/>
      <c r="BC47" s="404"/>
      <c r="BD47" s="404"/>
      <c r="BE47" s="405"/>
      <c r="BF47" s="406"/>
      <c r="BG47" s="404"/>
      <c r="BH47" s="404"/>
      <c r="BI47" s="404"/>
      <c r="BJ47" s="404"/>
      <c r="BK47" s="404"/>
      <c r="BL47" s="404"/>
      <c r="BM47" s="404"/>
      <c r="BN47" s="404"/>
      <c r="BO47" s="404"/>
      <c r="BP47" s="404"/>
      <c r="BQ47" s="404"/>
      <c r="BR47" s="404"/>
      <c r="BS47" s="404"/>
      <c r="BT47" s="404"/>
      <c r="BU47" s="404"/>
      <c r="BV47" s="404"/>
      <c r="BW47" s="404"/>
      <c r="BX47" s="404"/>
      <c r="BY47" s="404"/>
      <c r="BZ47" s="404"/>
      <c r="CA47" s="404"/>
      <c r="CB47" s="404"/>
      <c r="CC47" s="404"/>
      <c r="CD47" s="404"/>
      <c r="CE47" s="404"/>
      <c r="CF47" s="404"/>
      <c r="CG47" s="404"/>
      <c r="CH47" s="404"/>
      <c r="CI47" s="404"/>
      <c r="CJ47" s="404"/>
      <c r="CK47" s="404"/>
      <c r="CL47" s="404"/>
      <c r="CM47" s="404"/>
      <c r="CN47" s="404"/>
      <c r="CO47" s="404"/>
      <c r="CP47" s="404"/>
      <c r="CQ47" s="404"/>
      <c r="CR47" s="404"/>
      <c r="CS47" s="404"/>
      <c r="CT47" s="404"/>
      <c r="CU47" s="404"/>
      <c r="CV47" s="404"/>
      <c r="CW47" s="404"/>
      <c r="CX47" s="404"/>
      <c r="CY47" s="404"/>
      <c r="CZ47" s="404"/>
      <c r="DA47" s="404"/>
      <c r="DB47" s="404"/>
      <c r="DC47" s="407"/>
    </row>
    <row r="48" customFormat="false" ht="24.45" hidden="false" customHeight="false" outlineLevel="0" collapsed="false">
      <c r="A48" s="398"/>
      <c r="B48" s="399" t="s">
        <v>599</v>
      </c>
      <c r="C48" s="382" t="n">
        <v>2</v>
      </c>
      <c r="D48" s="445"/>
      <c r="E48" s="407"/>
      <c r="F48" s="406"/>
      <c r="G48" s="404"/>
      <c r="H48" s="404"/>
      <c r="I48" s="407"/>
      <c r="J48" s="403"/>
      <c r="K48" s="404"/>
      <c r="L48" s="404"/>
      <c r="M48" s="404"/>
      <c r="N48" s="405"/>
      <c r="O48" s="406"/>
      <c r="P48" s="404"/>
      <c r="Q48" s="404"/>
      <c r="R48" s="407"/>
      <c r="S48" s="403"/>
      <c r="T48" s="404"/>
      <c r="U48" s="456"/>
      <c r="V48" s="457"/>
      <c r="W48" s="458"/>
      <c r="X48" s="456"/>
      <c r="Y48" s="456"/>
      <c r="Z48" s="459"/>
      <c r="AA48" s="403"/>
      <c r="AB48" s="404"/>
      <c r="AC48" s="404"/>
      <c r="AD48" s="404"/>
      <c r="AE48" s="405"/>
      <c r="AF48" s="458"/>
      <c r="AG48" s="404"/>
      <c r="AH48" s="404"/>
      <c r="AI48" s="407"/>
      <c r="AJ48" s="403"/>
      <c r="AK48" s="404"/>
      <c r="AL48" s="404"/>
      <c r="AM48" s="404"/>
      <c r="AN48" s="405"/>
      <c r="AO48" s="406"/>
      <c r="AP48" s="404"/>
      <c r="AQ48" s="404"/>
      <c r="AR48" s="407"/>
      <c r="AS48" s="422"/>
      <c r="AT48" s="423"/>
      <c r="AU48" s="423"/>
      <c r="AV48" s="424"/>
      <c r="AW48" s="439"/>
      <c r="AX48" s="423"/>
      <c r="AY48" s="423"/>
      <c r="AZ48" s="423"/>
      <c r="BA48" s="440"/>
      <c r="BB48" s="403"/>
      <c r="BC48" s="404"/>
      <c r="BD48" s="404"/>
      <c r="BE48" s="405"/>
      <c r="BF48" s="406"/>
      <c r="BG48" s="404"/>
      <c r="BH48" s="404"/>
      <c r="BI48" s="404"/>
      <c r="BJ48" s="404"/>
      <c r="BK48" s="404"/>
      <c r="BL48" s="404"/>
      <c r="BM48" s="404"/>
      <c r="BN48" s="404"/>
      <c r="BO48" s="404"/>
      <c r="BP48" s="404"/>
      <c r="BQ48" s="404"/>
      <c r="BR48" s="404"/>
      <c r="BS48" s="404"/>
      <c r="BT48" s="404"/>
      <c r="BU48" s="404"/>
      <c r="BV48" s="404"/>
      <c r="BW48" s="404"/>
      <c r="BX48" s="404"/>
      <c r="BY48" s="404"/>
      <c r="BZ48" s="404"/>
      <c r="CA48" s="404"/>
      <c r="CB48" s="404"/>
      <c r="CC48" s="404"/>
      <c r="CD48" s="404"/>
      <c r="CE48" s="404"/>
      <c r="CF48" s="404"/>
      <c r="CG48" s="404"/>
      <c r="CH48" s="404"/>
      <c r="CI48" s="404"/>
      <c r="CJ48" s="404"/>
      <c r="CK48" s="404"/>
      <c r="CL48" s="404"/>
      <c r="CM48" s="404"/>
      <c r="CN48" s="404"/>
      <c r="CO48" s="404"/>
      <c r="CP48" s="404"/>
      <c r="CQ48" s="404"/>
      <c r="CR48" s="404"/>
      <c r="CS48" s="404"/>
      <c r="CT48" s="404"/>
      <c r="CU48" s="404"/>
      <c r="CV48" s="404"/>
      <c r="CW48" s="404"/>
      <c r="CX48" s="404"/>
      <c r="CY48" s="404"/>
      <c r="CZ48" s="404"/>
      <c r="DA48" s="404"/>
      <c r="DB48" s="404"/>
      <c r="DC48" s="407"/>
    </row>
    <row r="49" customFormat="false" ht="68.65" hidden="false" customHeight="false" outlineLevel="0" collapsed="false">
      <c r="A49" s="398"/>
      <c r="B49" s="399" t="s">
        <v>600</v>
      </c>
      <c r="C49" s="382" t="n">
        <v>6</v>
      </c>
      <c r="D49" s="445"/>
      <c r="E49" s="407"/>
      <c r="F49" s="406"/>
      <c r="G49" s="404"/>
      <c r="H49" s="404"/>
      <c r="I49" s="407"/>
      <c r="J49" s="403"/>
      <c r="K49" s="404"/>
      <c r="L49" s="404"/>
      <c r="M49" s="404"/>
      <c r="N49" s="405"/>
      <c r="O49" s="406"/>
      <c r="P49" s="404"/>
      <c r="Q49" s="404"/>
      <c r="R49" s="407"/>
      <c r="S49" s="403"/>
      <c r="T49" s="404"/>
      <c r="U49" s="456"/>
      <c r="V49" s="457"/>
      <c r="W49" s="458"/>
      <c r="X49" s="456"/>
      <c r="Y49" s="447"/>
      <c r="Z49" s="455"/>
      <c r="AA49" s="422"/>
      <c r="AB49" s="423"/>
      <c r="AC49" s="423"/>
      <c r="AD49" s="423"/>
      <c r="AE49" s="424"/>
      <c r="AF49" s="449"/>
      <c r="AG49" s="423"/>
      <c r="AH49" s="423"/>
      <c r="AI49" s="440"/>
      <c r="AJ49" s="422"/>
      <c r="AK49" s="423"/>
      <c r="AL49" s="423"/>
      <c r="AM49" s="423"/>
      <c r="AN49" s="424"/>
      <c r="AO49" s="439"/>
      <c r="AP49" s="423"/>
      <c r="AQ49" s="423"/>
      <c r="AR49" s="440"/>
      <c r="AS49" s="422"/>
      <c r="AT49" s="423"/>
      <c r="AU49" s="423"/>
      <c r="AV49" s="424"/>
      <c r="AW49" s="439"/>
      <c r="AX49" s="423"/>
      <c r="AY49" s="404"/>
      <c r="AZ49" s="404"/>
      <c r="BA49" s="407"/>
      <c r="BB49" s="403"/>
      <c r="BC49" s="404"/>
      <c r="BD49" s="404"/>
      <c r="BE49" s="405"/>
      <c r="BF49" s="406"/>
      <c r="BG49" s="404"/>
      <c r="BH49" s="404"/>
      <c r="BI49" s="404"/>
      <c r="BJ49" s="404"/>
      <c r="BK49" s="404"/>
      <c r="BL49" s="404"/>
      <c r="BM49" s="404"/>
      <c r="BN49" s="404"/>
      <c r="BO49" s="404"/>
      <c r="BP49" s="404"/>
      <c r="BQ49" s="404"/>
      <c r="BR49" s="404"/>
      <c r="BS49" s="404"/>
      <c r="BT49" s="404"/>
      <c r="BU49" s="404"/>
      <c r="BV49" s="404"/>
      <c r="BW49" s="404"/>
      <c r="BX49" s="404"/>
      <c r="BY49" s="404"/>
      <c r="BZ49" s="404"/>
      <c r="CA49" s="404"/>
      <c r="CB49" s="404"/>
      <c r="CC49" s="404"/>
      <c r="CD49" s="404"/>
      <c r="CE49" s="404"/>
      <c r="CF49" s="404"/>
      <c r="CG49" s="404"/>
      <c r="CH49" s="404"/>
      <c r="CI49" s="404"/>
      <c r="CJ49" s="404"/>
      <c r="CK49" s="404"/>
      <c r="CL49" s="404"/>
      <c r="CM49" s="404"/>
      <c r="CN49" s="404"/>
      <c r="CO49" s="404"/>
      <c r="CP49" s="404"/>
      <c r="CQ49" s="404"/>
      <c r="CR49" s="404"/>
      <c r="CS49" s="404"/>
      <c r="CT49" s="404"/>
      <c r="CU49" s="404"/>
      <c r="CV49" s="404"/>
      <c r="CW49" s="404"/>
      <c r="CX49" s="404"/>
      <c r="CY49" s="404"/>
      <c r="CZ49" s="404"/>
      <c r="DA49" s="404"/>
      <c r="DB49" s="404"/>
      <c r="DC49" s="407"/>
    </row>
    <row r="50" customFormat="false" ht="24.45" hidden="false" customHeight="false" outlineLevel="0" collapsed="false">
      <c r="A50" s="398"/>
      <c r="B50" s="399" t="s">
        <v>601</v>
      </c>
      <c r="C50" s="382" t="n">
        <v>1.75</v>
      </c>
      <c r="D50" s="445"/>
      <c r="E50" s="407"/>
      <c r="F50" s="406"/>
      <c r="G50" s="404"/>
      <c r="H50" s="404"/>
      <c r="I50" s="407"/>
      <c r="J50" s="403"/>
      <c r="K50" s="404"/>
      <c r="L50" s="404"/>
      <c r="M50" s="404"/>
      <c r="N50" s="405"/>
      <c r="O50" s="406"/>
      <c r="P50" s="404"/>
      <c r="Q50" s="404"/>
      <c r="R50" s="407"/>
      <c r="S50" s="403"/>
      <c r="T50" s="404"/>
      <c r="U50" s="456"/>
      <c r="V50" s="457"/>
      <c r="W50" s="458"/>
      <c r="X50" s="456"/>
      <c r="Y50" s="456"/>
      <c r="Z50" s="459"/>
      <c r="AA50" s="403"/>
      <c r="AB50" s="404"/>
      <c r="AC50" s="404"/>
      <c r="AD50" s="404"/>
      <c r="AE50" s="405"/>
      <c r="AF50" s="458"/>
      <c r="AG50" s="423"/>
      <c r="AH50" s="423"/>
      <c r="AI50" s="440"/>
      <c r="AJ50" s="422"/>
      <c r="AK50" s="423"/>
      <c r="AL50" s="423"/>
      <c r="AM50" s="423"/>
      <c r="AN50" s="424"/>
      <c r="AO50" s="406"/>
      <c r="AP50" s="404"/>
      <c r="AQ50" s="404"/>
      <c r="AR50" s="407"/>
      <c r="AS50" s="403"/>
      <c r="AT50" s="404"/>
      <c r="AU50" s="404"/>
      <c r="AV50" s="405"/>
      <c r="AW50" s="406"/>
      <c r="AX50" s="404"/>
      <c r="AY50" s="404"/>
      <c r="AZ50" s="404"/>
      <c r="BA50" s="407"/>
      <c r="BB50" s="403"/>
      <c r="BC50" s="404"/>
      <c r="BD50" s="404"/>
      <c r="BE50" s="405"/>
      <c r="BF50" s="406"/>
      <c r="BG50" s="404"/>
      <c r="BH50" s="404"/>
      <c r="BI50" s="404"/>
      <c r="BJ50" s="404"/>
      <c r="BK50" s="404"/>
      <c r="BL50" s="404"/>
      <c r="BM50" s="404"/>
      <c r="BN50" s="404"/>
      <c r="BO50" s="404"/>
      <c r="BP50" s="404"/>
      <c r="BQ50" s="404"/>
      <c r="BR50" s="404"/>
      <c r="BS50" s="404"/>
      <c r="BT50" s="404"/>
      <c r="BU50" s="404"/>
      <c r="BV50" s="404"/>
      <c r="BW50" s="404"/>
      <c r="BX50" s="404"/>
      <c r="BY50" s="404"/>
      <c r="BZ50" s="404"/>
      <c r="CA50" s="404"/>
      <c r="CB50" s="404"/>
      <c r="CC50" s="404"/>
      <c r="CD50" s="404"/>
      <c r="CE50" s="404"/>
      <c r="CF50" s="404"/>
      <c r="CG50" s="404"/>
      <c r="CH50" s="404"/>
      <c r="CI50" s="404"/>
      <c r="CJ50" s="404"/>
      <c r="CK50" s="404"/>
      <c r="CL50" s="404"/>
      <c r="CM50" s="404"/>
      <c r="CN50" s="404"/>
      <c r="CO50" s="404"/>
      <c r="CP50" s="404"/>
      <c r="CQ50" s="404"/>
      <c r="CR50" s="404"/>
      <c r="CS50" s="404"/>
      <c r="CT50" s="404"/>
      <c r="CU50" s="404"/>
      <c r="CV50" s="404"/>
      <c r="CW50" s="404"/>
      <c r="CX50" s="404"/>
      <c r="CY50" s="404"/>
      <c r="CZ50" s="404"/>
      <c r="DA50" s="404"/>
      <c r="DB50" s="404"/>
      <c r="DC50" s="407"/>
    </row>
    <row r="51" customFormat="false" ht="24.45" hidden="false" customHeight="false" outlineLevel="0" collapsed="false">
      <c r="A51" s="398"/>
      <c r="B51" s="399" t="s">
        <v>602</v>
      </c>
      <c r="C51" s="382" t="n">
        <v>1.75</v>
      </c>
      <c r="D51" s="445"/>
      <c r="E51" s="407"/>
      <c r="F51" s="406"/>
      <c r="G51" s="404"/>
      <c r="H51" s="404"/>
      <c r="I51" s="407"/>
      <c r="J51" s="403"/>
      <c r="K51" s="404"/>
      <c r="L51" s="404"/>
      <c r="M51" s="404"/>
      <c r="N51" s="405"/>
      <c r="O51" s="406"/>
      <c r="P51" s="404"/>
      <c r="Q51" s="404"/>
      <c r="R51" s="407"/>
      <c r="S51" s="403"/>
      <c r="T51" s="404"/>
      <c r="U51" s="456"/>
      <c r="V51" s="457"/>
      <c r="W51" s="458"/>
      <c r="X51" s="456"/>
      <c r="Y51" s="456"/>
      <c r="Z51" s="459"/>
      <c r="AA51" s="403"/>
      <c r="AB51" s="404"/>
      <c r="AC51" s="404"/>
      <c r="AD51" s="404"/>
      <c r="AE51" s="405"/>
      <c r="AF51" s="458"/>
      <c r="AG51" s="404"/>
      <c r="AH51" s="404"/>
      <c r="AI51" s="407"/>
      <c r="AJ51" s="403"/>
      <c r="AK51" s="404"/>
      <c r="AL51" s="404"/>
      <c r="AM51" s="404"/>
      <c r="AN51" s="405"/>
      <c r="AO51" s="406"/>
      <c r="AP51" s="404"/>
      <c r="AQ51" s="404"/>
      <c r="AR51" s="407"/>
      <c r="AS51" s="403"/>
      <c r="AT51" s="404"/>
      <c r="AU51" s="404"/>
      <c r="AV51" s="405"/>
      <c r="AW51" s="439"/>
      <c r="AX51" s="423"/>
      <c r="AY51" s="423"/>
      <c r="AZ51" s="423"/>
      <c r="BA51" s="440"/>
      <c r="BB51" s="422"/>
      <c r="BC51" s="423"/>
      <c r="BD51" s="423"/>
      <c r="BE51" s="405"/>
      <c r="BF51" s="406"/>
      <c r="BG51" s="404"/>
      <c r="BH51" s="404"/>
      <c r="BI51" s="404"/>
      <c r="BJ51" s="404"/>
      <c r="BK51" s="404"/>
      <c r="BL51" s="404"/>
      <c r="BM51" s="404"/>
      <c r="BN51" s="404"/>
      <c r="BO51" s="404"/>
      <c r="BP51" s="404"/>
      <c r="BQ51" s="404"/>
      <c r="BR51" s="404"/>
      <c r="BS51" s="404"/>
      <c r="BT51" s="404"/>
      <c r="BU51" s="404"/>
      <c r="BV51" s="404"/>
      <c r="BW51" s="404"/>
      <c r="BX51" s="404"/>
      <c r="BY51" s="404"/>
      <c r="BZ51" s="404"/>
      <c r="CA51" s="404"/>
      <c r="CB51" s="404"/>
      <c r="CC51" s="404"/>
      <c r="CD51" s="404"/>
      <c r="CE51" s="404"/>
      <c r="CF51" s="404"/>
      <c r="CG51" s="404"/>
      <c r="CH51" s="404"/>
      <c r="CI51" s="404"/>
      <c r="CJ51" s="404"/>
      <c r="CK51" s="404"/>
      <c r="CL51" s="404"/>
      <c r="CM51" s="404"/>
      <c r="CN51" s="404"/>
      <c r="CO51" s="404"/>
      <c r="CP51" s="404"/>
      <c r="CQ51" s="404"/>
      <c r="CR51" s="404"/>
      <c r="CS51" s="404"/>
      <c r="CT51" s="404"/>
      <c r="CU51" s="404"/>
      <c r="CV51" s="404"/>
      <c r="CW51" s="404"/>
      <c r="CX51" s="404"/>
      <c r="CY51" s="404"/>
      <c r="CZ51" s="404"/>
      <c r="DA51" s="404"/>
      <c r="DB51" s="404"/>
      <c r="DC51" s="407"/>
    </row>
    <row r="52" customFormat="false" ht="62.15" hidden="false" customHeight="true" outlineLevel="0" collapsed="false">
      <c r="A52" s="450" t="s">
        <v>137</v>
      </c>
      <c r="B52" s="451" t="s">
        <v>603</v>
      </c>
      <c r="C52" s="382" t="n">
        <v>5</v>
      </c>
      <c r="D52" s="406"/>
      <c r="E52" s="407"/>
      <c r="F52" s="406"/>
      <c r="G52" s="404"/>
      <c r="H52" s="404"/>
      <c r="I52" s="407"/>
      <c r="J52" s="403"/>
      <c r="K52" s="404"/>
      <c r="L52" s="404"/>
      <c r="M52" s="404"/>
      <c r="N52" s="405"/>
      <c r="O52" s="406"/>
      <c r="P52" s="404"/>
      <c r="Q52" s="404"/>
      <c r="R52" s="407"/>
      <c r="S52" s="403"/>
      <c r="T52" s="404"/>
      <c r="U52" s="404"/>
      <c r="V52" s="405"/>
      <c r="W52" s="406"/>
      <c r="X52" s="404"/>
      <c r="Y52" s="404"/>
      <c r="Z52" s="407"/>
      <c r="AA52" s="403"/>
      <c r="AB52" s="404"/>
      <c r="AC52" s="404"/>
      <c r="AD52" s="404"/>
      <c r="AE52" s="405"/>
      <c r="AF52" s="406"/>
      <c r="AG52" s="404"/>
      <c r="AH52" s="423"/>
      <c r="AI52" s="440"/>
      <c r="AJ52" s="422"/>
      <c r="AK52" s="423"/>
      <c r="AL52" s="423"/>
      <c r="AM52" s="423"/>
      <c r="AN52" s="424"/>
      <c r="AO52" s="439"/>
      <c r="AP52" s="423"/>
      <c r="AQ52" s="423"/>
      <c r="AR52" s="440"/>
      <c r="AS52" s="422"/>
      <c r="AT52" s="423"/>
      <c r="AU52" s="423"/>
      <c r="AV52" s="424"/>
      <c r="AW52" s="439"/>
      <c r="AX52" s="423"/>
      <c r="AY52" s="423"/>
      <c r="AZ52" s="423"/>
      <c r="BA52" s="407"/>
      <c r="BB52" s="403"/>
      <c r="BC52" s="404"/>
      <c r="BD52" s="404"/>
      <c r="BE52" s="405"/>
      <c r="BF52" s="406"/>
      <c r="BG52" s="404"/>
      <c r="BH52" s="404"/>
      <c r="BI52" s="404"/>
      <c r="BJ52" s="404"/>
      <c r="BK52" s="404"/>
      <c r="BL52" s="404"/>
      <c r="BM52" s="404"/>
      <c r="BN52" s="404"/>
      <c r="BO52" s="404"/>
      <c r="BP52" s="404"/>
      <c r="BQ52" s="404"/>
      <c r="BR52" s="404"/>
      <c r="BS52" s="404"/>
      <c r="BT52" s="404"/>
      <c r="BU52" s="404"/>
      <c r="BV52" s="404"/>
      <c r="BW52" s="404"/>
      <c r="BX52" s="404"/>
      <c r="BY52" s="404"/>
      <c r="BZ52" s="404"/>
      <c r="CA52" s="404"/>
      <c r="CB52" s="404"/>
      <c r="CC52" s="404"/>
      <c r="CD52" s="404"/>
      <c r="CE52" s="404"/>
      <c r="CF52" s="404"/>
      <c r="CG52" s="404"/>
      <c r="CH52" s="404"/>
      <c r="CI52" s="404"/>
      <c r="CJ52" s="404"/>
      <c r="CK52" s="404"/>
      <c r="CL52" s="404"/>
      <c r="CM52" s="404"/>
      <c r="CN52" s="404"/>
      <c r="CO52" s="404"/>
      <c r="CP52" s="404"/>
      <c r="CQ52" s="404"/>
      <c r="CR52" s="404"/>
      <c r="CS52" s="404"/>
      <c r="CT52" s="404"/>
      <c r="CU52" s="404"/>
      <c r="CV52" s="404"/>
      <c r="CW52" s="404"/>
      <c r="CX52" s="404"/>
      <c r="CY52" s="404"/>
      <c r="CZ52" s="404"/>
      <c r="DA52" s="404"/>
      <c r="DB52" s="404"/>
      <c r="DC52" s="407"/>
    </row>
    <row r="53" customFormat="false" ht="62.15" hidden="false" customHeight="true" outlineLevel="0" collapsed="false">
      <c r="A53" s="450"/>
      <c r="B53" s="451" t="s">
        <v>604</v>
      </c>
      <c r="C53" s="382" t="n">
        <v>0.5</v>
      </c>
      <c r="D53" s="406"/>
      <c r="E53" s="407"/>
      <c r="F53" s="406"/>
      <c r="G53" s="404"/>
      <c r="H53" s="404"/>
      <c r="I53" s="407"/>
      <c r="J53" s="403"/>
      <c r="K53" s="404"/>
      <c r="L53" s="404"/>
      <c r="M53" s="404"/>
      <c r="N53" s="405"/>
      <c r="O53" s="406"/>
      <c r="P53" s="404"/>
      <c r="Q53" s="404"/>
      <c r="R53" s="407"/>
      <c r="S53" s="403"/>
      <c r="T53" s="404"/>
      <c r="U53" s="404"/>
      <c r="V53" s="405"/>
      <c r="W53" s="406"/>
      <c r="X53" s="404"/>
      <c r="Y53" s="404"/>
      <c r="Z53" s="407"/>
      <c r="AA53" s="403"/>
      <c r="AB53" s="404"/>
      <c r="AC53" s="404"/>
      <c r="AD53" s="404"/>
      <c r="AE53" s="405"/>
      <c r="AF53" s="406"/>
      <c r="AG53" s="404"/>
      <c r="AH53" s="404"/>
      <c r="AI53" s="407"/>
      <c r="AJ53" s="403"/>
      <c r="AK53" s="404"/>
      <c r="AL53" s="404"/>
      <c r="AM53" s="404"/>
      <c r="AN53" s="405"/>
      <c r="AO53" s="406"/>
      <c r="AP53" s="404"/>
      <c r="AQ53" s="404"/>
      <c r="AR53" s="407"/>
      <c r="AS53" s="403"/>
      <c r="AT53" s="404"/>
      <c r="AU53" s="404"/>
      <c r="AV53" s="405"/>
      <c r="AW53" s="406"/>
      <c r="AX53" s="404"/>
      <c r="AY53" s="423"/>
      <c r="AZ53" s="423"/>
      <c r="BA53" s="407"/>
      <c r="BB53" s="403"/>
      <c r="BC53" s="404"/>
      <c r="BD53" s="404"/>
      <c r="BE53" s="405"/>
      <c r="BF53" s="406"/>
      <c r="BG53" s="404"/>
      <c r="BH53" s="404"/>
      <c r="BI53" s="404"/>
      <c r="BJ53" s="404"/>
      <c r="BK53" s="404"/>
      <c r="BL53" s="404"/>
      <c r="BM53" s="404"/>
      <c r="BN53" s="404"/>
      <c r="BO53" s="404"/>
      <c r="BP53" s="404"/>
      <c r="BQ53" s="404"/>
      <c r="BR53" s="404"/>
      <c r="BS53" s="404"/>
      <c r="BT53" s="404"/>
      <c r="BU53" s="404"/>
      <c r="BV53" s="404"/>
      <c r="BW53" s="404"/>
      <c r="BX53" s="404"/>
      <c r="BY53" s="404"/>
      <c r="BZ53" s="404"/>
      <c r="CA53" s="404"/>
      <c r="CB53" s="404"/>
      <c r="CC53" s="404"/>
      <c r="CD53" s="404"/>
      <c r="CE53" s="404"/>
      <c r="CF53" s="404"/>
      <c r="CG53" s="404"/>
      <c r="CH53" s="404"/>
      <c r="CI53" s="404"/>
      <c r="CJ53" s="404"/>
      <c r="CK53" s="404"/>
      <c r="CL53" s="404"/>
      <c r="CM53" s="404"/>
      <c r="CN53" s="404"/>
      <c r="CO53" s="404"/>
      <c r="CP53" s="404"/>
      <c r="CQ53" s="404"/>
      <c r="CR53" s="404"/>
      <c r="CS53" s="404"/>
      <c r="CT53" s="404"/>
      <c r="CU53" s="404"/>
      <c r="CV53" s="404"/>
      <c r="CW53" s="404"/>
      <c r="CX53" s="404"/>
      <c r="CY53" s="404"/>
      <c r="CZ53" s="404"/>
      <c r="DA53" s="404"/>
      <c r="DB53" s="404"/>
      <c r="DC53" s="407"/>
    </row>
    <row r="54" customFormat="false" ht="62.15" hidden="false" customHeight="true" outlineLevel="0" collapsed="false">
      <c r="A54" s="450"/>
      <c r="B54" s="451" t="s">
        <v>605</v>
      </c>
      <c r="C54" s="382" t="n">
        <v>7</v>
      </c>
      <c r="D54" s="406"/>
      <c r="E54" s="407"/>
      <c r="F54" s="406"/>
      <c r="G54" s="404"/>
      <c r="H54" s="404"/>
      <c r="I54" s="407"/>
      <c r="J54" s="403"/>
      <c r="K54" s="404"/>
      <c r="L54" s="404"/>
      <c r="M54" s="404"/>
      <c r="N54" s="405"/>
      <c r="O54" s="406"/>
      <c r="P54" s="404"/>
      <c r="Q54" s="404"/>
      <c r="R54" s="407"/>
      <c r="S54" s="408"/>
      <c r="T54" s="423"/>
      <c r="U54" s="423"/>
      <c r="V54" s="424"/>
      <c r="W54" s="439"/>
      <c r="X54" s="423"/>
      <c r="Y54" s="423"/>
      <c r="Z54" s="440"/>
      <c r="AA54" s="422"/>
      <c r="AB54" s="423"/>
      <c r="AC54" s="423"/>
      <c r="AD54" s="423"/>
      <c r="AE54" s="424"/>
      <c r="AF54" s="439"/>
      <c r="AG54" s="423"/>
      <c r="AH54" s="423"/>
      <c r="AI54" s="440"/>
      <c r="AJ54" s="422"/>
      <c r="AK54" s="423"/>
      <c r="AL54" s="423"/>
      <c r="AM54" s="423"/>
      <c r="AN54" s="424"/>
      <c r="AO54" s="439"/>
      <c r="AP54" s="423"/>
      <c r="AQ54" s="423"/>
      <c r="AR54" s="440"/>
      <c r="AS54" s="422"/>
      <c r="AT54" s="423"/>
      <c r="AU54" s="423"/>
      <c r="AV54" s="424"/>
      <c r="AW54" s="406"/>
      <c r="AX54" s="404"/>
      <c r="AY54" s="404"/>
      <c r="AZ54" s="404"/>
      <c r="BA54" s="407"/>
      <c r="BB54" s="403"/>
      <c r="BC54" s="404"/>
      <c r="BD54" s="404"/>
      <c r="BE54" s="405"/>
      <c r="BF54" s="406"/>
      <c r="BG54" s="404"/>
      <c r="BH54" s="404"/>
      <c r="BI54" s="404"/>
      <c r="BJ54" s="404"/>
      <c r="BK54" s="404"/>
      <c r="BL54" s="404"/>
      <c r="BM54" s="404"/>
      <c r="BN54" s="404"/>
      <c r="BO54" s="404"/>
      <c r="BP54" s="404"/>
      <c r="BQ54" s="404"/>
      <c r="BR54" s="404"/>
      <c r="BS54" s="404"/>
      <c r="BT54" s="404"/>
      <c r="BU54" s="404"/>
      <c r="BV54" s="404"/>
      <c r="BW54" s="404"/>
      <c r="BX54" s="404"/>
      <c r="BY54" s="404"/>
      <c r="BZ54" s="404"/>
      <c r="CA54" s="404"/>
      <c r="CB54" s="404"/>
      <c r="CC54" s="404"/>
      <c r="CD54" s="404"/>
      <c r="CE54" s="404"/>
      <c r="CF54" s="404"/>
      <c r="CG54" s="404"/>
      <c r="CH54" s="404"/>
      <c r="CI54" s="404"/>
      <c r="CJ54" s="404"/>
      <c r="CK54" s="404"/>
      <c r="CL54" s="404"/>
      <c r="CM54" s="404"/>
      <c r="CN54" s="404"/>
      <c r="CO54" s="404"/>
      <c r="CP54" s="404"/>
      <c r="CQ54" s="404"/>
      <c r="CR54" s="404"/>
      <c r="CS54" s="404"/>
      <c r="CT54" s="404"/>
      <c r="CU54" s="404"/>
      <c r="CV54" s="404"/>
      <c r="CW54" s="404"/>
      <c r="CX54" s="404"/>
      <c r="CY54" s="404"/>
      <c r="CZ54" s="404"/>
      <c r="DA54" s="404"/>
      <c r="DB54" s="404"/>
      <c r="DC54" s="407"/>
    </row>
    <row r="55" customFormat="false" ht="62.15" hidden="false" customHeight="true" outlineLevel="0" collapsed="false">
      <c r="A55" s="450"/>
      <c r="B55" s="451" t="s">
        <v>606</v>
      </c>
      <c r="C55" s="382" t="n">
        <v>3</v>
      </c>
      <c r="D55" s="406"/>
      <c r="E55" s="407"/>
      <c r="F55" s="406"/>
      <c r="G55" s="404"/>
      <c r="H55" s="404"/>
      <c r="I55" s="407"/>
      <c r="J55" s="403"/>
      <c r="K55" s="404"/>
      <c r="L55" s="404"/>
      <c r="M55" s="404"/>
      <c r="N55" s="405"/>
      <c r="O55" s="406"/>
      <c r="P55" s="404"/>
      <c r="Q55" s="404"/>
      <c r="R55" s="407"/>
      <c r="S55" s="403"/>
      <c r="T55" s="404"/>
      <c r="U55" s="404"/>
      <c r="V55" s="405"/>
      <c r="W55" s="406"/>
      <c r="X55" s="404"/>
      <c r="Y55" s="404"/>
      <c r="Z55" s="407"/>
      <c r="AA55" s="403"/>
      <c r="AB55" s="404"/>
      <c r="AC55" s="404"/>
      <c r="AD55" s="404"/>
      <c r="AE55" s="405"/>
      <c r="AF55" s="406"/>
      <c r="AG55" s="404"/>
      <c r="AH55" s="404"/>
      <c r="AI55" s="407"/>
      <c r="AJ55" s="403"/>
      <c r="AK55" s="404"/>
      <c r="AL55" s="404"/>
      <c r="AM55" s="404"/>
      <c r="AN55" s="405"/>
      <c r="AO55" s="406"/>
      <c r="AP55" s="404"/>
      <c r="AQ55" s="404"/>
      <c r="AR55" s="407"/>
      <c r="AS55" s="422"/>
      <c r="AT55" s="423"/>
      <c r="AU55" s="423"/>
      <c r="AV55" s="424"/>
      <c r="AW55" s="439"/>
      <c r="AX55" s="423"/>
      <c r="AY55" s="423"/>
      <c r="AZ55" s="423"/>
      <c r="BA55" s="440"/>
      <c r="BB55" s="422"/>
      <c r="BC55" s="423"/>
      <c r="BD55" s="423"/>
      <c r="BE55" s="424"/>
      <c r="BF55" s="406"/>
      <c r="BG55" s="404"/>
      <c r="BH55" s="404"/>
      <c r="BI55" s="404"/>
      <c r="BJ55" s="404"/>
      <c r="BK55" s="404"/>
      <c r="BL55" s="404"/>
      <c r="BM55" s="404"/>
      <c r="BN55" s="404"/>
      <c r="BO55" s="404"/>
      <c r="BP55" s="404"/>
      <c r="BQ55" s="404"/>
      <c r="BR55" s="404"/>
      <c r="BS55" s="404"/>
      <c r="BT55" s="404"/>
      <c r="BU55" s="404"/>
      <c r="BV55" s="404"/>
      <c r="BW55" s="404"/>
      <c r="BX55" s="404"/>
      <c r="BY55" s="404"/>
      <c r="BZ55" s="404"/>
      <c r="CA55" s="404"/>
      <c r="CB55" s="404"/>
      <c r="CC55" s="404"/>
      <c r="CD55" s="404"/>
      <c r="CE55" s="404"/>
      <c r="CF55" s="404"/>
      <c r="CG55" s="404"/>
      <c r="CH55" s="404"/>
      <c r="CI55" s="404"/>
      <c r="CJ55" s="404"/>
      <c r="CK55" s="404"/>
      <c r="CL55" s="404"/>
      <c r="CM55" s="404"/>
      <c r="CN55" s="404"/>
      <c r="CO55" s="404"/>
      <c r="CP55" s="404"/>
      <c r="CQ55" s="404"/>
      <c r="CR55" s="404"/>
      <c r="CS55" s="404"/>
      <c r="CT55" s="404"/>
      <c r="CU55" s="404"/>
      <c r="CV55" s="404"/>
      <c r="CW55" s="404"/>
      <c r="CX55" s="404"/>
      <c r="CY55" s="404"/>
      <c r="CZ55" s="404"/>
      <c r="DA55" s="404"/>
      <c r="DB55" s="404"/>
      <c r="DC55" s="407"/>
    </row>
    <row r="56" customFormat="false" ht="24.45" hidden="false" customHeight="false" outlineLevel="0" collapsed="false">
      <c r="A56" s="450"/>
      <c r="B56" s="399" t="s">
        <v>607</v>
      </c>
      <c r="C56" s="382" t="n">
        <v>11</v>
      </c>
      <c r="D56" s="445"/>
      <c r="E56" s="407"/>
      <c r="F56" s="406"/>
      <c r="G56" s="404"/>
      <c r="H56" s="404"/>
      <c r="I56" s="407"/>
      <c r="J56" s="403"/>
      <c r="K56" s="404"/>
      <c r="L56" s="402"/>
      <c r="M56" s="402"/>
      <c r="N56" s="438"/>
      <c r="O56" s="400"/>
      <c r="P56" s="402"/>
      <c r="Q56" s="402"/>
      <c r="R56" s="401"/>
      <c r="S56" s="408"/>
      <c r="T56" s="423"/>
      <c r="U56" s="447"/>
      <c r="V56" s="454"/>
      <c r="W56" s="449"/>
      <c r="X56" s="447"/>
      <c r="Y56" s="447"/>
      <c r="Z56" s="455"/>
      <c r="AA56" s="422"/>
      <c r="AB56" s="423"/>
      <c r="AC56" s="423"/>
      <c r="AD56" s="423"/>
      <c r="AE56" s="424"/>
      <c r="AF56" s="449"/>
      <c r="AG56" s="423"/>
      <c r="AH56" s="423"/>
      <c r="AI56" s="440"/>
      <c r="AJ56" s="422"/>
      <c r="AK56" s="423"/>
      <c r="AL56" s="423"/>
      <c r="AM56" s="423"/>
      <c r="AN56" s="424"/>
      <c r="AO56" s="439"/>
      <c r="AP56" s="423"/>
      <c r="AQ56" s="423"/>
      <c r="AR56" s="440"/>
      <c r="AS56" s="422"/>
      <c r="AT56" s="423"/>
      <c r="AU56" s="423"/>
      <c r="AV56" s="424"/>
      <c r="AW56" s="439"/>
      <c r="AX56" s="423"/>
      <c r="AY56" s="423"/>
      <c r="AZ56" s="423"/>
      <c r="BA56" s="440"/>
      <c r="BB56" s="422"/>
      <c r="BC56" s="423"/>
      <c r="BD56" s="423"/>
      <c r="BE56" s="405"/>
      <c r="BF56" s="406"/>
      <c r="BG56" s="404"/>
      <c r="BH56" s="404"/>
      <c r="BI56" s="404"/>
      <c r="BJ56" s="404"/>
      <c r="BK56" s="404"/>
      <c r="BL56" s="404"/>
      <c r="BM56" s="404"/>
      <c r="BN56" s="404"/>
      <c r="BO56" s="404"/>
      <c r="BP56" s="404"/>
      <c r="BQ56" s="404"/>
      <c r="BR56" s="404"/>
      <c r="BS56" s="404"/>
      <c r="BT56" s="404"/>
      <c r="BU56" s="404"/>
      <c r="BV56" s="404"/>
      <c r="BW56" s="404"/>
      <c r="BX56" s="404"/>
      <c r="BY56" s="404"/>
      <c r="BZ56" s="404"/>
      <c r="CA56" s="404"/>
      <c r="CB56" s="404"/>
      <c r="CC56" s="404"/>
      <c r="CD56" s="404"/>
      <c r="CE56" s="404"/>
      <c r="CF56" s="404"/>
      <c r="CG56" s="404"/>
      <c r="CH56" s="404"/>
      <c r="CI56" s="404"/>
      <c r="CJ56" s="404"/>
      <c r="CK56" s="404"/>
      <c r="CL56" s="404"/>
      <c r="CM56" s="404"/>
      <c r="CN56" s="404"/>
      <c r="CO56" s="404"/>
      <c r="CP56" s="404"/>
      <c r="CQ56" s="404"/>
      <c r="CR56" s="404"/>
      <c r="CS56" s="404"/>
      <c r="CT56" s="404"/>
      <c r="CU56" s="404"/>
      <c r="CV56" s="404"/>
      <c r="CW56" s="404"/>
      <c r="CX56" s="404"/>
      <c r="CY56" s="404"/>
      <c r="CZ56" s="404"/>
      <c r="DA56" s="404"/>
      <c r="DB56" s="404"/>
      <c r="DC56" s="407"/>
    </row>
    <row r="57" customFormat="false" ht="24.45" hidden="false" customHeight="false" outlineLevel="0" collapsed="false">
      <c r="A57" s="450"/>
      <c r="B57" s="399" t="s">
        <v>608</v>
      </c>
      <c r="C57" s="382" t="n">
        <v>2.5</v>
      </c>
      <c r="D57" s="445"/>
      <c r="E57" s="407"/>
      <c r="F57" s="406"/>
      <c r="G57" s="404"/>
      <c r="H57" s="404"/>
      <c r="I57" s="407"/>
      <c r="J57" s="403"/>
      <c r="K57" s="404"/>
      <c r="L57" s="404"/>
      <c r="M57" s="404"/>
      <c r="N57" s="405"/>
      <c r="O57" s="406"/>
      <c r="P57" s="404"/>
      <c r="Q57" s="404"/>
      <c r="R57" s="407"/>
      <c r="S57" s="408"/>
      <c r="T57" s="423"/>
      <c r="U57" s="447"/>
      <c r="V57" s="454"/>
      <c r="W57" s="449"/>
      <c r="X57" s="447"/>
      <c r="Y57" s="447"/>
      <c r="Z57" s="455"/>
      <c r="AA57" s="403"/>
      <c r="AB57" s="404"/>
      <c r="AC57" s="404"/>
      <c r="AD57" s="404"/>
      <c r="AE57" s="405"/>
      <c r="AF57" s="458"/>
      <c r="AG57" s="404"/>
      <c r="AH57" s="404"/>
      <c r="AI57" s="407"/>
      <c r="AJ57" s="403"/>
      <c r="AK57" s="404"/>
      <c r="AL57" s="404"/>
      <c r="AM57" s="404"/>
      <c r="AN57" s="405"/>
      <c r="AO57" s="406"/>
      <c r="AP57" s="404"/>
      <c r="AQ57" s="404"/>
      <c r="AR57" s="407"/>
      <c r="AS57" s="403"/>
      <c r="AT57" s="404"/>
      <c r="AU57" s="404"/>
      <c r="AV57" s="405"/>
      <c r="AW57" s="406"/>
      <c r="AX57" s="404"/>
      <c r="AY57" s="404"/>
      <c r="AZ57" s="404"/>
      <c r="BA57" s="407"/>
      <c r="BB57" s="403"/>
      <c r="BC57" s="404"/>
      <c r="BD57" s="404"/>
      <c r="BE57" s="405"/>
      <c r="BF57" s="406"/>
      <c r="BG57" s="404"/>
      <c r="BH57" s="404"/>
      <c r="BI57" s="404"/>
      <c r="BJ57" s="404"/>
      <c r="BK57" s="404"/>
      <c r="BL57" s="404"/>
      <c r="BM57" s="404"/>
      <c r="BN57" s="404"/>
      <c r="BO57" s="404"/>
      <c r="BP57" s="404"/>
      <c r="BQ57" s="404"/>
      <c r="BR57" s="404"/>
      <c r="BS57" s="404"/>
      <c r="BT57" s="404"/>
      <c r="BU57" s="404"/>
      <c r="BV57" s="404"/>
      <c r="BW57" s="404"/>
      <c r="BX57" s="404"/>
      <c r="BY57" s="404"/>
      <c r="BZ57" s="404"/>
      <c r="CA57" s="404"/>
      <c r="CB57" s="404"/>
      <c r="CC57" s="404"/>
      <c r="CD57" s="404"/>
      <c r="CE57" s="404"/>
      <c r="CF57" s="404"/>
      <c r="CG57" s="404"/>
      <c r="CH57" s="404"/>
      <c r="CI57" s="404"/>
      <c r="CJ57" s="404"/>
      <c r="CK57" s="404"/>
      <c r="CL57" s="404"/>
      <c r="CM57" s="404"/>
      <c r="CN57" s="404"/>
      <c r="CO57" s="404"/>
      <c r="CP57" s="404"/>
      <c r="CQ57" s="404"/>
      <c r="CR57" s="404"/>
      <c r="CS57" s="404"/>
      <c r="CT57" s="404"/>
      <c r="CU57" s="404"/>
      <c r="CV57" s="404"/>
      <c r="CW57" s="404"/>
      <c r="CX57" s="404"/>
      <c r="CY57" s="404"/>
      <c r="CZ57" s="404"/>
      <c r="DA57" s="404"/>
      <c r="DB57" s="404"/>
      <c r="DC57" s="407"/>
    </row>
    <row r="58" customFormat="false" ht="24.45" hidden="false" customHeight="false" outlineLevel="0" collapsed="false">
      <c r="A58" s="450"/>
      <c r="B58" s="399" t="s">
        <v>608</v>
      </c>
      <c r="C58" s="382" t="n">
        <v>2.5</v>
      </c>
      <c r="D58" s="445"/>
      <c r="E58" s="407"/>
      <c r="F58" s="406"/>
      <c r="G58" s="404"/>
      <c r="H58" s="404"/>
      <c r="I58" s="407"/>
      <c r="J58" s="403"/>
      <c r="K58" s="404"/>
      <c r="L58" s="404"/>
      <c r="M58" s="404"/>
      <c r="N58" s="405"/>
      <c r="O58" s="406"/>
      <c r="P58" s="404"/>
      <c r="Q58" s="404"/>
      <c r="R58" s="407"/>
      <c r="S58" s="408"/>
      <c r="T58" s="423"/>
      <c r="U58" s="447"/>
      <c r="V58" s="454"/>
      <c r="W58" s="449"/>
      <c r="X58" s="447"/>
      <c r="Y58" s="447"/>
      <c r="Z58" s="455"/>
      <c r="AA58" s="403"/>
      <c r="AB58" s="404"/>
      <c r="AC58" s="404"/>
      <c r="AD58" s="404"/>
      <c r="AE58" s="405"/>
      <c r="AF58" s="458"/>
      <c r="AG58" s="404"/>
      <c r="AH58" s="404"/>
      <c r="AI58" s="407"/>
      <c r="AJ58" s="403"/>
      <c r="AK58" s="404"/>
      <c r="AL58" s="404"/>
      <c r="AM58" s="404"/>
      <c r="AN58" s="405"/>
      <c r="AO58" s="406"/>
      <c r="AP58" s="404"/>
      <c r="AQ58" s="404"/>
      <c r="AR58" s="407"/>
      <c r="AS58" s="403"/>
      <c r="AT58" s="404"/>
      <c r="AU58" s="404"/>
      <c r="AV58" s="405"/>
      <c r="AW58" s="406"/>
      <c r="AX58" s="404"/>
      <c r="AY58" s="404"/>
      <c r="AZ58" s="404"/>
      <c r="BA58" s="407"/>
      <c r="BB58" s="403"/>
      <c r="BC58" s="404"/>
      <c r="BD58" s="404"/>
      <c r="BE58" s="405"/>
      <c r="BF58" s="406"/>
      <c r="BG58" s="404"/>
      <c r="BH58" s="404"/>
      <c r="BI58" s="404"/>
      <c r="BJ58" s="404"/>
      <c r="BK58" s="404"/>
      <c r="BL58" s="404"/>
      <c r="BM58" s="404"/>
      <c r="BN58" s="404"/>
      <c r="BO58" s="404"/>
      <c r="BP58" s="404"/>
      <c r="BQ58" s="404"/>
      <c r="BR58" s="404"/>
      <c r="BS58" s="404"/>
      <c r="BT58" s="404"/>
      <c r="BU58" s="404"/>
      <c r="BV58" s="404"/>
      <c r="BW58" s="404"/>
      <c r="BX58" s="404"/>
      <c r="BY58" s="404"/>
      <c r="BZ58" s="404"/>
      <c r="CA58" s="404"/>
      <c r="CB58" s="404"/>
      <c r="CC58" s="404"/>
      <c r="CD58" s="404"/>
      <c r="CE58" s="404"/>
      <c r="CF58" s="404"/>
      <c r="CG58" s="404"/>
      <c r="CH58" s="404"/>
      <c r="CI58" s="404"/>
      <c r="CJ58" s="404"/>
      <c r="CK58" s="404"/>
      <c r="CL58" s="404"/>
      <c r="CM58" s="404"/>
      <c r="CN58" s="404"/>
      <c r="CO58" s="404"/>
      <c r="CP58" s="404"/>
      <c r="CQ58" s="404"/>
      <c r="CR58" s="404"/>
      <c r="CS58" s="404"/>
      <c r="CT58" s="404"/>
      <c r="CU58" s="404"/>
      <c r="CV58" s="404"/>
      <c r="CW58" s="404"/>
      <c r="CX58" s="404"/>
      <c r="CY58" s="404"/>
      <c r="CZ58" s="404"/>
      <c r="DA58" s="404"/>
      <c r="DB58" s="404"/>
      <c r="DC58" s="407"/>
    </row>
    <row r="59" customFormat="false" ht="24.45" hidden="false" customHeight="false" outlineLevel="0" collapsed="false">
      <c r="A59" s="450"/>
      <c r="B59" s="399" t="s">
        <v>608</v>
      </c>
      <c r="C59" s="382" t="n">
        <v>2.5</v>
      </c>
      <c r="D59" s="445"/>
      <c r="E59" s="407"/>
      <c r="F59" s="406"/>
      <c r="G59" s="404"/>
      <c r="H59" s="404"/>
      <c r="I59" s="407"/>
      <c r="J59" s="403"/>
      <c r="K59" s="404"/>
      <c r="L59" s="404"/>
      <c r="M59" s="404"/>
      <c r="N59" s="405"/>
      <c r="O59" s="406"/>
      <c r="P59" s="404"/>
      <c r="Q59" s="404"/>
      <c r="R59" s="407"/>
      <c r="S59" s="408"/>
      <c r="T59" s="423"/>
      <c r="U59" s="447"/>
      <c r="V59" s="454"/>
      <c r="W59" s="449"/>
      <c r="X59" s="447"/>
      <c r="Y59" s="447"/>
      <c r="Z59" s="455"/>
      <c r="AA59" s="403"/>
      <c r="AB59" s="404"/>
      <c r="AC59" s="404"/>
      <c r="AD59" s="404"/>
      <c r="AE59" s="405"/>
      <c r="AF59" s="458"/>
      <c r="AG59" s="404"/>
      <c r="AH59" s="404"/>
      <c r="AI59" s="407"/>
      <c r="AJ59" s="403"/>
      <c r="AK59" s="404"/>
      <c r="AL59" s="404"/>
      <c r="AM59" s="404"/>
      <c r="AN59" s="405"/>
      <c r="AO59" s="406"/>
      <c r="AP59" s="404"/>
      <c r="AQ59" s="404"/>
      <c r="AR59" s="407"/>
      <c r="AS59" s="403"/>
      <c r="AT59" s="404"/>
      <c r="AU59" s="404"/>
      <c r="AV59" s="405"/>
      <c r="AW59" s="406"/>
      <c r="AX59" s="404"/>
      <c r="AY59" s="404"/>
      <c r="AZ59" s="404"/>
      <c r="BA59" s="407"/>
      <c r="BB59" s="403"/>
      <c r="BC59" s="404"/>
      <c r="BD59" s="404"/>
      <c r="BE59" s="405"/>
      <c r="BF59" s="406"/>
      <c r="BG59" s="404"/>
      <c r="BH59" s="404"/>
      <c r="BI59" s="404"/>
      <c r="BJ59" s="404"/>
      <c r="BK59" s="404"/>
      <c r="BL59" s="404"/>
      <c r="BM59" s="404"/>
      <c r="BN59" s="404"/>
      <c r="BO59" s="404"/>
      <c r="BP59" s="404"/>
      <c r="BQ59" s="404"/>
      <c r="BR59" s="404"/>
      <c r="BS59" s="404"/>
      <c r="BT59" s="404"/>
      <c r="BU59" s="404"/>
      <c r="BV59" s="404"/>
      <c r="BW59" s="404"/>
      <c r="BX59" s="404"/>
      <c r="BY59" s="404"/>
      <c r="BZ59" s="404"/>
      <c r="CA59" s="404"/>
      <c r="CB59" s="404"/>
      <c r="CC59" s="404"/>
      <c r="CD59" s="404"/>
      <c r="CE59" s="404"/>
      <c r="CF59" s="404"/>
      <c r="CG59" s="404"/>
      <c r="CH59" s="404"/>
      <c r="CI59" s="404"/>
      <c r="CJ59" s="404"/>
      <c r="CK59" s="404"/>
      <c r="CL59" s="404"/>
      <c r="CM59" s="404"/>
      <c r="CN59" s="404"/>
      <c r="CO59" s="404"/>
      <c r="CP59" s="404"/>
      <c r="CQ59" s="404"/>
      <c r="CR59" s="404"/>
      <c r="CS59" s="404"/>
      <c r="CT59" s="404"/>
      <c r="CU59" s="404"/>
      <c r="CV59" s="404"/>
      <c r="CW59" s="404"/>
      <c r="CX59" s="404"/>
      <c r="CY59" s="404"/>
      <c r="CZ59" s="404"/>
      <c r="DA59" s="404"/>
      <c r="DB59" s="404"/>
      <c r="DC59" s="407"/>
    </row>
    <row r="60" customFormat="false" ht="24.45" hidden="false" customHeight="false" outlineLevel="0" collapsed="false">
      <c r="A60" s="450"/>
      <c r="B60" s="399" t="s">
        <v>608</v>
      </c>
      <c r="C60" s="382" t="n">
        <v>2.5</v>
      </c>
      <c r="D60" s="445"/>
      <c r="E60" s="407"/>
      <c r="F60" s="406"/>
      <c r="G60" s="404"/>
      <c r="H60" s="404"/>
      <c r="I60" s="407"/>
      <c r="J60" s="403"/>
      <c r="K60" s="404"/>
      <c r="L60" s="404"/>
      <c r="M60" s="404"/>
      <c r="N60" s="405"/>
      <c r="O60" s="406"/>
      <c r="P60" s="404"/>
      <c r="Q60" s="404"/>
      <c r="R60" s="407"/>
      <c r="S60" s="408"/>
      <c r="T60" s="423"/>
      <c r="U60" s="447"/>
      <c r="V60" s="454"/>
      <c r="W60" s="449"/>
      <c r="X60" s="447"/>
      <c r="Y60" s="447"/>
      <c r="Z60" s="455"/>
      <c r="AA60" s="403"/>
      <c r="AB60" s="404"/>
      <c r="AC60" s="404"/>
      <c r="AD60" s="404"/>
      <c r="AE60" s="405"/>
      <c r="AF60" s="458"/>
      <c r="AG60" s="404"/>
      <c r="AH60" s="404"/>
      <c r="AI60" s="407"/>
      <c r="AJ60" s="403"/>
      <c r="AK60" s="404"/>
      <c r="AL60" s="404"/>
      <c r="AM60" s="404"/>
      <c r="AN60" s="405"/>
      <c r="AO60" s="406"/>
      <c r="AP60" s="404"/>
      <c r="AQ60" s="404"/>
      <c r="AR60" s="407"/>
      <c r="AS60" s="403"/>
      <c r="AT60" s="404"/>
      <c r="AU60" s="404"/>
      <c r="AV60" s="405"/>
      <c r="AW60" s="406"/>
      <c r="AX60" s="404"/>
      <c r="AY60" s="404"/>
      <c r="AZ60" s="404"/>
      <c r="BA60" s="407"/>
      <c r="BB60" s="403"/>
      <c r="BC60" s="404"/>
      <c r="BD60" s="404"/>
      <c r="BE60" s="405"/>
      <c r="BF60" s="406"/>
      <c r="BG60" s="404"/>
      <c r="BH60" s="404"/>
      <c r="BI60" s="404"/>
      <c r="BJ60" s="404"/>
      <c r="BK60" s="404"/>
      <c r="BL60" s="404"/>
      <c r="BM60" s="404"/>
      <c r="BN60" s="404"/>
      <c r="BO60" s="404"/>
      <c r="BP60" s="404"/>
      <c r="BQ60" s="404"/>
      <c r="BR60" s="404"/>
      <c r="BS60" s="404"/>
      <c r="BT60" s="404"/>
      <c r="BU60" s="404"/>
      <c r="BV60" s="404"/>
      <c r="BW60" s="404"/>
      <c r="BX60" s="404"/>
      <c r="BY60" s="404"/>
      <c r="BZ60" s="404"/>
      <c r="CA60" s="404"/>
      <c r="CB60" s="404"/>
      <c r="CC60" s="404"/>
      <c r="CD60" s="404"/>
      <c r="CE60" s="404"/>
      <c r="CF60" s="404"/>
      <c r="CG60" s="404"/>
      <c r="CH60" s="404"/>
      <c r="CI60" s="404"/>
      <c r="CJ60" s="404"/>
      <c r="CK60" s="404"/>
      <c r="CL60" s="404"/>
      <c r="CM60" s="404"/>
      <c r="CN60" s="404"/>
      <c r="CO60" s="404"/>
      <c r="CP60" s="404"/>
      <c r="CQ60" s="404"/>
      <c r="CR60" s="404"/>
      <c r="CS60" s="404"/>
      <c r="CT60" s="404"/>
      <c r="CU60" s="404"/>
      <c r="CV60" s="404"/>
      <c r="CW60" s="404"/>
      <c r="CX60" s="404"/>
      <c r="CY60" s="404"/>
      <c r="CZ60" s="404"/>
      <c r="DA60" s="404"/>
      <c r="DB60" s="404"/>
      <c r="DC60" s="407"/>
    </row>
    <row r="61" customFormat="false" ht="24.45" hidden="false" customHeight="false" outlineLevel="0" collapsed="false">
      <c r="A61" s="450"/>
      <c r="B61" s="399" t="s">
        <v>608</v>
      </c>
      <c r="C61" s="382" t="n">
        <v>2.5</v>
      </c>
      <c r="D61" s="445"/>
      <c r="E61" s="407"/>
      <c r="F61" s="406"/>
      <c r="G61" s="404"/>
      <c r="H61" s="404"/>
      <c r="I61" s="407"/>
      <c r="J61" s="403"/>
      <c r="K61" s="404"/>
      <c r="L61" s="404"/>
      <c r="M61" s="404"/>
      <c r="N61" s="405"/>
      <c r="O61" s="406"/>
      <c r="P61" s="404"/>
      <c r="Q61" s="404"/>
      <c r="R61" s="407"/>
      <c r="S61" s="408"/>
      <c r="T61" s="423"/>
      <c r="U61" s="447"/>
      <c r="V61" s="454"/>
      <c r="W61" s="449"/>
      <c r="X61" s="447"/>
      <c r="Y61" s="447"/>
      <c r="Z61" s="455"/>
      <c r="AA61" s="403"/>
      <c r="AB61" s="404"/>
      <c r="AC61" s="404"/>
      <c r="AD61" s="404"/>
      <c r="AE61" s="405"/>
      <c r="AF61" s="458"/>
      <c r="AG61" s="404"/>
      <c r="AH61" s="404"/>
      <c r="AI61" s="407"/>
      <c r="AJ61" s="403"/>
      <c r="AK61" s="404"/>
      <c r="AL61" s="404"/>
      <c r="AM61" s="404"/>
      <c r="AN61" s="405"/>
      <c r="AO61" s="406"/>
      <c r="AP61" s="404"/>
      <c r="AQ61" s="404"/>
      <c r="AR61" s="407"/>
      <c r="AS61" s="403"/>
      <c r="AT61" s="404"/>
      <c r="AU61" s="404"/>
      <c r="AV61" s="405"/>
      <c r="AW61" s="406"/>
      <c r="AX61" s="404"/>
      <c r="AY61" s="404"/>
      <c r="AZ61" s="404"/>
      <c r="BA61" s="407"/>
      <c r="BB61" s="403"/>
      <c r="BC61" s="404"/>
      <c r="BD61" s="404"/>
      <c r="BE61" s="405"/>
      <c r="BF61" s="406"/>
      <c r="BG61" s="404"/>
      <c r="BH61" s="404"/>
      <c r="BI61" s="404"/>
      <c r="BJ61" s="404"/>
      <c r="BK61" s="404"/>
      <c r="BL61" s="404"/>
      <c r="BM61" s="404"/>
      <c r="BN61" s="404"/>
      <c r="BO61" s="404"/>
      <c r="BP61" s="404"/>
      <c r="BQ61" s="404"/>
      <c r="BR61" s="404"/>
      <c r="BS61" s="404"/>
      <c r="BT61" s="404"/>
      <c r="BU61" s="404"/>
      <c r="BV61" s="404"/>
      <c r="BW61" s="404"/>
      <c r="BX61" s="404"/>
      <c r="BY61" s="404"/>
      <c r="BZ61" s="404"/>
      <c r="CA61" s="404"/>
      <c r="CB61" s="404"/>
      <c r="CC61" s="404"/>
      <c r="CD61" s="404"/>
      <c r="CE61" s="404"/>
      <c r="CF61" s="404"/>
      <c r="CG61" s="404"/>
      <c r="CH61" s="404"/>
      <c r="CI61" s="404"/>
      <c r="CJ61" s="404"/>
      <c r="CK61" s="404"/>
      <c r="CL61" s="404"/>
      <c r="CM61" s="404"/>
      <c r="CN61" s="404"/>
      <c r="CO61" s="404"/>
      <c r="CP61" s="404"/>
      <c r="CQ61" s="404"/>
      <c r="CR61" s="404"/>
      <c r="CS61" s="404"/>
      <c r="CT61" s="404"/>
      <c r="CU61" s="404"/>
      <c r="CV61" s="404"/>
      <c r="CW61" s="404"/>
      <c r="CX61" s="404"/>
      <c r="CY61" s="404"/>
      <c r="CZ61" s="404"/>
      <c r="DA61" s="404"/>
      <c r="DB61" s="404"/>
      <c r="DC61" s="407"/>
    </row>
    <row r="62" customFormat="false" ht="24.45" hidden="false" customHeight="false" outlineLevel="0" collapsed="false">
      <c r="A62" s="450"/>
      <c r="B62" s="399" t="s">
        <v>608</v>
      </c>
      <c r="C62" s="382" t="n">
        <v>2.5</v>
      </c>
      <c r="D62" s="445"/>
      <c r="E62" s="407"/>
      <c r="F62" s="406"/>
      <c r="G62" s="404"/>
      <c r="H62" s="404"/>
      <c r="I62" s="407"/>
      <c r="J62" s="403"/>
      <c r="K62" s="404"/>
      <c r="L62" s="404"/>
      <c r="M62" s="404"/>
      <c r="N62" s="405"/>
      <c r="O62" s="406"/>
      <c r="P62" s="404"/>
      <c r="Q62" s="404"/>
      <c r="R62" s="407"/>
      <c r="S62" s="408"/>
      <c r="T62" s="423"/>
      <c r="U62" s="447"/>
      <c r="V62" s="454"/>
      <c r="W62" s="449"/>
      <c r="X62" s="447"/>
      <c r="Y62" s="447"/>
      <c r="Z62" s="455"/>
      <c r="AA62" s="403"/>
      <c r="AB62" s="404"/>
      <c r="AC62" s="404"/>
      <c r="AD62" s="404"/>
      <c r="AE62" s="405"/>
      <c r="AF62" s="458"/>
      <c r="AG62" s="404"/>
      <c r="AH62" s="404"/>
      <c r="AI62" s="407"/>
      <c r="AJ62" s="403"/>
      <c r="AK62" s="404"/>
      <c r="AL62" s="404"/>
      <c r="AM62" s="404"/>
      <c r="AN62" s="405"/>
      <c r="AO62" s="406"/>
      <c r="AP62" s="404"/>
      <c r="AQ62" s="404"/>
      <c r="AR62" s="407"/>
      <c r="AS62" s="403"/>
      <c r="AT62" s="404"/>
      <c r="AU62" s="404"/>
      <c r="AV62" s="405"/>
      <c r="AW62" s="406"/>
      <c r="AX62" s="404"/>
      <c r="AY62" s="404"/>
      <c r="AZ62" s="404"/>
      <c r="BA62" s="407"/>
      <c r="BB62" s="403"/>
      <c r="BC62" s="404"/>
      <c r="BD62" s="404"/>
      <c r="BE62" s="405"/>
      <c r="BF62" s="406"/>
      <c r="BG62" s="404"/>
      <c r="BH62" s="404"/>
      <c r="BI62" s="404"/>
      <c r="BJ62" s="404"/>
      <c r="BK62" s="404"/>
      <c r="BL62" s="404"/>
      <c r="BM62" s="404"/>
      <c r="BN62" s="404"/>
      <c r="BO62" s="404"/>
      <c r="BP62" s="404"/>
      <c r="BQ62" s="404"/>
      <c r="BR62" s="404"/>
      <c r="BS62" s="404"/>
      <c r="BT62" s="404"/>
      <c r="BU62" s="404"/>
      <c r="BV62" s="404"/>
      <c r="BW62" s="404"/>
      <c r="BX62" s="404"/>
      <c r="BY62" s="404"/>
      <c r="BZ62" s="404"/>
      <c r="CA62" s="404"/>
      <c r="CB62" s="404"/>
      <c r="CC62" s="404"/>
      <c r="CD62" s="404"/>
      <c r="CE62" s="404"/>
      <c r="CF62" s="404"/>
      <c r="CG62" s="404"/>
      <c r="CH62" s="404"/>
      <c r="CI62" s="404"/>
      <c r="CJ62" s="404"/>
      <c r="CK62" s="404"/>
      <c r="CL62" s="404"/>
      <c r="CM62" s="404"/>
      <c r="CN62" s="404"/>
      <c r="CO62" s="404"/>
      <c r="CP62" s="404"/>
      <c r="CQ62" s="404"/>
      <c r="CR62" s="404"/>
      <c r="CS62" s="404"/>
      <c r="CT62" s="404"/>
      <c r="CU62" s="404"/>
      <c r="CV62" s="404"/>
      <c r="CW62" s="404"/>
      <c r="CX62" s="404"/>
      <c r="CY62" s="404"/>
      <c r="CZ62" s="404"/>
      <c r="DA62" s="404"/>
      <c r="DB62" s="404"/>
      <c r="DC62" s="407"/>
    </row>
    <row r="63" customFormat="false" ht="24.45" hidden="false" customHeight="false" outlineLevel="0" collapsed="false">
      <c r="A63" s="450"/>
      <c r="B63" s="399" t="s">
        <v>608</v>
      </c>
      <c r="C63" s="382" t="n">
        <v>2.5</v>
      </c>
      <c r="D63" s="445"/>
      <c r="E63" s="407"/>
      <c r="F63" s="406"/>
      <c r="G63" s="404"/>
      <c r="H63" s="404"/>
      <c r="I63" s="407"/>
      <c r="J63" s="403"/>
      <c r="K63" s="404"/>
      <c r="L63" s="404"/>
      <c r="M63" s="404"/>
      <c r="N63" s="405"/>
      <c r="O63" s="406"/>
      <c r="P63" s="404"/>
      <c r="Q63" s="404"/>
      <c r="R63" s="407"/>
      <c r="S63" s="408"/>
      <c r="T63" s="423"/>
      <c r="U63" s="447"/>
      <c r="V63" s="454"/>
      <c r="W63" s="449"/>
      <c r="X63" s="447"/>
      <c r="Y63" s="447"/>
      <c r="Z63" s="455"/>
      <c r="AA63" s="403"/>
      <c r="AB63" s="404"/>
      <c r="AC63" s="404"/>
      <c r="AD63" s="404"/>
      <c r="AE63" s="405"/>
      <c r="AF63" s="458"/>
      <c r="AG63" s="404"/>
      <c r="AH63" s="404"/>
      <c r="AI63" s="407"/>
      <c r="AJ63" s="403"/>
      <c r="AK63" s="404"/>
      <c r="AL63" s="404"/>
      <c r="AM63" s="404"/>
      <c r="AN63" s="405"/>
      <c r="AO63" s="406"/>
      <c r="AP63" s="404"/>
      <c r="AQ63" s="404"/>
      <c r="AR63" s="407"/>
      <c r="AS63" s="403"/>
      <c r="AT63" s="404"/>
      <c r="AU63" s="404"/>
      <c r="AV63" s="405"/>
      <c r="AW63" s="406"/>
      <c r="AX63" s="404"/>
      <c r="AY63" s="404"/>
      <c r="AZ63" s="404"/>
      <c r="BA63" s="407"/>
      <c r="BB63" s="403"/>
      <c r="BC63" s="404"/>
      <c r="BD63" s="404"/>
      <c r="BE63" s="405"/>
      <c r="BF63" s="406"/>
      <c r="BG63" s="404"/>
      <c r="BH63" s="404"/>
      <c r="BI63" s="404"/>
      <c r="BJ63" s="404"/>
      <c r="BK63" s="404"/>
      <c r="BL63" s="404"/>
      <c r="BM63" s="404"/>
      <c r="BN63" s="404"/>
      <c r="BO63" s="404"/>
      <c r="BP63" s="404"/>
      <c r="BQ63" s="404"/>
      <c r="BR63" s="404"/>
      <c r="BS63" s="404"/>
      <c r="BT63" s="404"/>
      <c r="BU63" s="404"/>
      <c r="BV63" s="404"/>
      <c r="BW63" s="404"/>
      <c r="BX63" s="404"/>
      <c r="BY63" s="404"/>
      <c r="BZ63" s="404"/>
      <c r="CA63" s="404"/>
      <c r="CB63" s="404"/>
      <c r="CC63" s="404"/>
      <c r="CD63" s="404"/>
      <c r="CE63" s="404"/>
      <c r="CF63" s="404"/>
      <c r="CG63" s="404"/>
      <c r="CH63" s="404"/>
      <c r="CI63" s="404"/>
      <c r="CJ63" s="404"/>
      <c r="CK63" s="404"/>
      <c r="CL63" s="404"/>
      <c r="CM63" s="404"/>
      <c r="CN63" s="404"/>
      <c r="CO63" s="404"/>
      <c r="CP63" s="404"/>
      <c r="CQ63" s="404"/>
      <c r="CR63" s="404"/>
      <c r="CS63" s="404"/>
      <c r="CT63" s="404"/>
      <c r="CU63" s="404"/>
      <c r="CV63" s="404"/>
      <c r="CW63" s="404"/>
      <c r="CX63" s="404"/>
      <c r="CY63" s="404"/>
      <c r="CZ63" s="404"/>
      <c r="DA63" s="404"/>
      <c r="DB63" s="404"/>
      <c r="DC63" s="407"/>
    </row>
    <row r="64" customFormat="false" ht="24.45" hidden="false" customHeight="false" outlineLevel="0" collapsed="false">
      <c r="A64" s="450"/>
      <c r="B64" s="399" t="s">
        <v>608</v>
      </c>
      <c r="C64" s="382" t="n">
        <v>2.5</v>
      </c>
      <c r="D64" s="445"/>
      <c r="E64" s="407"/>
      <c r="F64" s="406"/>
      <c r="G64" s="404"/>
      <c r="H64" s="404"/>
      <c r="I64" s="407"/>
      <c r="J64" s="403"/>
      <c r="K64" s="404"/>
      <c r="L64" s="404"/>
      <c r="M64" s="404"/>
      <c r="N64" s="405"/>
      <c r="O64" s="406"/>
      <c r="P64" s="404"/>
      <c r="Q64" s="404"/>
      <c r="R64" s="407"/>
      <c r="S64" s="408"/>
      <c r="T64" s="423"/>
      <c r="U64" s="447"/>
      <c r="V64" s="454"/>
      <c r="W64" s="449"/>
      <c r="X64" s="447"/>
      <c r="Y64" s="447"/>
      <c r="Z64" s="455"/>
      <c r="AA64" s="403"/>
      <c r="AB64" s="404"/>
      <c r="AC64" s="404"/>
      <c r="AD64" s="404"/>
      <c r="AE64" s="405"/>
      <c r="AF64" s="458"/>
      <c r="AG64" s="404"/>
      <c r="AH64" s="404"/>
      <c r="AI64" s="407"/>
      <c r="AJ64" s="403"/>
      <c r="AK64" s="404"/>
      <c r="AL64" s="404"/>
      <c r="AM64" s="404"/>
      <c r="AN64" s="405"/>
      <c r="AO64" s="406"/>
      <c r="AP64" s="404"/>
      <c r="AQ64" s="404"/>
      <c r="AR64" s="407"/>
      <c r="AS64" s="403"/>
      <c r="AT64" s="404"/>
      <c r="AU64" s="404"/>
      <c r="AV64" s="405"/>
      <c r="AW64" s="406"/>
      <c r="AX64" s="404"/>
      <c r="AY64" s="404"/>
      <c r="AZ64" s="404"/>
      <c r="BA64" s="407"/>
      <c r="BB64" s="403"/>
      <c r="BC64" s="404"/>
      <c r="BD64" s="404"/>
      <c r="BE64" s="405"/>
      <c r="BF64" s="406"/>
      <c r="BG64" s="404"/>
      <c r="BH64" s="404"/>
      <c r="BI64" s="404"/>
      <c r="BJ64" s="404"/>
      <c r="BK64" s="404"/>
      <c r="BL64" s="404"/>
      <c r="BM64" s="404"/>
      <c r="BN64" s="404"/>
      <c r="BO64" s="404"/>
      <c r="BP64" s="404"/>
      <c r="BQ64" s="404"/>
      <c r="BR64" s="404"/>
      <c r="BS64" s="404"/>
      <c r="BT64" s="404"/>
      <c r="BU64" s="404"/>
      <c r="BV64" s="404"/>
      <c r="BW64" s="404"/>
      <c r="BX64" s="404"/>
      <c r="BY64" s="404"/>
      <c r="BZ64" s="404"/>
      <c r="CA64" s="404"/>
      <c r="CB64" s="404"/>
      <c r="CC64" s="404"/>
      <c r="CD64" s="404"/>
      <c r="CE64" s="404"/>
      <c r="CF64" s="404"/>
      <c r="CG64" s="404"/>
      <c r="CH64" s="404"/>
      <c r="CI64" s="404"/>
      <c r="CJ64" s="404"/>
      <c r="CK64" s="404"/>
      <c r="CL64" s="404"/>
      <c r="CM64" s="404"/>
      <c r="CN64" s="404"/>
      <c r="CO64" s="404"/>
      <c r="CP64" s="404"/>
      <c r="CQ64" s="404"/>
      <c r="CR64" s="404"/>
      <c r="CS64" s="404"/>
      <c r="CT64" s="404"/>
      <c r="CU64" s="404"/>
      <c r="CV64" s="404"/>
      <c r="CW64" s="404"/>
      <c r="CX64" s="404"/>
      <c r="CY64" s="404"/>
      <c r="CZ64" s="404"/>
      <c r="DA64" s="404"/>
      <c r="DB64" s="404"/>
      <c r="DC64" s="407"/>
    </row>
    <row r="65" customFormat="false" ht="24.45" hidden="false" customHeight="false" outlineLevel="0" collapsed="false">
      <c r="A65" s="450"/>
      <c r="B65" s="399" t="s">
        <v>608</v>
      </c>
      <c r="C65" s="382" t="n">
        <v>2.5</v>
      </c>
      <c r="D65" s="445"/>
      <c r="E65" s="407"/>
      <c r="F65" s="406"/>
      <c r="G65" s="404"/>
      <c r="H65" s="404"/>
      <c r="I65" s="407"/>
      <c r="J65" s="403"/>
      <c r="K65" s="404"/>
      <c r="L65" s="404"/>
      <c r="M65" s="404"/>
      <c r="N65" s="405"/>
      <c r="O65" s="406"/>
      <c r="P65" s="404"/>
      <c r="Q65" s="404"/>
      <c r="R65" s="407"/>
      <c r="S65" s="408"/>
      <c r="T65" s="423"/>
      <c r="U65" s="447"/>
      <c r="V65" s="454"/>
      <c r="W65" s="449"/>
      <c r="X65" s="447"/>
      <c r="Y65" s="447"/>
      <c r="Z65" s="455"/>
      <c r="AA65" s="403"/>
      <c r="AB65" s="404"/>
      <c r="AC65" s="404"/>
      <c r="AD65" s="404"/>
      <c r="AE65" s="405"/>
      <c r="AF65" s="458"/>
      <c r="AG65" s="404"/>
      <c r="AH65" s="404"/>
      <c r="AI65" s="407"/>
      <c r="AJ65" s="403"/>
      <c r="AK65" s="404"/>
      <c r="AL65" s="404"/>
      <c r="AM65" s="404"/>
      <c r="AN65" s="405"/>
      <c r="AO65" s="406"/>
      <c r="AP65" s="404"/>
      <c r="AQ65" s="404"/>
      <c r="AR65" s="407"/>
      <c r="AS65" s="403"/>
      <c r="AT65" s="404"/>
      <c r="AU65" s="404"/>
      <c r="AV65" s="405"/>
      <c r="AW65" s="406"/>
      <c r="AX65" s="404"/>
      <c r="AY65" s="404"/>
      <c r="AZ65" s="404"/>
      <c r="BA65" s="407"/>
      <c r="BB65" s="403"/>
      <c r="BC65" s="404"/>
      <c r="BD65" s="404"/>
      <c r="BE65" s="405"/>
      <c r="BF65" s="406"/>
      <c r="BG65" s="404"/>
      <c r="BH65" s="404"/>
      <c r="BI65" s="404"/>
      <c r="BJ65" s="404"/>
      <c r="BK65" s="404"/>
      <c r="BL65" s="404"/>
      <c r="BM65" s="404"/>
      <c r="BN65" s="404"/>
      <c r="BO65" s="404"/>
      <c r="BP65" s="404"/>
      <c r="BQ65" s="404"/>
      <c r="BR65" s="404"/>
      <c r="BS65" s="404"/>
      <c r="BT65" s="404"/>
      <c r="BU65" s="404"/>
      <c r="BV65" s="404"/>
      <c r="BW65" s="404"/>
      <c r="BX65" s="404"/>
      <c r="BY65" s="404"/>
      <c r="BZ65" s="404"/>
      <c r="CA65" s="404"/>
      <c r="CB65" s="404"/>
      <c r="CC65" s="404"/>
      <c r="CD65" s="404"/>
      <c r="CE65" s="404"/>
      <c r="CF65" s="404"/>
      <c r="CG65" s="404"/>
      <c r="CH65" s="404"/>
      <c r="CI65" s="404"/>
      <c r="CJ65" s="404"/>
      <c r="CK65" s="404"/>
      <c r="CL65" s="404"/>
      <c r="CM65" s="404"/>
      <c r="CN65" s="404"/>
      <c r="CO65" s="404"/>
      <c r="CP65" s="404"/>
      <c r="CQ65" s="404"/>
      <c r="CR65" s="404"/>
      <c r="CS65" s="404"/>
      <c r="CT65" s="404"/>
      <c r="CU65" s="404"/>
      <c r="CV65" s="404"/>
      <c r="CW65" s="404"/>
      <c r="CX65" s="404"/>
      <c r="CY65" s="404"/>
      <c r="CZ65" s="404"/>
      <c r="DA65" s="404"/>
      <c r="DB65" s="404"/>
      <c r="DC65" s="407"/>
    </row>
    <row r="66" customFormat="false" ht="24.45" hidden="false" customHeight="false" outlineLevel="0" collapsed="false">
      <c r="A66" s="450"/>
      <c r="B66" s="399" t="s">
        <v>608</v>
      </c>
      <c r="C66" s="382" t="n">
        <v>2.5</v>
      </c>
      <c r="D66" s="445"/>
      <c r="E66" s="407"/>
      <c r="F66" s="406"/>
      <c r="G66" s="404"/>
      <c r="H66" s="404"/>
      <c r="I66" s="407"/>
      <c r="J66" s="403"/>
      <c r="K66" s="404"/>
      <c r="L66" s="404"/>
      <c r="M66" s="404"/>
      <c r="N66" s="405"/>
      <c r="O66" s="406"/>
      <c r="P66" s="404"/>
      <c r="Q66" s="404"/>
      <c r="R66" s="407"/>
      <c r="S66" s="408"/>
      <c r="T66" s="423"/>
      <c r="U66" s="447"/>
      <c r="V66" s="454"/>
      <c r="W66" s="449"/>
      <c r="X66" s="447"/>
      <c r="Y66" s="447"/>
      <c r="Z66" s="455"/>
      <c r="AA66" s="403"/>
      <c r="AB66" s="404"/>
      <c r="AC66" s="404"/>
      <c r="AD66" s="404"/>
      <c r="AE66" s="405"/>
      <c r="AF66" s="458"/>
      <c r="AG66" s="404"/>
      <c r="AH66" s="404"/>
      <c r="AI66" s="407"/>
      <c r="AJ66" s="403"/>
      <c r="AK66" s="404"/>
      <c r="AL66" s="404"/>
      <c r="AM66" s="404"/>
      <c r="AN66" s="405"/>
      <c r="AO66" s="406"/>
      <c r="AP66" s="404"/>
      <c r="AQ66" s="404"/>
      <c r="AR66" s="407"/>
      <c r="AS66" s="403"/>
      <c r="AT66" s="404"/>
      <c r="AU66" s="404"/>
      <c r="AV66" s="405"/>
      <c r="AW66" s="406"/>
      <c r="AX66" s="404"/>
      <c r="AY66" s="404"/>
      <c r="AZ66" s="404"/>
      <c r="BA66" s="407"/>
      <c r="BB66" s="403"/>
      <c r="BC66" s="404"/>
      <c r="BD66" s="404"/>
      <c r="BE66" s="405"/>
      <c r="BF66" s="406"/>
      <c r="BG66" s="404"/>
      <c r="BH66" s="404"/>
      <c r="BI66" s="404"/>
      <c r="BJ66" s="404"/>
      <c r="BK66" s="404"/>
      <c r="BL66" s="404"/>
      <c r="BM66" s="404"/>
      <c r="BN66" s="404"/>
      <c r="BO66" s="404"/>
      <c r="BP66" s="404"/>
      <c r="BQ66" s="404"/>
      <c r="BR66" s="404"/>
      <c r="BS66" s="404"/>
      <c r="BT66" s="404"/>
      <c r="BU66" s="404"/>
      <c r="BV66" s="404"/>
      <c r="BW66" s="404"/>
      <c r="BX66" s="404"/>
      <c r="BY66" s="404"/>
      <c r="BZ66" s="404"/>
      <c r="CA66" s="404"/>
      <c r="CB66" s="404"/>
      <c r="CC66" s="404"/>
      <c r="CD66" s="404"/>
      <c r="CE66" s="404"/>
      <c r="CF66" s="404"/>
      <c r="CG66" s="404"/>
      <c r="CH66" s="404"/>
      <c r="CI66" s="404"/>
      <c r="CJ66" s="404"/>
      <c r="CK66" s="404"/>
      <c r="CL66" s="404"/>
      <c r="CM66" s="404"/>
      <c r="CN66" s="404"/>
      <c r="CO66" s="404"/>
      <c r="CP66" s="404"/>
      <c r="CQ66" s="404"/>
      <c r="CR66" s="404"/>
      <c r="CS66" s="404"/>
      <c r="CT66" s="404"/>
      <c r="CU66" s="404"/>
      <c r="CV66" s="404"/>
      <c r="CW66" s="404"/>
      <c r="CX66" s="404"/>
      <c r="CY66" s="404"/>
      <c r="CZ66" s="404"/>
      <c r="DA66" s="404"/>
      <c r="DB66" s="404"/>
      <c r="DC66" s="407"/>
    </row>
    <row r="67" customFormat="false" ht="24.45" hidden="false" customHeight="false" outlineLevel="0" collapsed="false">
      <c r="A67" s="450"/>
      <c r="B67" s="399" t="s">
        <v>608</v>
      </c>
      <c r="C67" s="382" t="n">
        <v>2.5</v>
      </c>
      <c r="D67" s="445"/>
      <c r="E67" s="407"/>
      <c r="F67" s="406"/>
      <c r="G67" s="404"/>
      <c r="H67" s="404"/>
      <c r="I67" s="407"/>
      <c r="J67" s="403"/>
      <c r="K67" s="404"/>
      <c r="L67" s="404"/>
      <c r="M67" s="404"/>
      <c r="N67" s="405"/>
      <c r="O67" s="406"/>
      <c r="P67" s="404"/>
      <c r="Q67" s="404"/>
      <c r="R67" s="407"/>
      <c r="S67" s="408"/>
      <c r="T67" s="423"/>
      <c r="U67" s="447"/>
      <c r="V67" s="454"/>
      <c r="W67" s="449"/>
      <c r="X67" s="447"/>
      <c r="Y67" s="447"/>
      <c r="Z67" s="455"/>
      <c r="AA67" s="403"/>
      <c r="AB67" s="404"/>
      <c r="AC67" s="404"/>
      <c r="AD67" s="404"/>
      <c r="AE67" s="405"/>
      <c r="AF67" s="458"/>
      <c r="AG67" s="404"/>
      <c r="AH67" s="404"/>
      <c r="AI67" s="407"/>
      <c r="AJ67" s="403"/>
      <c r="AK67" s="404"/>
      <c r="AL67" s="404"/>
      <c r="AM67" s="404"/>
      <c r="AN67" s="405"/>
      <c r="AO67" s="406"/>
      <c r="AP67" s="404"/>
      <c r="AQ67" s="404"/>
      <c r="AR67" s="407"/>
      <c r="AS67" s="403"/>
      <c r="AT67" s="404"/>
      <c r="AU67" s="404"/>
      <c r="AV67" s="405"/>
      <c r="AW67" s="406"/>
      <c r="AX67" s="404"/>
      <c r="AY67" s="404"/>
      <c r="AZ67" s="404"/>
      <c r="BA67" s="407"/>
      <c r="BB67" s="403"/>
      <c r="BC67" s="404"/>
      <c r="BD67" s="404"/>
      <c r="BE67" s="405"/>
      <c r="BF67" s="406"/>
      <c r="BG67" s="404"/>
      <c r="BH67" s="404"/>
      <c r="BI67" s="404"/>
      <c r="BJ67" s="404"/>
      <c r="BK67" s="404"/>
      <c r="BL67" s="404"/>
      <c r="BM67" s="404"/>
      <c r="BN67" s="404"/>
      <c r="BO67" s="404"/>
      <c r="BP67" s="404"/>
      <c r="BQ67" s="404"/>
      <c r="BR67" s="404"/>
      <c r="BS67" s="404"/>
      <c r="BT67" s="404"/>
      <c r="BU67" s="404"/>
      <c r="BV67" s="404"/>
      <c r="BW67" s="404"/>
      <c r="BX67" s="404"/>
      <c r="BY67" s="404"/>
      <c r="BZ67" s="404"/>
      <c r="CA67" s="404"/>
      <c r="CB67" s="404"/>
      <c r="CC67" s="404"/>
      <c r="CD67" s="404"/>
      <c r="CE67" s="404"/>
      <c r="CF67" s="404"/>
      <c r="CG67" s="404"/>
      <c r="CH67" s="404"/>
      <c r="CI67" s="404"/>
      <c r="CJ67" s="404"/>
      <c r="CK67" s="404"/>
      <c r="CL67" s="404"/>
      <c r="CM67" s="404"/>
      <c r="CN67" s="404"/>
      <c r="CO67" s="404"/>
      <c r="CP67" s="404"/>
      <c r="CQ67" s="404"/>
      <c r="CR67" s="404"/>
      <c r="CS67" s="404"/>
      <c r="CT67" s="404"/>
      <c r="CU67" s="404"/>
      <c r="CV67" s="404"/>
      <c r="CW67" s="404"/>
      <c r="CX67" s="404"/>
      <c r="CY67" s="404"/>
      <c r="CZ67" s="404"/>
      <c r="DA67" s="404"/>
      <c r="DB67" s="404"/>
      <c r="DC67" s="407"/>
    </row>
    <row r="68" customFormat="false" ht="24.45" hidden="false" customHeight="false" outlineLevel="0" collapsed="false">
      <c r="A68" s="450"/>
      <c r="B68" s="399" t="s">
        <v>608</v>
      </c>
      <c r="C68" s="382" t="n">
        <v>2.5</v>
      </c>
      <c r="D68" s="445"/>
      <c r="E68" s="407"/>
      <c r="F68" s="406"/>
      <c r="G68" s="404"/>
      <c r="H68" s="404"/>
      <c r="I68" s="407"/>
      <c r="J68" s="403"/>
      <c r="K68" s="404"/>
      <c r="L68" s="404"/>
      <c r="M68" s="404"/>
      <c r="N68" s="405"/>
      <c r="O68" s="406"/>
      <c r="P68" s="404"/>
      <c r="Q68" s="404"/>
      <c r="R68" s="407"/>
      <c r="S68" s="408"/>
      <c r="T68" s="423"/>
      <c r="U68" s="447"/>
      <c r="V68" s="454"/>
      <c r="W68" s="449"/>
      <c r="X68" s="447"/>
      <c r="Y68" s="447"/>
      <c r="Z68" s="455"/>
      <c r="AA68" s="403"/>
      <c r="AB68" s="404"/>
      <c r="AC68" s="404"/>
      <c r="AD68" s="404"/>
      <c r="AE68" s="405"/>
      <c r="AF68" s="458"/>
      <c r="AG68" s="404"/>
      <c r="AH68" s="404"/>
      <c r="AI68" s="407"/>
      <c r="AJ68" s="403"/>
      <c r="AK68" s="404"/>
      <c r="AL68" s="404"/>
      <c r="AM68" s="404"/>
      <c r="AN68" s="405"/>
      <c r="AO68" s="406"/>
      <c r="AP68" s="404"/>
      <c r="AQ68" s="404"/>
      <c r="AR68" s="407"/>
      <c r="AS68" s="403"/>
      <c r="AT68" s="404"/>
      <c r="AU68" s="404"/>
      <c r="AV68" s="405"/>
      <c r="AW68" s="406"/>
      <c r="AX68" s="404"/>
      <c r="AY68" s="404"/>
      <c r="AZ68" s="404"/>
      <c r="BA68" s="407"/>
      <c r="BB68" s="403"/>
      <c r="BC68" s="404"/>
      <c r="BD68" s="404"/>
      <c r="BE68" s="405"/>
      <c r="BF68" s="406"/>
      <c r="BG68" s="404"/>
      <c r="BH68" s="404"/>
      <c r="BI68" s="404"/>
      <c r="BJ68" s="404"/>
      <c r="BK68" s="404"/>
      <c r="BL68" s="404"/>
      <c r="BM68" s="404"/>
      <c r="BN68" s="404"/>
      <c r="BO68" s="404"/>
      <c r="BP68" s="404"/>
      <c r="BQ68" s="404"/>
      <c r="BR68" s="404"/>
      <c r="BS68" s="404"/>
      <c r="BT68" s="404"/>
      <c r="BU68" s="404"/>
      <c r="BV68" s="404"/>
      <c r="BW68" s="404"/>
      <c r="BX68" s="404"/>
      <c r="BY68" s="404"/>
      <c r="BZ68" s="404"/>
      <c r="CA68" s="404"/>
      <c r="CB68" s="404"/>
      <c r="CC68" s="404"/>
      <c r="CD68" s="404"/>
      <c r="CE68" s="404"/>
      <c r="CF68" s="404"/>
      <c r="CG68" s="404"/>
      <c r="CH68" s="404"/>
      <c r="CI68" s="404"/>
      <c r="CJ68" s="404"/>
      <c r="CK68" s="404"/>
      <c r="CL68" s="404"/>
      <c r="CM68" s="404"/>
      <c r="CN68" s="404"/>
      <c r="CO68" s="404"/>
      <c r="CP68" s="404"/>
      <c r="CQ68" s="404"/>
      <c r="CR68" s="404"/>
      <c r="CS68" s="404"/>
      <c r="CT68" s="404"/>
      <c r="CU68" s="404"/>
      <c r="CV68" s="404"/>
      <c r="CW68" s="404"/>
      <c r="CX68" s="404"/>
      <c r="CY68" s="404"/>
      <c r="CZ68" s="404"/>
      <c r="DA68" s="404"/>
      <c r="DB68" s="404"/>
      <c r="DC68" s="407"/>
    </row>
    <row r="69" customFormat="false" ht="24.45" hidden="false" customHeight="false" outlineLevel="0" collapsed="false">
      <c r="A69" s="450"/>
      <c r="B69" s="399" t="s">
        <v>608</v>
      </c>
      <c r="C69" s="382" t="n">
        <v>2.5</v>
      </c>
      <c r="D69" s="445"/>
      <c r="E69" s="407"/>
      <c r="F69" s="406"/>
      <c r="G69" s="404"/>
      <c r="H69" s="404"/>
      <c r="I69" s="407"/>
      <c r="J69" s="403"/>
      <c r="K69" s="404"/>
      <c r="L69" s="404"/>
      <c r="M69" s="404"/>
      <c r="N69" s="405"/>
      <c r="O69" s="406"/>
      <c r="P69" s="404"/>
      <c r="Q69" s="404"/>
      <c r="R69" s="407"/>
      <c r="S69" s="408"/>
      <c r="T69" s="423"/>
      <c r="U69" s="447"/>
      <c r="V69" s="454"/>
      <c r="W69" s="449"/>
      <c r="X69" s="447"/>
      <c r="Y69" s="447"/>
      <c r="Z69" s="455"/>
      <c r="AA69" s="403"/>
      <c r="AB69" s="404"/>
      <c r="AC69" s="404"/>
      <c r="AD69" s="404"/>
      <c r="AE69" s="405"/>
      <c r="AF69" s="458"/>
      <c r="AG69" s="404"/>
      <c r="AH69" s="404"/>
      <c r="AI69" s="407"/>
      <c r="AJ69" s="403"/>
      <c r="AK69" s="404"/>
      <c r="AL69" s="404"/>
      <c r="AM69" s="404"/>
      <c r="AN69" s="405"/>
      <c r="AO69" s="406"/>
      <c r="AP69" s="404"/>
      <c r="AQ69" s="404"/>
      <c r="AR69" s="407"/>
      <c r="AS69" s="403"/>
      <c r="AT69" s="404"/>
      <c r="AU69" s="404"/>
      <c r="AV69" s="405"/>
      <c r="AW69" s="406"/>
      <c r="AX69" s="404"/>
      <c r="AY69" s="404"/>
      <c r="AZ69" s="404"/>
      <c r="BA69" s="407"/>
      <c r="BB69" s="403"/>
      <c r="BC69" s="404"/>
      <c r="BD69" s="404"/>
      <c r="BE69" s="405"/>
      <c r="BF69" s="406"/>
      <c r="BG69" s="404"/>
      <c r="BH69" s="404"/>
      <c r="BI69" s="404"/>
      <c r="BJ69" s="404"/>
      <c r="BK69" s="404"/>
      <c r="BL69" s="404"/>
      <c r="BM69" s="404"/>
      <c r="BN69" s="404"/>
      <c r="BO69" s="404"/>
      <c r="BP69" s="404"/>
      <c r="BQ69" s="404"/>
      <c r="BR69" s="404"/>
      <c r="BS69" s="404"/>
      <c r="BT69" s="404"/>
      <c r="BU69" s="404"/>
      <c r="BV69" s="404"/>
      <c r="BW69" s="404"/>
      <c r="BX69" s="404"/>
      <c r="BY69" s="404"/>
      <c r="BZ69" s="404"/>
      <c r="CA69" s="404"/>
      <c r="CB69" s="404"/>
      <c r="CC69" s="404"/>
      <c r="CD69" s="404"/>
      <c r="CE69" s="404"/>
      <c r="CF69" s="404"/>
      <c r="CG69" s="404"/>
      <c r="CH69" s="404"/>
      <c r="CI69" s="404"/>
      <c r="CJ69" s="404"/>
      <c r="CK69" s="404"/>
      <c r="CL69" s="404"/>
      <c r="CM69" s="404"/>
      <c r="CN69" s="404"/>
      <c r="CO69" s="404"/>
      <c r="CP69" s="404"/>
      <c r="CQ69" s="404"/>
      <c r="CR69" s="404"/>
      <c r="CS69" s="404"/>
      <c r="CT69" s="404"/>
      <c r="CU69" s="404"/>
      <c r="CV69" s="404"/>
      <c r="CW69" s="404"/>
      <c r="CX69" s="404"/>
      <c r="CY69" s="404"/>
      <c r="CZ69" s="404"/>
      <c r="DA69" s="404"/>
      <c r="DB69" s="404"/>
      <c r="DC69" s="407"/>
    </row>
    <row r="70" customFormat="false" ht="24.45" hidden="false" customHeight="false" outlineLevel="0" collapsed="false">
      <c r="A70" s="450"/>
      <c r="B70" s="399" t="s">
        <v>608</v>
      </c>
      <c r="C70" s="382" t="n">
        <v>2.5</v>
      </c>
      <c r="D70" s="445"/>
      <c r="E70" s="407"/>
      <c r="F70" s="406"/>
      <c r="G70" s="404"/>
      <c r="H70" s="404"/>
      <c r="I70" s="407"/>
      <c r="J70" s="403"/>
      <c r="K70" s="404"/>
      <c r="L70" s="404"/>
      <c r="M70" s="404"/>
      <c r="N70" s="405"/>
      <c r="O70" s="406"/>
      <c r="P70" s="404"/>
      <c r="Q70" s="404"/>
      <c r="R70" s="407"/>
      <c r="S70" s="408"/>
      <c r="T70" s="423"/>
      <c r="U70" s="447"/>
      <c r="V70" s="454"/>
      <c r="W70" s="449"/>
      <c r="X70" s="447"/>
      <c r="Y70" s="447"/>
      <c r="Z70" s="455"/>
      <c r="AA70" s="403"/>
      <c r="AB70" s="404"/>
      <c r="AC70" s="404"/>
      <c r="AD70" s="404"/>
      <c r="AE70" s="405"/>
      <c r="AF70" s="458"/>
      <c r="AG70" s="404"/>
      <c r="AH70" s="404"/>
      <c r="AI70" s="407"/>
      <c r="AJ70" s="403"/>
      <c r="AK70" s="404"/>
      <c r="AL70" s="404"/>
      <c r="AM70" s="404"/>
      <c r="AN70" s="405"/>
      <c r="AO70" s="406"/>
      <c r="AP70" s="404"/>
      <c r="AQ70" s="404"/>
      <c r="AR70" s="407"/>
      <c r="AS70" s="403"/>
      <c r="AT70" s="404"/>
      <c r="AU70" s="404"/>
      <c r="AV70" s="405"/>
      <c r="AW70" s="406"/>
      <c r="AX70" s="404"/>
      <c r="AY70" s="404"/>
      <c r="AZ70" s="404"/>
      <c r="BA70" s="407"/>
      <c r="BB70" s="403"/>
      <c r="BC70" s="404"/>
      <c r="BD70" s="404"/>
      <c r="BE70" s="405"/>
      <c r="BF70" s="406"/>
      <c r="BG70" s="404"/>
      <c r="BH70" s="404"/>
      <c r="BI70" s="404"/>
      <c r="BJ70" s="404"/>
      <c r="BK70" s="404"/>
      <c r="BL70" s="404"/>
      <c r="BM70" s="404"/>
      <c r="BN70" s="404"/>
      <c r="BO70" s="404"/>
      <c r="BP70" s="404"/>
      <c r="BQ70" s="404"/>
      <c r="BR70" s="404"/>
      <c r="BS70" s="404"/>
      <c r="BT70" s="404"/>
      <c r="BU70" s="404"/>
      <c r="BV70" s="404"/>
      <c r="BW70" s="404"/>
      <c r="BX70" s="404"/>
      <c r="BY70" s="404"/>
      <c r="BZ70" s="404"/>
      <c r="CA70" s="404"/>
      <c r="CB70" s="404"/>
      <c r="CC70" s="404"/>
      <c r="CD70" s="404"/>
      <c r="CE70" s="404"/>
      <c r="CF70" s="404"/>
      <c r="CG70" s="404"/>
      <c r="CH70" s="404"/>
      <c r="CI70" s="404"/>
      <c r="CJ70" s="404"/>
      <c r="CK70" s="404"/>
      <c r="CL70" s="404"/>
      <c r="CM70" s="404"/>
      <c r="CN70" s="404"/>
      <c r="CO70" s="404"/>
      <c r="CP70" s="404"/>
      <c r="CQ70" s="404"/>
      <c r="CR70" s="404"/>
      <c r="CS70" s="404"/>
      <c r="CT70" s="404"/>
      <c r="CU70" s="404"/>
      <c r="CV70" s="404"/>
      <c r="CW70" s="404"/>
      <c r="CX70" s="404"/>
      <c r="CY70" s="404"/>
      <c r="CZ70" s="404"/>
      <c r="DA70" s="404"/>
      <c r="DB70" s="404"/>
      <c r="DC70" s="407"/>
    </row>
    <row r="71" customFormat="false" ht="24.45" hidden="false" customHeight="false" outlineLevel="0" collapsed="false">
      <c r="A71" s="450"/>
      <c r="B71" s="399" t="s">
        <v>608</v>
      </c>
      <c r="C71" s="382" t="n">
        <v>2.5</v>
      </c>
      <c r="D71" s="445"/>
      <c r="E71" s="407"/>
      <c r="F71" s="406"/>
      <c r="G71" s="404"/>
      <c r="H71" s="404"/>
      <c r="I71" s="407"/>
      <c r="J71" s="403"/>
      <c r="K71" s="404"/>
      <c r="L71" s="404"/>
      <c r="M71" s="404"/>
      <c r="N71" s="405"/>
      <c r="O71" s="406"/>
      <c r="P71" s="404"/>
      <c r="Q71" s="404"/>
      <c r="R71" s="407"/>
      <c r="S71" s="408"/>
      <c r="T71" s="423"/>
      <c r="U71" s="447"/>
      <c r="V71" s="454"/>
      <c r="W71" s="449"/>
      <c r="X71" s="447"/>
      <c r="Y71" s="447"/>
      <c r="Z71" s="455"/>
      <c r="AA71" s="403"/>
      <c r="AB71" s="404"/>
      <c r="AC71" s="404"/>
      <c r="AD71" s="404"/>
      <c r="AE71" s="405"/>
      <c r="AF71" s="458"/>
      <c r="AG71" s="404"/>
      <c r="AH71" s="404"/>
      <c r="AI71" s="407"/>
      <c r="AJ71" s="403"/>
      <c r="AK71" s="404"/>
      <c r="AL71" s="404"/>
      <c r="AM71" s="404"/>
      <c r="AN71" s="405"/>
      <c r="AO71" s="406"/>
      <c r="AP71" s="404"/>
      <c r="AQ71" s="404"/>
      <c r="AR71" s="407"/>
      <c r="AS71" s="403"/>
      <c r="AT71" s="404"/>
      <c r="AU71" s="404"/>
      <c r="AV71" s="405"/>
      <c r="AW71" s="406"/>
      <c r="AX71" s="404"/>
      <c r="AY71" s="404"/>
      <c r="AZ71" s="404"/>
      <c r="BA71" s="407"/>
      <c r="BB71" s="403"/>
      <c r="BC71" s="404"/>
      <c r="BD71" s="404"/>
      <c r="BE71" s="405"/>
      <c r="BF71" s="406"/>
      <c r="BG71" s="404"/>
      <c r="BH71" s="404"/>
      <c r="BI71" s="404"/>
      <c r="BJ71" s="404"/>
      <c r="BK71" s="404"/>
      <c r="BL71" s="404"/>
      <c r="BM71" s="404"/>
      <c r="BN71" s="404"/>
      <c r="BO71" s="404"/>
      <c r="BP71" s="404"/>
      <c r="BQ71" s="404"/>
      <c r="BR71" s="404"/>
      <c r="BS71" s="404"/>
      <c r="BT71" s="404"/>
      <c r="BU71" s="404"/>
      <c r="BV71" s="404"/>
      <c r="BW71" s="404"/>
      <c r="BX71" s="404"/>
      <c r="BY71" s="404"/>
      <c r="BZ71" s="404"/>
      <c r="CA71" s="404"/>
      <c r="CB71" s="404"/>
      <c r="CC71" s="404"/>
      <c r="CD71" s="404"/>
      <c r="CE71" s="404"/>
      <c r="CF71" s="404"/>
      <c r="CG71" s="404"/>
      <c r="CH71" s="404"/>
      <c r="CI71" s="404"/>
      <c r="CJ71" s="404"/>
      <c r="CK71" s="404"/>
      <c r="CL71" s="404"/>
      <c r="CM71" s="404"/>
      <c r="CN71" s="404"/>
      <c r="CO71" s="404"/>
      <c r="CP71" s="404"/>
      <c r="CQ71" s="404"/>
      <c r="CR71" s="404"/>
      <c r="CS71" s="404"/>
      <c r="CT71" s="404"/>
      <c r="CU71" s="404"/>
      <c r="CV71" s="404"/>
      <c r="CW71" s="404"/>
      <c r="CX71" s="404"/>
      <c r="CY71" s="404"/>
      <c r="CZ71" s="404"/>
      <c r="DA71" s="404"/>
      <c r="DB71" s="404"/>
      <c r="DC71" s="407"/>
    </row>
    <row r="72" customFormat="false" ht="24.45" hidden="false" customHeight="false" outlineLevel="0" collapsed="false">
      <c r="A72" s="450"/>
      <c r="B72" s="399" t="s">
        <v>608</v>
      </c>
      <c r="C72" s="382" t="n">
        <v>2.5</v>
      </c>
      <c r="D72" s="445"/>
      <c r="E72" s="407"/>
      <c r="F72" s="406"/>
      <c r="G72" s="404"/>
      <c r="H72" s="404"/>
      <c r="I72" s="407"/>
      <c r="J72" s="403"/>
      <c r="K72" s="404"/>
      <c r="L72" s="404"/>
      <c r="M72" s="404"/>
      <c r="N72" s="405"/>
      <c r="O72" s="406"/>
      <c r="P72" s="404"/>
      <c r="Q72" s="404"/>
      <c r="R72" s="407"/>
      <c r="S72" s="408"/>
      <c r="T72" s="423"/>
      <c r="U72" s="447"/>
      <c r="V72" s="454"/>
      <c r="W72" s="449"/>
      <c r="X72" s="447"/>
      <c r="Y72" s="447"/>
      <c r="Z72" s="455"/>
      <c r="AA72" s="403"/>
      <c r="AB72" s="404"/>
      <c r="AC72" s="404"/>
      <c r="AD72" s="404"/>
      <c r="AE72" s="405"/>
      <c r="AF72" s="458"/>
      <c r="AG72" s="404"/>
      <c r="AH72" s="404"/>
      <c r="AI72" s="407"/>
      <c r="AJ72" s="403"/>
      <c r="AK72" s="404"/>
      <c r="AL72" s="404"/>
      <c r="AM72" s="404"/>
      <c r="AN72" s="405"/>
      <c r="AO72" s="406"/>
      <c r="AP72" s="404"/>
      <c r="AQ72" s="404"/>
      <c r="AR72" s="407"/>
      <c r="AS72" s="403"/>
      <c r="AT72" s="404"/>
      <c r="AU72" s="404"/>
      <c r="AV72" s="405"/>
      <c r="AW72" s="406"/>
      <c r="AX72" s="404"/>
      <c r="AY72" s="404"/>
      <c r="AZ72" s="404"/>
      <c r="BA72" s="407"/>
      <c r="BB72" s="403"/>
      <c r="BC72" s="404"/>
      <c r="BD72" s="404"/>
      <c r="BE72" s="405"/>
      <c r="BF72" s="406"/>
      <c r="BG72" s="404"/>
      <c r="BH72" s="404"/>
      <c r="BI72" s="404"/>
      <c r="BJ72" s="404"/>
      <c r="BK72" s="404"/>
      <c r="BL72" s="404"/>
      <c r="BM72" s="404"/>
      <c r="BN72" s="404"/>
      <c r="BO72" s="404"/>
      <c r="BP72" s="404"/>
      <c r="BQ72" s="404"/>
      <c r="BR72" s="404"/>
      <c r="BS72" s="404"/>
      <c r="BT72" s="404"/>
      <c r="BU72" s="404"/>
      <c r="BV72" s="404"/>
      <c r="BW72" s="404"/>
      <c r="BX72" s="404"/>
      <c r="BY72" s="404"/>
      <c r="BZ72" s="404"/>
      <c r="CA72" s="404"/>
      <c r="CB72" s="404"/>
      <c r="CC72" s="404"/>
      <c r="CD72" s="404"/>
      <c r="CE72" s="404"/>
      <c r="CF72" s="404"/>
      <c r="CG72" s="404"/>
      <c r="CH72" s="404"/>
      <c r="CI72" s="404"/>
      <c r="CJ72" s="404"/>
      <c r="CK72" s="404"/>
      <c r="CL72" s="404"/>
      <c r="CM72" s="404"/>
      <c r="CN72" s="404"/>
      <c r="CO72" s="404"/>
      <c r="CP72" s="404"/>
      <c r="CQ72" s="404"/>
      <c r="CR72" s="404"/>
      <c r="CS72" s="404"/>
      <c r="CT72" s="404"/>
      <c r="CU72" s="404"/>
      <c r="CV72" s="404"/>
      <c r="CW72" s="404"/>
      <c r="CX72" s="404"/>
      <c r="CY72" s="404"/>
      <c r="CZ72" s="404"/>
      <c r="DA72" s="404"/>
      <c r="DB72" s="404"/>
      <c r="DC72" s="407"/>
    </row>
    <row r="73" customFormat="false" ht="24.45" hidden="false" customHeight="false" outlineLevel="0" collapsed="false">
      <c r="A73" s="450"/>
      <c r="B73" s="399" t="s">
        <v>608</v>
      </c>
      <c r="C73" s="382" t="n">
        <v>2.5</v>
      </c>
      <c r="D73" s="445"/>
      <c r="E73" s="407"/>
      <c r="F73" s="406"/>
      <c r="G73" s="404"/>
      <c r="H73" s="404"/>
      <c r="I73" s="407"/>
      <c r="J73" s="403"/>
      <c r="K73" s="404"/>
      <c r="L73" s="404"/>
      <c r="M73" s="404"/>
      <c r="N73" s="405"/>
      <c r="O73" s="406"/>
      <c r="P73" s="404"/>
      <c r="Q73" s="404"/>
      <c r="R73" s="407"/>
      <c r="S73" s="408"/>
      <c r="T73" s="423"/>
      <c r="U73" s="447"/>
      <c r="V73" s="454"/>
      <c r="W73" s="449"/>
      <c r="X73" s="447"/>
      <c r="Y73" s="447"/>
      <c r="Z73" s="455"/>
      <c r="AA73" s="403"/>
      <c r="AB73" s="404"/>
      <c r="AC73" s="404"/>
      <c r="AD73" s="404"/>
      <c r="AE73" s="405"/>
      <c r="AF73" s="458"/>
      <c r="AG73" s="404"/>
      <c r="AH73" s="404"/>
      <c r="AI73" s="407"/>
      <c r="AJ73" s="403"/>
      <c r="AK73" s="404"/>
      <c r="AL73" s="404"/>
      <c r="AM73" s="404"/>
      <c r="AN73" s="405"/>
      <c r="AO73" s="406"/>
      <c r="AP73" s="404"/>
      <c r="AQ73" s="404"/>
      <c r="AR73" s="407"/>
      <c r="AS73" s="403"/>
      <c r="AT73" s="404"/>
      <c r="AU73" s="404"/>
      <c r="AV73" s="405"/>
      <c r="AW73" s="406"/>
      <c r="AX73" s="404"/>
      <c r="AY73" s="404"/>
      <c r="AZ73" s="404"/>
      <c r="BA73" s="407"/>
      <c r="BB73" s="403"/>
      <c r="BC73" s="404"/>
      <c r="BD73" s="404"/>
      <c r="BE73" s="405"/>
      <c r="BF73" s="406"/>
      <c r="BG73" s="404"/>
      <c r="BH73" s="404"/>
      <c r="BI73" s="404"/>
      <c r="BJ73" s="404"/>
      <c r="BK73" s="404"/>
      <c r="BL73" s="404"/>
      <c r="BM73" s="404"/>
      <c r="BN73" s="404"/>
      <c r="BO73" s="404"/>
      <c r="BP73" s="404"/>
      <c r="BQ73" s="404"/>
      <c r="BR73" s="404"/>
      <c r="BS73" s="404"/>
      <c r="BT73" s="404"/>
      <c r="BU73" s="404"/>
      <c r="BV73" s="404"/>
      <c r="BW73" s="404"/>
      <c r="BX73" s="404"/>
      <c r="BY73" s="404"/>
      <c r="BZ73" s="404"/>
      <c r="CA73" s="404"/>
      <c r="CB73" s="404"/>
      <c r="CC73" s="404"/>
      <c r="CD73" s="404"/>
      <c r="CE73" s="404"/>
      <c r="CF73" s="404"/>
      <c r="CG73" s="404"/>
      <c r="CH73" s="404"/>
      <c r="CI73" s="404"/>
      <c r="CJ73" s="404"/>
      <c r="CK73" s="404"/>
      <c r="CL73" s="404"/>
      <c r="CM73" s="404"/>
      <c r="CN73" s="404"/>
      <c r="CO73" s="404"/>
      <c r="CP73" s="404"/>
      <c r="CQ73" s="404"/>
      <c r="CR73" s="404"/>
      <c r="CS73" s="404"/>
      <c r="CT73" s="404"/>
      <c r="CU73" s="404"/>
      <c r="CV73" s="404"/>
      <c r="CW73" s="404"/>
      <c r="CX73" s="404"/>
      <c r="CY73" s="404"/>
      <c r="CZ73" s="404"/>
      <c r="DA73" s="404"/>
      <c r="DB73" s="404"/>
      <c r="DC73" s="407"/>
    </row>
    <row r="74" customFormat="false" ht="24.45" hidden="false" customHeight="false" outlineLevel="0" collapsed="false">
      <c r="A74" s="450"/>
      <c r="B74" s="399" t="s">
        <v>608</v>
      </c>
      <c r="C74" s="382" t="n">
        <v>2.5</v>
      </c>
      <c r="D74" s="445"/>
      <c r="E74" s="407"/>
      <c r="F74" s="406"/>
      <c r="G74" s="404"/>
      <c r="H74" s="404"/>
      <c r="I74" s="407"/>
      <c r="J74" s="403"/>
      <c r="K74" s="404"/>
      <c r="L74" s="404"/>
      <c r="M74" s="404"/>
      <c r="N74" s="405"/>
      <c r="O74" s="406"/>
      <c r="P74" s="404"/>
      <c r="Q74" s="404"/>
      <c r="R74" s="407"/>
      <c r="S74" s="408"/>
      <c r="T74" s="423"/>
      <c r="U74" s="447"/>
      <c r="V74" s="454"/>
      <c r="W74" s="449"/>
      <c r="X74" s="447"/>
      <c r="Y74" s="447"/>
      <c r="Z74" s="455"/>
      <c r="AA74" s="403"/>
      <c r="AB74" s="404"/>
      <c r="AC74" s="404"/>
      <c r="AD74" s="404"/>
      <c r="AE74" s="405"/>
      <c r="AF74" s="458"/>
      <c r="AG74" s="404"/>
      <c r="AH74" s="404"/>
      <c r="AI74" s="407"/>
      <c r="AJ74" s="403"/>
      <c r="AK74" s="404"/>
      <c r="AL74" s="404"/>
      <c r="AM74" s="404"/>
      <c r="AN74" s="405"/>
      <c r="AO74" s="406"/>
      <c r="AP74" s="404"/>
      <c r="AQ74" s="404"/>
      <c r="AR74" s="407"/>
      <c r="AS74" s="403"/>
      <c r="AT74" s="404"/>
      <c r="AU74" s="404"/>
      <c r="AV74" s="405"/>
      <c r="AW74" s="406"/>
      <c r="AX74" s="404"/>
      <c r="AY74" s="404"/>
      <c r="AZ74" s="404"/>
      <c r="BA74" s="407"/>
      <c r="BB74" s="403"/>
      <c r="BC74" s="404"/>
      <c r="BD74" s="404"/>
      <c r="BE74" s="405"/>
      <c r="BF74" s="406"/>
      <c r="BG74" s="404"/>
      <c r="BH74" s="404"/>
      <c r="BI74" s="404"/>
      <c r="BJ74" s="404"/>
      <c r="BK74" s="404"/>
      <c r="BL74" s="404"/>
      <c r="BM74" s="404"/>
      <c r="BN74" s="404"/>
      <c r="BO74" s="404"/>
      <c r="BP74" s="404"/>
      <c r="BQ74" s="404"/>
      <c r="BR74" s="404"/>
      <c r="BS74" s="404"/>
      <c r="BT74" s="404"/>
      <c r="BU74" s="404"/>
      <c r="BV74" s="404"/>
      <c r="BW74" s="404"/>
      <c r="BX74" s="404"/>
      <c r="BY74" s="404"/>
      <c r="BZ74" s="404"/>
      <c r="CA74" s="404"/>
      <c r="CB74" s="404"/>
      <c r="CC74" s="404"/>
      <c r="CD74" s="404"/>
      <c r="CE74" s="404"/>
      <c r="CF74" s="404"/>
      <c r="CG74" s="404"/>
      <c r="CH74" s="404"/>
      <c r="CI74" s="404"/>
      <c r="CJ74" s="404"/>
      <c r="CK74" s="404"/>
      <c r="CL74" s="404"/>
      <c r="CM74" s="404"/>
      <c r="CN74" s="404"/>
      <c r="CO74" s="404"/>
      <c r="CP74" s="404"/>
      <c r="CQ74" s="404"/>
      <c r="CR74" s="404"/>
      <c r="CS74" s="404"/>
      <c r="CT74" s="404"/>
      <c r="CU74" s="404"/>
      <c r="CV74" s="404"/>
      <c r="CW74" s="404"/>
      <c r="CX74" s="404"/>
      <c r="CY74" s="404"/>
      <c r="CZ74" s="404"/>
      <c r="DA74" s="404"/>
      <c r="DB74" s="404"/>
      <c r="DC74" s="407"/>
    </row>
    <row r="75" customFormat="false" ht="24.45" hidden="false" customHeight="false" outlineLevel="0" collapsed="false">
      <c r="A75" s="450"/>
      <c r="B75" s="399" t="s">
        <v>608</v>
      </c>
      <c r="C75" s="382" t="n">
        <v>2.5</v>
      </c>
      <c r="D75" s="445"/>
      <c r="E75" s="407"/>
      <c r="F75" s="406"/>
      <c r="G75" s="404"/>
      <c r="H75" s="404"/>
      <c r="I75" s="407"/>
      <c r="J75" s="403"/>
      <c r="K75" s="404"/>
      <c r="L75" s="404"/>
      <c r="M75" s="404"/>
      <c r="N75" s="405"/>
      <c r="O75" s="406"/>
      <c r="P75" s="404"/>
      <c r="Q75" s="404"/>
      <c r="R75" s="407"/>
      <c r="S75" s="408"/>
      <c r="T75" s="423"/>
      <c r="U75" s="447"/>
      <c r="V75" s="454"/>
      <c r="W75" s="449"/>
      <c r="X75" s="447"/>
      <c r="Y75" s="447"/>
      <c r="Z75" s="455"/>
      <c r="AA75" s="403"/>
      <c r="AB75" s="404"/>
      <c r="AC75" s="404"/>
      <c r="AD75" s="404"/>
      <c r="AE75" s="405"/>
      <c r="AF75" s="458"/>
      <c r="AG75" s="404"/>
      <c r="AH75" s="404"/>
      <c r="AI75" s="407"/>
      <c r="AJ75" s="403"/>
      <c r="AK75" s="404"/>
      <c r="AL75" s="404"/>
      <c r="AM75" s="404"/>
      <c r="AN75" s="405"/>
      <c r="AO75" s="406"/>
      <c r="AP75" s="404"/>
      <c r="AQ75" s="404"/>
      <c r="AR75" s="407"/>
      <c r="AS75" s="403"/>
      <c r="AT75" s="404"/>
      <c r="AU75" s="404"/>
      <c r="AV75" s="405"/>
      <c r="AW75" s="406"/>
      <c r="AX75" s="404"/>
      <c r="AY75" s="404"/>
      <c r="AZ75" s="404"/>
      <c r="BA75" s="407"/>
      <c r="BB75" s="403"/>
      <c r="BC75" s="404"/>
      <c r="BD75" s="404"/>
      <c r="BE75" s="405"/>
      <c r="BF75" s="406"/>
      <c r="BG75" s="404"/>
      <c r="BH75" s="404"/>
      <c r="BI75" s="404"/>
      <c r="BJ75" s="404"/>
      <c r="BK75" s="404"/>
      <c r="BL75" s="404"/>
      <c r="BM75" s="404"/>
      <c r="BN75" s="404"/>
      <c r="BO75" s="404"/>
      <c r="BP75" s="404"/>
      <c r="BQ75" s="404"/>
      <c r="BR75" s="404"/>
      <c r="BS75" s="404"/>
      <c r="BT75" s="404"/>
      <c r="BU75" s="404"/>
      <c r="BV75" s="404"/>
      <c r="BW75" s="404"/>
      <c r="BX75" s="404"/>
      <c r="BY75" s="404"/>
      <c r="BZ75" s="404"/>
      <c r="CA75" s="404"/>
      <c r="CB75" s="404"/>
      <c r="CC75" s="404"/>
      <c r="CD75" s="404"/>
      <c r="CE75" s="404"/>
      <c r="CF75" s="404"/>
      <c r="CG75" s="404"/>
      <c r="CH75" s="404"/>
      <c r="CI75" s="404"/>
      <c r="CJ75" s="404"/>
      <c r="CK75" s="404"/>
      <c r="CL75" s="404"/>
      <c r="CM75" s="404"/>
      <c r="CN75" s="404"/>
      <c r="CO75" s="404"/>
      <c r="CP75" s="404"/>
      <c r="CQ75" s="404"/>
      <c r="CR75" s="404"/>
      <c r="CS75" s="404"/>
      <c r="CT75" s="404"/>
      <c r="CU75" s="404"/>
      <c r="CV75" s="404"/>
      <c r="CW75" s="404"/>
      <c r="CX75" s="404"/>
      <c r="CY75" s="404"/>
      <c r="CZ75" s="404"/>
      <c r="DA75" s="404"/>
      <c r="DB75" s="404"/>
      <c r="DC75" s="407"/>
    </row>
    <row r="76" customFormat="false" ht="24.45" hidden="false" customHeight="false" outlineLevel="0" collapsed="false">
      <c r="A76" s="450"/>
      <c r="B76" s="399" t="s">
        <v>608</v>
      </c>
      <c r="C76" s="382" t="n">
        <v>2.5</v>
      </c>
      <c r="D76" s="445"/>
      <c r="E76" s="407"/>
      <c r="F76" s="406"/>
      <c r="G76" s="404"/>
      <c r="H76" s="404"/>
      <c r="I76" s="407"/>
      <c r="J76" s="403"/>
      <c r="K76" s="404"/>
      <c r="L76" s="404"/>
      <c r="M76" s="404"/>
      <c r="N76" s="405"/>
      <c r="O76" s="406"/>
      <c r="P76" s="404"/>
      <c r="Q76" s="404"/>
      <c r="R76" s="407"/>
      <c r="S76" s="408"/>
      <c r="T76" s="423"/>
      <c r="U76" s="447"/>
      <c r="V76" s="454"/>
      <c r="W76" s="449"/>
      <c r="X76" s="447"/>
      <c r="Y76" s="447"/>
      <c r="Z76" s="455"/>
      <c r="AA76" s="403"/>
      <c r="AB76" s="404"/>
      <c r="AC76" s="404"/>
      <c r="AD76" s="404"/>
      <c r="AE76" s="405"/>
      <c r="AF76" s="458"/>
      <c r="AG76" s="404"/>
      <c r="AH76" s="404"/>
      <c r="AI76" s="407"/>
      <c r="AJ76" s="403"/>
      <c r="AK76" s="404"/>
      <c r="AL76" s="404"/>
      <c r="AM76" s="404"/>
      <c r="AN76" s="405"/>
      <c r="AO76" s="406"/>
      <c r="AP76" s="404"/>
      <c r="AQ76" s="404"/>
      <c r="AR76" s="407"/>
      <c r="AS76" s="403"/>
      <c r="AT76" s="404"/>
      <c r="AU76" s="404"/>
      <c r="AV76" s="405"/>
      <c r="AW76" s="406"/>
      <c r="AX76" s="404"/>
      <c r="AY76" s="404"/>
      <c r="AZ76" s="404"/>
      <c r="BA76" s="407"/>
      <c r="BB76" s="403"/>
      <c r="BC76" s="404"/>
      <c r="BD76" s="404"/>
      <c r="BE76" s="405"/>
      <c r="BF76" s="406"/>
      <c r="BG76" s="404"/>
      <c r="BH76" s="404"/>
      <c r="BI76" s="404"/>
      <c r="BJ76" s="404"/>
      <c r="BK76" s="404"/>
      <c r="BL76" s="404"/>
      <c r="BM76" s="404"/>
      <c r="BN76" s="404"/>
      <c r="BO76" s="404"/>
      <c r="BP76" s="404"/>
      <c r="BQ76" s="404"/>
      <c r="BR76" s="404"/>
      <c r="BS76" s="404"/>
      <c r="BT76" s="404"/>
      <c r="BU76" s="404"/>
      <c r="BV76" s="404"/>
      <c r="BW76" s="404"/>
      <c r="BX76" s="404"/>
      <c r="BY76" s="404"/>
      <c r="BZ76" s="404"/>
      <c r="CA76" s="404"/>
      <c r="CB76" s="404"/>
      <c r="CC76" s="404"/>
      <c r="CD76" s="404"/>
      <c r="CE76" s="404"/>
      <c r="CF76" s="404"/>
      <c r="CG76" s="404"/>
      <c r="CH76" s="404"/>
      <c r="CI76" s="404"/>
      <c r="CJ76" s="404"/>
      <c r="CK76" s="404"/>
      <c r="CL76" s="404"/>
      <c r="CM76" s="404"/>
      <c r="CN76" s="404"/>
      <c r="CO76" s="404"/>
      <c r="CP76" s="404"/>
      <c r="CQ76" s="404"/>
      <c r="CR76" s="404"/>
      <c r="CS76" s="404"/>
      <c r="CT76" s="404"/>
      <c r="CU76" s="404"/>
      <c r="CV76" s="404"/>
      <c r="CW76" s="404"/>
      <c r="CX76" s="404"/>
      <c r="CY76" s="404"/>
      <c r="CZ76" s="404"/>
      <c r="DA76" s="404"/>
      <c r="DB76" s="404"/>
      <c r="DC76" s="407"/>
    </row>
    <row r="77" customFormat="false" ht="24.45" hidden="false" customHeight="false" outlineLevel="0" collapsed="false">
      <c r="A77" s="450"/>
      <c r="B77" s="399" t="s">
        <v>608</v>
      </c>
      <c r="C77" s="382" t="n">
        <v>2.5</v>
      </c>
      <c r="D77" s="445"/>
      <c r="E77" s="407"/>
      <c r="F77" s="406"/>
      <c r="G77" s="404"/>
      <c r="H77" s="404"/>
      <c r="I77" s="407"/>
      <c r="J77" s="403"/>
      <c r="K77" s="404"/>
      <c r="L77" s="404"/>
      <c r="M77" s="404"/>
      <c r="N77" s="405"/>
      <c r="O77" s="406"/>
      <c r="P77" s="404"/>
      <c r="Q77" s="404"/>
      <c r="R77" s="407"/>
      <c r="S77" s="408"/>
      <c r="T77" s="423"/>
      <c r="U77" s="447"/>
      <c r="V77" s="454"/>
      <c r="W77" s="449"/>
      <c r="X77" s="447"/>
      <c r="Y77" s="447"/>
      <c r="Z77" s="455"/>
      <c r="AA77" s="403"/>
      <c r="AB77" s="404"/>
      <c r="AC77" s="404"/>
      <c r="AD77" s="404"/>
      <c r="AE77" s="405"/>
      <c r="AF77" s="458"/>
      <c r="AG77" s="404"/>
      <c r="AH77" s="404"/>
      <c r="AI77" s="407"/>
      <c r="AJ77" s="403"/>
      <c r="AK77" s="404"/>
      <c r="AL77" s="404"/>
      <c r="AM77" s="404"/>
      <c r="AN77" s="405"/>
      <c r="AO77" s="406"/>
      <c r="AP77" s="404"/>
      <c r="AQ77" s="404"/>
      <c r="AR77" s="407"/>
      <c r="AS77" s="403"/>
      <c r="AT77" s="404"/>
      <c r="AU77" s="404"/>
      <c r="AV77" s="405"/>
      <c r="AW77" s="406"/>
      <c r="AX77" s="404"/>
      <c r="AY77" s="404"/>
      <c r="AZ77" s="404"/>
      <c r="BA77" s="407"/>
      <c r="BB77" s="403"/>
      <c r="BC77" s="404"/>
      <c r="BD77" s="404"/>
      <c r="BE77" s="405"/>
      <c r="BF77" s="406"/>
      <c r="BG77" s="404"/>
      <c r="BH77" s="404"/>
      <c r="BI77" s="404"/>
      <c r="BJ77" s="404"/>
      <c r="BK77" s="404"/>
      <c r="BL77" s="404"/>
      <c r="BM77" s="404"/>
      <c r="BN77" s="404"/>
      <c r="BO77" s="404"/>
      <c r="BP77" s="404"/>
      <c r="BQ77" s="404"/>
      <c r="BR77" s="404"/>
      <c r="BS77" s="404"/>
      <c r="BT77" s="404"/>
      <c r="BU77" s="404"/>
      <c r="BV77" s="404"/>
      <c r="BW77" s="404"/>
      <c r="BX77" s="404"/>
      <c r="BY77" s="404"/>
      <c r="BZ77" s="404"/>
      <c r="CA77" s="404"/>
      <c r="CB77" s="404"/>
      <c r="CC77" s="404"/>
      <c r="CD77" s="404"/>
      <c r="CE77" s="404"/>
      <c r="CF77" s="404"/>
      <c r="CG77" s="404"/>
      <c r="CH77" s="404"/>
      <c r="CI77" s="404"/>
      <c r="CJ77" s="404"/>
      <c r="CK77" s="404"/>
      <c r="CL77" s="404"/>
      <c r="CM77" s="404"/>
      <c r="CN77" s="404"/>
      <c r="CO77" s="404"/>
      <c r="CP77" s="404"/>
      <c r="CQ77" s="404"/>
      <c r="CR77" s="404"/>
      <c r="CS77" s="404"/>
      <c r="CT77" s="404"/>
      <c r="CU77" s="404"/>
      <c r="CV77" s="404"/>
      <c r="CW77" s="404"/>
      <c r="CX77" s="404"/>
      <c r="CY77" s="404"/>
      <c r="CZ77" s="404"/>
      <c r="DA77" s="404"/>
      <c r="DB77" s="404"/>
      <c r="DC77" s="407"/>
    </row>
    <row r="78" customFormat="false" ht="24.45" hidden="false" customHeight="false" outlineLevel="0" collapsed="false">
      <c r="A78" s="450"/>
      <c r="B78" s="399" t="s">
        <v>608</v>
      </c>
      <c r="C78" s="382" t="n">
        <v>2.5</v>
      </c>
      <c r="D78" s="445"/>
      <c r="E78" s="407"/>
      <c r="F78" s="406"/>
      <c r="G78" s="404"/>
      <c r="H78" s="404"/>
      <c r="I78" s="407"/>
      <c r="J78" s="403"/>
      <c r="K78" s="404"/>
      <c r="L78" s="404"/>
      <c r="M78" s="404"/>
      <c r="N78" s="405"/>
      <c r="O78" s="406"/>
      <c r="P78" s="404"/>
      <c r="Q78" s="404"/>
      <c r="R78" s="407"/>
      <c r="S78" s="408"/>
      <c r="T78" s="423"/>
      <c r="U78" s="447"/>
      <c r="V78" s="454"/>
      <c r="W78" s="449"/>
      <c r="X78" s="447"/>
      <c r="Y78" s="447"/>
      <c r="Z78" s="455"/>
      <c r="AA78" s="403"/>
      <c r="AB78" s="404"/>
      <c r="AC78" s="404"/>
      <c r="AD78" s="404"/>
      <c r="AE78" s="405"/>
      <c r="AF78" s="458"/>
      <c r="AG78" s="404"/>
      <c r="AH78" s="404"/>
      <c r="AI78" s="407"/>
      <c r="AJ78" s="403"/>
      <c r="AK78" s="404"/>
      <c r="AL78" s="404"/>
      <c r="AM78" s="404"/>
      <c r="AN78" s="405"/>
      <c r="AO78" s="406"/>
      <c r="AP78" s="404"/>
      <c r="AQ78" s="404"/>
      <c r="AR78" s="407"/>
      <c r="AS78" s="403"/>
      <c r="AT78" s="404"/>
      <c r="AU78" s="404"/>
      <c r="AV78" s="405"/>
      <c r="AW78" s="406"/>
      <c r="AX78" s="404"/>
      <c r="AY78" s="404"/>
      <c r="AZ78" s="404"/>
      <c r="BA78" s="407"/>
      <c r="BB78" s="403"/>
      <c r="BC78" s="404"/>
      <c r="BD78" s="404"/>
      <c r="BE78" s="405"/>
      <c r="BF78" s="406"/>
      <c r="BG78" s="404"/>
      <c r="BH78" s="404"/>
      <c r="BI78" s="404"/>
      <c r="BJ78" s="404"/>
      <c r="BK78" s="404"/>
      <c r="BL78" s="404"/>
      <c r="BM78" s="404"/>
      <c r="BN78" s="404"/>
      <c r="BO78" s="404"/>
      <c r="BP78" s="404"/>
      <c r="BQ78" s="404"/>
      <c r="BR78" s="404"/>
      <c r="BS78" s="404"/>
      <c r="BT78" s="404"/>
      <c r="BU78" s="404"/>
      <c r="BV78" s="404"/>
      <c r="BW78" s="404"/>
      <c r="BX78" s="404"/>
      <c r="BY78" s="404"/>
      <c r="BZ78" s="404"/>
      <c r="CA78" s="404"/>
      <c r="CB78" s="404"/>
      <c r="CC78" s="404"/>
      <c r="CD78" s="404"/>
      <c r="CE78" s="404"/>
      <c r="CF78" s="404"/>
      <c r="CG78" s="404"/>
      <c r="CH78" s="404"/>
      <c r="CI78" s="404"/>
      <c r="CJ78" s="404"/>
      <c r="CK78" s="404"/>
      <c r="CL78" s="404"/>
      <c r="CM78" s="404"/>
      <c r="CN78" s="404"/>
      <c r="CO78" s="404"/>
      <c r="CP78" s="404"/>
      <c r="CQ78" s="404"/>
      <c r="CR78" s="404"/>
      <c r="CS78" s="404"/>
      <c r="CT78" s="404"/>
      <c r="CU78" s="404"/>
      <c r="CV78" s="404"/>
      <c r="CW78" s="404"/>
      <c r="CX78" s="404"/>
      <c r="CY78" s="404"/>
      <c r="CZ78" s="404"/>
      <c r="DA78" s="404"/>
      <c r="DB78" s="404"/>
      <c r="DC78" s="407"/>
    </row>
    <row r="79" customFormat="false" ht="24.45" hidden="false" customHeight="false" outlineLevel="0" collapsed="false">
      <c r="A79" s="450"/>
      <c r="B79" s="399" t="s">
        <v>608</v>
      </c>
      <c r="C79" s="382" t="n">
        <v>2.5</v>
      </c>
      <c r="D79" s="445"/>
      <c r="E79" s="407"/>
      <c r="F79" s="406"/>
      <c r="G79" s="404"/>
      <c r="H79" s="404"/>
      <c r="I79" s="407"/>
      <c r="J79" s="403"/>
      <c r="K79" s="404"/>
      <c r="L79" s="404"/>
      <c r="M79" s="404"/>
      <c r="N79" s="405"/>
      <c r="O79" s="406"/>
      <c r="P79" s="404"/>
      <c r="Q79" s="404"/>
      <c r="R79" s="407"/>
      <c r="S79" s="408"/>
      <c r="T79" s="423"/>
      <c r="U79" s="447"/>
      <c r="V79" s="454"/>
      <c r="W79" s="449"/>
      <c r="X79" s="447"/>
      <c r="Y79" s="447"/>
      <c r="Z79" s="455"/>
      <c r="AA79" s="403"/>
      <c r="AB79" s="404"/>
      <c r="AC79" s="404"/>
      <c r="AD79" s="404"/>
      <c r="AE79" s="405"/>
      <c r="AF79" s="458"/>
      <c r="AG79" s="404"/>
      <c r="AH79" s="404"/>
      <c r="AI79" s="407"/>
      <c r="AJ79" s="403"/>
      <c r="AK79" s="404"/>
      <c r="AL79" s="404"/>
      <c r="AM79" s="404"/>
      <c r="AN79" s="405"/>
      <c r="AO79" s="406"/>
      <c r="AP79" s="404"/>
      <c r="AQ79" s="404"/>
      <c r="AR79" s="407"/>
      <c r="AS79" s="403"/>
      <c r="AT79" s="404"/>
      <c r="AU79" s="404"/>
      <c r="AV79" s="405"/>
      <c r="AW79" s="406"/>
      <c r="AX79" s="404"/>
      <c r="AY79" s="404"/>
      <c r="AZ79" s="404"/>
      <c r="BA79" s="407"/>
      <c r="BB79" s="403"/>
      <c r="BC79" s="404"/>
      <c r="BD79" s="404"/>
      <c r="BE79" s="405"/>
      <c r="BF79" s="406"/>
      <c r="BG79" s="404"/>
      <c r="BH79" s="404"/>
      <c r="BI79" s="404"/>
      <c r="BJ79" s="404"/>
      <c r="BK79" s="404"/>
      <c r="BL79" s="404"/>
      <c r="BM79" s="404"/>
      <c r="BN79" s="404"/>
      <c r="BO79" s="404"/>
      <c r="BP79" s="404"/>
      <c r="BQ79" s="404"/>
      <c r="BR79" s="404"/>
      <c r="BS79" s="404"/>
      <c r="BT79" s="404"/>
      <c r="BU79" s="404"/>
      <c r="BV79" s="404"/>
      <c r="BW79" s="404"/>
      <c r="BX79" s="404"/>
      <c r="BY79" s="404"/>
      <c r="BZ79" s="404"/>
      <c r="CA79" s="404"/>
      <c r="CB79" s="404"/>
      <c r="CC79" s="404"/>
      <c r="CD79" s="404"/>
      <c r="CE79" s="404"/>
      <c r="CF79" s="404"/>
      <c r="CG79" s="404"/>
      <c r="CH79" s="404"/>
      <c r="CI79" s="404"/>
      <c r="CJ79" s="404"/>
      <c r="CK79" s="404"/>
      <c r="CL79" s="404"/>
      <c r="CM79" s="404"/>
      <c r="CN79" s="404"/>
      <c r="CO79" s="404"/>
      <c r="CP79" s="404"/>
      <c r="CQ79" s="404"/>
      <c r="CR79" s="404"/>
      <c r="CS79" s="404"/>
      <c r="CT79" s="404"/>
      <c r="CU79" s="404"/>
      <c r="CV79" s="404"/>
      <c r="CW79" s="404"/>
      <c r="CX79" s="404"/>
      <c r="CY79" s="404"/>
      <c r="CZ79" s="404"/>
      <c r="DA79" s="404"/>
      <c r="DB79" s="404"/>
      <c r="DC79" s="407"/>
    </row>
    <row r="80" customFormat="false" ht="24.45" hidden="false" customHeight="false" outlineLevel="0" collapsed="false">
      <c r="A80" s="450"/>
      <c r="B80" s="399" t="s">
        <v>608</v>
      </c>
      <c r="C80" s="382" t="n">
        <v>2.5</v>
      </c>
      <c r="D80" s="445"/>
      <c r="E80" s="407"/>
      <c r="F80" s="406"/>
      <c r="G80" s="404"/>
      <c r="H80" s="404"/>
      <c r="I80" s="407"/>
      <c r="J80" s="403"/>
      <c r="K80" s="404"/>
      <c r="L80" s="404"/>
      <c r="M80" s="404"/>
      <c r="N80" s="405"/>
      <c r="O80" s="406"/>
      <c r="P80" s="404"/>
      <c r="Q80" s="404"/>
      <c r="R80" s="407"/>
      <c r="S80" s="408"/>
      <c r="T80" s="423"/>
      <c r="U80" s="447"/>
      <c r="V80" s="454"/>
      <c r="W80" s="449"/>
      <c r="X80" s="447"/>
      <c r="Y80" s="447"/>
      <c r="Z80" s="455"/>
      <c r="AA80" s="403"/>
      <c r="AB80" s="404"/>
      <c r="AC80" s="404"/>
      <c r="AD80" s="404"/>
      <c r="AE80" s="405"/>
      <c r="AF80" s="458"/>
      <c r="AG80" s="404"/>
      <c r="AH80" s="404"/>
      <c r="AI80" s="407"/>
      <c r="AJ80" s="403"/>
      <c r="AK80" s="404"/>
      <c r="AL80" s="404"/>
      <c r="AM80" s="404"/>
      <c r="AN80" s="405"/>
      <c r="AO80" s="406"/>
      <c r="AP80" s="404"/>
      <c r="AQ80" s="404"/>
      <c r="AR80" s="407"/>
      <c r="AS80" s="403"/>
      <c r="AT80" s="404"/>
      <c r="AU80" s="404"/>
      <c r="AV80" s="405"/>
      <c r="AW80" s="406"/>
      <c r="AX80" s="404"/>
      <c r="AY80" s="404"/>
      <c r="AZ80" s="404"/>
      <c r="BA80" s="407"/>
      <c r="BB80" s="403"/>
      <c r="BC80" s="404"/>
      <c r="BD80" s="404"/>
      <c r="BE80" s="405"/>
      <c r="BF80" s="406"/>
      <c r="BG80" s="404"/>
      <c r="BH80" s="404"/>
      <c r="BI80" s="404"/>
      <c r="BJ80" s="404"/>
      <c r="BK80" s="404"/>
      <c r="BL80" s="404"/>
      <c r="BM80" s="404"/>
      <c r="BN80" s="404"/>
      <c r="BO80" s="404"/>
      <c r="BP80" s="404"/>
      <c r="BQ80" s="404"/>
      <c r="BR80" s="404"/>
      <c r="BS80" s="404"/>
      <c r="BT80" s="404"/>
      <c r="BU80" s="404"/>
      <c r="BV80" s="404"/>
      <c r="BW80" s="404"/>
      <c r="BX80" s="404"/>
      <c r="BY80" s="404"/>
      <c r="BZ80" s="404"/>
      <c r="CA80" s="404"/>
      <c r="CB80" s="404"/>
      <c r="CC80" s="404"/>
      <c r="CD80" s="404"/>
      <c r="CE80" s="404"/>
      <c r="CF80" s="404"/>
      <c r="CG80" s="404"/>
      <c r="CH80" s="404"/>
      <c r="CI80" s="404"/>
      <c r="CJ80" s="404"/>
      <c r="CK80" s="404"/>
      <c r="CL80" s="404"/>
      <c r="CM80" s="404"/>
      <c r="CN80" s="404"/>
      <c r="CO80" s="404"/>
      <c r="CP80" s="404"/>
      <c r="CQ80" s="404"/>
      <c r="CR80" s="404"/>
      <c r="CS80" s="404"/>
      <c r="CT80" s="404"/>
      <c r="CU80" s="404"/>
      <c r="CV80" s="404"/>
      <c r="CW80" s="404"/>
      <c r="CX80" s="404"/>
      <c r="CY80" s="404"/>
      <c r="CZ80" s="404"/>
      <c r="DA80" s="404"/>
      <c r="DB80" s="404"/>
      <c r="DC80" s="407"/>
    </row>
    <row r="81" customFormat="false" ht="24.45" hidden="false" customHeight="false" outlineLevel="0" collapsed="false">
      <c r="A81" s="450"/>
      <c r="B81" s="399" t="s">
        <v>608</v>
      </c>
      <c r="C81" s="382" t="n">
        <v>2.5</v>
      </c>
      <c r="D81" s="445"/>
      <c r="E81" s="407"/>
      <c r="F81" s="406"/>
      <c r="G81" s="404"/>
      <c r="H81" s="404"/>
      <c r="I81" s="407"/>
      <c r="J81" s="403"/>
      <c r="K81" s="404"/>
      <c r="L81" s="404"/>
      <c r="M81" s="404"/>
      <c r="N81" s="405"/>
      <c r="O81" s="406"/>
      <c r="P81" s="404"/>
      <c r="Q81" s="404"/>
      <c r="R81" s="407"/>
      <c r="S81" s="408"/>
      <c r="T81" s="423"/>
      <c r="U81" s="447"/>
      <c r="V81" s="454"/>
      <c r="W81" s="449"/>
      <c r="X81" s="447"/>
      <c r="Y81" s="447"/>
      <c r="Z81" s="455"/>
      <c r="AA81" s="403"/>
      <c r="AB81" s="404"/>
      <c r="AC81" s="404"/>
      <c r="AD81" s="404"/>
      <c r="AE81" s="405"/>
      <c r="AF81" s="458"/>
      <c r="AG81" s="404"/>
      <c r="AH81" s="404"/>
      <c r="AI81" s="407"/>
      <c r="AJ81" s="403"/>
      <c r="AK81" s="404"/>
      <c r="AL81" s="404"/>
      <c r="AM81" s="404"/>
      <c r="AN81" s="405"/>
      <c r="AO81" s="406"/>
      <c r="AP81" s="404"/>
      <c r="AQ81" s="404"/>
      <c r="AR81" s="407"/>
      <c r="AS81" s="403"/>
      <c r="AT81" s="404"/>
      <c r="AU81" s="404"/>
      <c r="AV81" s="405"/>
      <c r="AW81" s="406"/>
      <c r="AX81" s="404"/>
      <c r="AY81" s="404"/>
      <c r="AZ81" s="404"/>
      <c r="BA81" s="407"/>
      <c r="BB81" s="403"/>
      <c r="BC81" s="404"/>
      <c r="BD81" s="404"/>
      <c r="BE81" s="405"/>
      <c r="BF81" s="406"/>
      <c r="BG81" s="404"/>
      <c r="BH81" s="404"/>
      <c r="BI81" s="404"/>
      <c r="BJ81" s="404"/>
      <c r="BK81" s="404"/>
      <c r="BL81" s="404"/>
      <c r="BM81" s="404"/>
      <c r="BN81" s="404"/>
      <c r="BO81" s="404"/>
      <c r="BP81" s="404"/>
      <c r="BQ81" s="404"/>
      <c r="BR81" s="404"/>
      <c r="BS81" s="404"/>
      <c r="BT81" s="404"/>
      <c r="BU81" s="404"/>
      <c r="BV81" s="404"/>
      <c r="BW81" s="404"/>
      <c r="BX81" s="404"/>
      <c r="BY81" s="404"/>
      <c r="BZ81" s="404"/>
      <c r="CA81" s="404"/>
      <c r="CB81" s="404"/>
      <c r="CC81" s="404"/>
      <c r="CD81" s="404"/>
      <c r="CE81" s="404"/>
      <c r="CF81" s="404"/>
      <c r="CG81" s="404"/>
      <c r="CH81" s="404"/>
      <c r="CI81" s="404"/>
      <c r="CJ81" s="404"/>
      <c r="CK81" s="404"/>
      <c r="CL81" s="404"/>
      <c r="CM81" s="404"/>
      <c r="CN81" s="404"/>
      <c r="CO81" s="404"/>
      <c r="CP81" s="404"/>
      <c r="CQ81" s="404"/>
      <c r="CR81" s="404"/>
      <c r="CS81" s="404"/>
      <c r="CT81" s="404"/>
      <c r="CU81" s="404"/>
      <c r="CV81" s="404"/>
      <c r="CW81" s="404"/>
      <c r="CX81" s="404"/>
      <c r="CY81" s="404"/>
      <c r="CZ81" s="404"/>
      <c r="DA81" s="404"/>
      <c r="DB81" s="404"/>
      <c r="DC81" s="407"/>
    </row>
    <row r="82" customFormat="false" ht="24.45" hidden="false" customHeight="false" outlineLevel="0" collapsed="false">
      <c r="A82" s="450"/>
      <c r="B82" s="399" t="s">
        <v>608</v>
      </c>
      <c r="C82" s="382" t="n">
        <v>2.5</v>
      </c>
      <c r="D82" s="445"/>
      <c r="E82" s="407"/>
      <c r="F82" s="406"/>
      <c r="G82" s="404"/>
      <c r="H82" s="404"/>
      <c r="I82" s="407"/>
      <c r="J82" s="403"/>
      <c r="K82" s="404"/>
      <c r="L82" s="404"/>
      <c r="M82" s="404"/>
      <c r="N82" s="405"/>
      <c r="O82" s="406"/>
      <c r="P82" s="404"/>
      <c r="Q82" s="404"/>
      <c r="R82" s="407"/>
      <c r="S82" s="408"/>
      <c r="T82" s="423"/>
      <c r="U82" s="447"/>
      <c r="V82" s="454"/>
      <c r="W82" s="449"/>
      <c r="X82" s="447"/>
      <c r="Y82" s="447"/>
      <c r="Z82" s="455"/>
      <c r="AA82" s="403"/>
      <c r="AB82" s="404"/>
      <c r="AC82" s="404"/>
      <c r="AD82" s="404"/>
      <c r="AE82" s="405"/>
      <c r="AF82" s="458"/>
      <c r="AG82" s="404"/>
      <c r="AH82" s="404"/>
      <c r="AI82" s="407"/>
      <c r="AJ82" s="403"/>
      <c r="AK82" s="404"/>
      <c r="AL82" s="404"/>
      <c r="AM82" s="404"/>
      <c r="AN82" s="405"/>
      <c r="AO82" s="406"/>
      <c r="AP82" s="404"/>
      <c r="AQ82" s="404"/>
      <c r="AR82" s="407"/>
      <c r="AS82" s="403"/>
      <c r="AT82" s="404"/>
      <c r="AU82" s="404"/>
      <c r="AV82" s="405"/>
      <c r="AW82" s="406"/>
      <c r="AX82" s="404"/>
      <c r="AY82" s="404"/>
      <c r="AZ82" s="404"/>
      <c r="BA82" s="407"/>
      <c r="BB82" s="403"/>
      <c r="BC82" s="404"/>
      <c r="BD82" s="404"/>
      <c r="BE82" s="405"/>
      <c r="BF82" s="406"/>
      <c r="BG82" s="404"/>
      <c r="BH82" s="404"/>
      <c r="BI82" s="404"/>
      <c r="BJ82" s="404"/>
      <c r="BK82" s="404"/>
      <c r="BL82" s="404"/>
      <c r="BM82" s="404"/>
      <c r="BN82" s="404"/>
      <c r="BO82" s="404"/>
      <c r="BP82" s="404"/>
      <c r="BQ82" s="404"/>
      <c r="BR82" s="404"/>
      <c r="BS82" s="404"/>
      <c r="BT82" s="404"/>
      <c r="BU82" s="404"/>
      <c r="BV82" s="404"/>
      <c r="BW82" s="404"/>
      <c r="BX82" s="404"/>
      <c r="BY82" s="404"/>
      <c r="BZ82" s="404"/>
      <c r="CA82" s="404"/>
      <c r="CB82" s="404"/>
      <c r="CC82" s="404"/>
      <c r="CD82" s="404"/>
      <c r="CE82" s="404"/>
      <c r="CF82" s="404"/>
      <c r="CG82" s="404"/>
      <c r="CH82" s="404"/>
      <c r="CI82" s="404"/>
      <c r="CJ82" s="404"/>
      <c r="CK82" s="404"/>
      <c r="CL82" s="404"/>
      <c r="CM82" s="404"/>
      <c r="CN82" s="404"/>
      <c r="CO82" s="404"/>
      <c r="CP82" s="404"/>
      <c r="CQ82" s="404"/>
      <c r="CR82" s="404"/>
      <c r="CS82" s="404"/>
      <c r="CT82" s="404"/>
      <c r="CU82" s="404"/>
      <c r="CV82" s="404"/>
      <c r="CW82" s="404"/>
      <c r="CX82" s="404"/>
      <c r="CY82" s="404"/>
      <c r="CZ82" s="404"/>
      <c r="DA82" s="404"/>
      <c r="DB82" s="404"/>
      <c r="DC82" s="407"/>
    </row>
    <row r="83" customFormat="false" ht="24.45" hidden="false" customHeight="false" outlineLevel="0" collapsed="false">
      <c r="A83" s="450"/>
      <c r="B83" s="399" t="s">
        <v>608</v>
      </c>
      <c r="C83" s="382" t="n">
        <v>2.5</v>
      </c>
      <c r="D83" s="445"/>
      <c r="E83" s="407"/>
      <c r="F83" s="406"/>
      <c r="G83" s="404"/>
      <c r="H83" s="404"/>
      <c r="I83" s="407"/>
      <c r="J83" s="403"/>
      <c r="K83" s="404"/>
      <c r="L83" s="404"/>
      <c r="M83" s="404"/>
      <c r="N83" s="405"/>
      <c r="O83" s="406"/>
      <c r="P83" s="404"/>
      <c r="Q83" s="404"/>
      <c r="R83" s="407"/>
      <c r="S83" s="408"/>
      <c r="T83" s="423"/>
      <c r="U83" s="447"/>
      <c r="V83" s="454"/>
      <c r="W83" s="449"/>
      <c r="X83" s="447"/>
      <c r="Y83" s="447"/>
      <c r="Z83" s="455"/>
      <c r="AA83" s="403"/>
      <c r="AB83" s="404"/>
      <c r="AC83" s="404"/>
      <c r="AD83" s="404"/>
      <c r="AE83" s="405"/>
      <c r="AF83" s="458"/>
      <c r="AG83" s="404"/>
      <c r="AH83" s="404"/>
      <c r="AI83" s="407"/>
      <c r="AJ83" s="403"/>
      <c r="AK83" s="404"/>
      <c r="AL83" s="404"/>
      <c r="AM83" s="404"/>
      <c r="AN83" s="405"/>
      <c r="AO83" s="406"/>
      <c r="AP83" s="404"/>
      <c r="AQ83" s="404"/>
      <c r="AR83" s="407"/>
      <c r="AS83" s="403"/>
      <c r="AT83" s="404"/>
      <c r="AU83" s="404"/>
      <c r="AV83" s="405"/>
      <c r="AW83" s="406"/>
      <c r="AX83" s="404"/>
      <c r="AY83" s="404"/>
      <c r="AZ83" s="404"/>
      <c r="BA83" s="407"/>
      <c r="BB83" s="403"/>
      <c r="BC83" s="404"/>
      <c r="BD83" s="404"/>
      <c r="BE83" s="405"/>
      <c r="BF83" s="406"/>
      <c r="BG83" s="404"/>
      <c r="BH83" s="404"/>
      <c r="BI83" s="404"/>
      <c r="BJ83" s="404"/>
      <c r="BK83" s="404"/>
      <c r="BL83" s="404"/>
      <c r="BM83" s="404"/>
      <c r="BN83" s="404"/>
      <c r="BO83" s="404"/>
      <c r="BP83" s="404"/>
      <c r="BQ83" s="404"/>
      <c r="BR83" s="404"/>
      <c r="BS83" s="404"/>
      <c r="BT83" s="404"/>
      <c r="BU83" s="404"/>
      <c r="BV83" s="404"/>
      <c r="BW83" s="404"/>
      <c r="BX83" s="404"/>
      <c r="BY83" s="404"/>
      <c r="BZ83" s="404"/>
      <c r="CA83" s="404"/>
      <c r="CB83" s="404"/>
      <c r="CC83" s="404"/>
      <c r="CD83" s="404"/>
      <c r="CE83" s="404"/>
      <c r="CF83" s="404"/>
      <c r="CG83" s="404"/>
      <c r="CH83" s="404"/>
      <c r="CI83" s="404"/>
      <c r="CJ83" s="404"/>
      <c r="CK83" s="404"/>
      <c r="CL83" s="404"/>
      <c r="CM83" s="404"/>
      <c r="CN83" s="404"/>
      <c r="CO83" s="404"/>
      <c r="CP83" s="404"/>
      <c r="CQ83" s="404"/>
      <c r="CR83" s="404"/>
      <c r="CS83" s="404"/>
      <c r="CT83" s="404"/>
      <c r="CU83" s="404"/>
      <c r="CV83" s="404"/>
      <c r="CW83" s="404"/>
      <c r="CX83" s="404"/>
      <c r="CY83" s="404"/>
      <c r="CZ83" s="404"/>
      <c r="DA83" s="404"/>
      <c r="DB83" s="404"/>
      <c r="DC83" s="407"/>
    </row>
    <row r="84" customFormat="false" ht="24.45" hidden="false" customHeight="false" outlineLevel="0" collapsed="false">
      <c r="A84" s="450"/>
      <c r="B84" s="399" t="s">
        <v>608</v>
      </c>
      <c r="C84" s="382" t="n">
        <v>2.5</v>
      </c>
      <c r="D84" s="445"/>
      <c r="E84" s="407"/>
      <c r="F84" s="406"/>
      <c r="G84" s="404"/>
      <c r="H84" s="404"/>
      <c r="I84" s="407"/>
      <c r="J84" s="403"/>
      <c r="K84" s="404"/>
      <c r="L84" s="404"/>
      <c r="M84" s="404"/>
      <c r="N84" s="405"/>
      <c r="O84" s="406"/>
      <c r="P84" s="404"/>
      <c r="Q84" s="404"/>
      <c r="R84" s="407"/>
      <c r="S84" s="408"/>
      <c r="T84" s="423"/>
      <c r="U84" s="447"/>
      <c r="V84" s="454"/>
      <c r="W84" s="449"/>
      <c r="X84" s="447"/>
      <c r="Y84" s="447"/>
      <c r="Z84" s="455"/>
      <c r="AA84" s="403"/>
      <c r="AB84" s="404"/>
      <c r="AC84" s="404"/>
      <c r="AD84" s="404"/>
      <c r="AE84" s="405"/>
      <c r="AF84" s="458"/>
      <c r="AG84" s="404"/>
      <c r="AH84" s="404"/>
      <c r="AI84" s="407"/>
      <c r="AJ84" s="403"/>
      <c r="AK84" s="404"/>
      <c r="AL84" s="404"/>
      <c r="AM84" s="404"/>
      <c r="AN84" s="405"/>
      <c r="AO84" s="406"/>
      <c r="AP84" s="404"/>
      <c r="AQ84" s="404"/>
      <c r="AR84" s="407"/>
      <c r="AS84" s="403"/>
      <c r="AT84" s="404"/>
      <c r="AU84" s="404"/>
      <c r="AV84" s="405"/>
      <c r="AW84" s="406"/>
      <c r="AX84" s="404"/>
      <c r="AY84" s="404"/>
      <c r="AZ84" s="404"/>
      <c r="BA84" s="407"/>
      <c r="BB84" s="403"/>
      <c r="BC84" s="404"/>
      <c r="BD84" s="404"/>
      <c r="BE84" s="405"/>
      <c r="BF84" s="406"/>
      <c r="BG84" s="404"/>
      <c r="BH84" s="404"/>
      <c r="BI84" s="404"/>
      <c r="BJ84" s="404"/>
      <c r="BK84" s="404"/>
      <c r="BL84" s="404"/>
      <c r="BM84" s="404"/>
      <c r="BN84" s="404"/>
      <c r="BO84" s="404"/>
      <c r="BP84" s="404"/>
      <c r="BQ84" s="404"/>
      <c r="BR84" s="404"/>
      <c r="BS84" s="404"/>
      <c r="BT84" s="404"/>
      <c r="BU84" s="404"/>
      <c r="BV84" s="404"/>
      <c r="BW84" s="404"/>
      <c r="BX84" s="404"/>
      <c r="BY84" s="404"/>
      <c r="BZ84" s="404"/>
      <c r="CA84" s="404"/>
      <c r="CB84" s="404"/>
      <c r="CC84" s="404"/>
      <c r="CD84" s="404"/>
      <c r="CE84" s="404"/>
      <c r="CF84" s="404"/>
      <c r="CG84" s="404"/>
      <c r="CH84" s="404"/>
      <c r="CI84" s="404"/>
      <c r="CJ84" s="404"/>
      <c r="CK84" s="404"/>
      <c r="CL84" s="404"/>
      <c r="CM84" s="404"/>
      <c r="CN84" s="404"/>
      <c r="CO84" s="404"/>
      <c r="CP84" s="404"/>
      <c r="CQ84" s="404"/>
      <c r="CR84" s="404"/>
      <c r="CS84" s="404"/>
      <c r="CT84" s="404"/>
      <c r="CU84" s="404"/>
      <c r="CV84" s="404"/>
      <c r="CW84" s="404"/>
      <c r="CX84" s="404"/>
      <c r="CY84" s="404"/>
      <c r="CZ84" s="404"/>
      <c r="DA84" s="404"/>
      <c r="DB84" s="404"/>
      <c r="DC84" s="407"/>
    </row>
    <row r="85" customFormat="false" ht="24.45" hidden="false" customHeight="false" outlineLevel="0" collapsed="false">
      <c r="A85" s="450"/>
      <c r="B85" s="399" t="s">
        <v>608</v>
      </c>
      <c r="C85" s="382" t="n">
        <v>2.5</v>
      </c>
      <c r="D85" s="445"/>
      <c r="E85" s="407"/>
      <c r="F85" s="406"/>
      <c r="G85" s="404"/>
      <c r="H85" s="404"/>
      <c r="I85" s="407"/>
      <c r="J85" s="403"/>
      <c r="K85" s="404"/>
      <c r="L85" s="404"/>
      <c r="M85" s="404"/>
      <c r="N85" s="405"/>
      <c r="O85" s="406"/>
      <c r="P85" s="404"/>
      <c r="Q85" s="404"/>
      <c r="R85" s="407"/>
      <c r="S85" s="408"/>
      <c r="T85" s="423"/>
      <c r="U85" s="447"/>
      <c r="V85" s="454"/>
      <c r="W85" s="449"/>
      <c r="X85" s="447"/>
      <c r="Y85" s="447"/>
      <c r="Z85" s="455"/>
      <c r="AA85" s="403"/>
      <c r="AB85" s="404"/>
      <c r="AC85" s="404"/>
      <c r="AD85" s="404"/>
      <c r="AE85" s="405"/>
      <c r="AF85" s="458"/>
      <c r="AG85" s="404"/>
      <c r="AH85" s="404"/>
      <c r="AI85" s="407"/>
      <c r="AJ85" s="403"/>
      <c r="AK85" s="404"/>
      <c r="AL85" s="404"/>
      <c r="AM85" s="404"/>
      <c r="AN85" s="405"/>
      <c r="AO85" s="406"/>
      <c r="AP85" s="404"/>
      <c r="AQ85" s="404"/>
      <c r="AR85" s="407"/>
      <c r="AS85" s="403"/>
      <c r="AT85" s="404"/>
      <c r="AU85" s="404"/>
      <c r="AV85" s="405"/>
      <c r="AW85" s="406"/>
      <c r="AX85" s="404"/>
      <c r="AY85" s="404"/>
      <c r="AZ85" s="404"/>
      <c r="BA85" s="407"/>
      <c r="BB85" s="403"/>
      <c r="BC85" s="404"/>
      <c r="BD85" s="404"/>
      <c r="BE85" s="405"/>
      <c r="BF85" s="406"/>
      <c r="BG85" s="404"/>
      <c r="BH85" s="404"/>
      <c r="BI85" s="404"/>
      <c r="BJ85" s="404"/>
      <c r="BK85" s="404"/>
      <c r="BL85" s="404"/>
      <c r="BM85" s="404"/>
      <c r="BN85" s="404"/>
      <c r="BO85" s="404"/>
      <c r="BP85" s="404"/>
      <c r="BQ85" s="404"/>
      <c r="BR85" s="404"/>
      <c r="BS85" s="404"/>
      <c r="BT85" s="404"/>
      <c r="BU85" s="404"/>
      <c r="BV85" s="404"/>
      <c r="BW85" s="404"/>
      <c r="BX85" s="404"/>
      <c r="BY85" s="404"/>
      <c r="BZ85" s="404"/>
      <c r="CA85" s="404"/>
      <c r="CB85" s="404"/>
      <c r="CC85" s="404"/>
      <c r="CD85" s="404"/>
      <c r="CE85" s="404"/>
      <c r="CF85" s="404"/>
      <c r="CG85" s="404"/>
      <c r="CH85" s="404"/>
      <c r="CI85" s="404"/>
      <c r="CJ85" s="404"/>
      <c r="CK85" s="404"/>
      <c r="CL85" s="404"/>
      <c r="CM85" s="404"/>
      <c r="CN85" s="404"/>
      <c r="CO85" s="404"/>
      <c r="CP85" s="404"/>
      <c r="CQ85" s="404"/>
      <c r="CR85" s="404"/>
      <c r="CS85" s="404"/>
      <c r="CT85" s="404"/>
      <c r="CU85" s="404"/>
      <c r="CV85" s="404"/>
      <c r="CW85" s="404"/>
      <c r="CX85" s="404"/>
      <c r="CY85" s="404"/>
      <c r="CZ85" s="404"/>
      <c r="DA85" s="404"/>
      <c r="DB85" s="404"/>
      <c r="DC85" s="407"/>
    </row>
    <row r="86" customFormat="false" ht="24.45" hidden="false" customHeight="false" outlineLevel="0" collapsed="false">
      <c r="A86" s="450"/>
      <c r="B86" s="399" t="s">
        <v>608</v>
      </c>
      <c r="C86" s="382" t="n">
        <v>2.5</v>
      </c>
      <c r="D86" s="445"/>
      <c r="E86" s="407"/>
      <c r="F86" s="406"/>
      <c r="G86" s="404"/>
      <c r="H86" s="404"/>
      <c r="I86" s="407"/>
      <c r="J86" s="403"/>
      <c r="K86" s="404"/>
      <c r="L86" s="404"/>
      <c r="M86" s="404"/>
      <c r="N86" s="405"/>
      <c r="O86" s="406"/>
      <c r="P86" s="404"/>
      <c r="Q86" s="404"/>
      <c r="R86" s="407"/>
      <c r="S86" s="408"/>
      <c r="T86" s="423"/>
      <c r="U86" s="447"/>
      <c r="V86" s="454"/>
      <c r="W86" s="449"/>
      <c r="X86" s="447"/>
      <c r="Y86" s="447"/>
      <c r="Z86" s="455"/>
      <c r="AA86" s="403"/>
      <c r="AB86" s="404"/>
      <c r="AC86" s="404"/>
      <c r="AD86" s="404"/>
      <c r="AE86" s="405"/>
      <c r="AF86" s="458"/>
      <c r="AG86" s="404"/>
      <c r="AH86" s="404"/>
      <c r="AI86" s="407"/>
      <c r="AJ86" s="403"/>
      <c r="AK86" s="404"/>
      <c r="AL86" s="404"/>
      <c r="AM86" s="404"/>
      <c r="AN86" s="405"/>
      <c r="AO86" s="406"/>
      <c r="AP86" s="404"/>
      <c r="AQ86" s="404"/>
      <c r="AR86" s="407"/>
      <c r="AS86" s="403"/>
      <c r="AT86" s="404"/>
      <c r="AU86" s="404"/>
      <c r="AV86" s="405"/>
      <c r="AW86" s="406"/>
      <c r="AX86" s="404"/>
      <c r="AY86" s="404"/>
      <c r="AZ86" s="404"/>
      <c r="BA86" s="407"/>
      <c r="BB86" s="403"/>
      <c r="BC86" s="404"/>
      <c r="BD86" s="404"/>
      <c r="BE86" s="405"/>
      <c r="BF86" s="406"/>
      <c r="BG86" s="404"/>
      <c r="BH86" s="404"/>
      <c r="BI86" s="404"/>
      <c r="BJ86" s="404"/>
      <c r="BK86" s="404"/>
      <c r="BL86" s="404"/>
      <c r="BM86" s="404"/>
      <c r="BN86" s="404"/>
      <c r="BO86" s="404"/>
      <c r="BP86" s="404"/>
      <c r="BQ86" s="404"/>
      <c r="BR86" s="404"/>
      <c r="BS86" s="404"/>
      <c r="BT86" s="404"/>
      <c r="BU86" s="404"/>
      <c r="BV86" s="404"/>
      <c r="BW86" s="404"/>
      <c r="BX86" s="404"/>
      <c r="BY86" s="404"/>
      <c r="BZ86" s="404"/>
      <c r="CA86" s="404"/>
      <c r="CB86" s="404"/>
      <c r="CC86" s="404"/>
      <c r="CD86" s="404"/>
      <c r="CE86" s="404"/>
      <c r="CF86" s="404"/>
      <c r="CG86" s="404"/>
      <c r="CH86" s="404"/>
      <c r="CI86" s="404"/>
      <c r="CJ86" s="404"/>
      <c r="CK86" s="404"/>
      <c r="CL86" s="404"/>
      <c r="CM86" s="404"/>
      <c r="CN86" s="404"/>
      <c r="CO86" s="404"/>
      <c r="CP86" s="404"/>
      <c r="CQ86" s="404"/>
      <c r="CR86" s="404"/>
      <c r="CS86" s="404"/>
      <c r="CT86" s="404"/>
      <c r="CU86" s="404"/>
      <c r="CV86" s="404"/>
      <c r="CW86" s="404"/>
      <c r="CX86" s="404"/>
      <c r="CY86" s="404"/>
      <c r="CZ86" s="404"/>
      <c r="DA86" s="404"/>
      <c r="DB86" s="404"/>
      <c r="DC86" s="407"/>
    </row>
    <row r="87" customFormat="false" ht="24.45" hidden="false" customHeight="false" outlineLevel="0" collapsed="false">
      <c r="A87" s="450"/>
      <c r="B87" s="399" t="s">
        <v>608</v>
      </c>
      <c r="C87" s="382" t="n">
        <v>2.5</v>
      </c>
      <c r="D87" s="445"/>
      <c r="E87" s="407"/>
      <c r="F87" s="406"/>
      <c r="G87" s="404"/>
      <c r="H87" s="404"/>
      <c r="I87" s="407"/>
      <c r="J87" s="403"/>
      <c r="K87" s="404"/>
      <c r="L87" s="404"/>
      <c r="M87" s="404"/>
      <c r="N87" s="405"/>
      <c r="O87" s="406"/>
      <c r="P87" s="404"/>
      <c r="Q87" s="404"/>
      <c r="R87" s="407"/>
      <c r="S87" s="408"/>
      <c r="T87" s="423"/>
      <c r="U87" s="447"/>
      <c r="V87" s="454"/>
      <c r="W87" s="449"/>
      <c r="X87" s="447"/>
      <c r="Y87" s="447"/>
      <c r="Z87" s="455"/>
      <c r="AA87" s="403"/>
      <c r="AB87" s="404"/>
      <c r="AC87" s="404"/>
      <c r="AD87" s="404"/>
      <c r="AE87" s="405"/>
      <c r="AF87" s="458"/>
      <c r="AG87" s="404"/>
      <c r="AH87" s="404"/>
      <c r="AI87" s="407"/>
      <c r="AJ87" s="403"/>
      <c r="AK87" s="404"/>
      <c r="AL87" s="404"/>
      <c r="AM87" s="404"/>
      <c r="AN87" s="405"/>
      <c r="AO87" s="406"/>
      <c r="AP87" s="404"/>
      <c r="AQ87" s="404"/>
      <c r="AR87" s="407"/>
      <c r="AS87" s="403"/>
      <c r="AT87" s="404"/>
      <c r="AU87" s="404"/>
      <c r="AV87" s="405"/>
      <c r="AW87" s="406"/>
      <c r="AX87" s="404"/>
      <c r="AY87" s="404"/>
      <c r="AZ87" s="404"/>
      <c r="BA87" s="407"/>
      <c r="BB87" s="403"/>
      <c r="BC87" s="404"/>
      <c r="BD87" s="404"/>
      <c r="BE87" s="405"/>
      <c r="BF87" s="406"/>
      <c r="BG87" s="404"/>
      <c r="BH87" s="404"/>
      <c r="BI87" s="404"/>
      <c r="BJ87" s="404"/>
      <c r="BK87" s="404"/>
      <c r="BL87" s="404"/>
      <c r="BM87" s="404"/>
      <c r="BN87" s="404"/>
      <c r="BO87" s="404"/>
      <c r="BP87" s="404"/>
      <c r="BQ87" s="404"/>
      <c r="BR87" s="404"/>
      <c r="BS87" s="404"/>
      <c r="BT87" s="404"/>
      <c r="BU87" s="404"/>
      <c r="BV87" s="404"/>
      <c r="BW87" s="404"/>
      <c r="BX87" s="404"/>
      <c r="BY87" s="404"/>
      <c r="BZ87" s="404"/>
      <c r="CA87" s="404"/>
      <c r="CB87" s="404"/>
      <c r="CC87" s="404"/>
      <c r="CD87" s="404"/>
      <c r="CE87" s="404"/>
      <c r="CF87" s="404"/>
      <c r="CG87" s="404"/>
      <c r="CH87" s="404"/>
      <c r="CI87" s="404"/>
      <c r="CJ87" s="404"/>
      <c r="CK87" s="404"/>
      <c r="CL87" s="404"/>
      <c r="CM87" s="404"/>
      <c r="CN87" s="404"/>
      <c r="CO87" s="404"/>
      <c r="CP87" s="404"/>
      <c r="CQ87" s="404"/>
      <c r="CR87" s="404"/>
      <c r="CS87" s="404"/>
      <c r="CT87" s="404"/>
      <c r="CU87" s="404"/>
      <c r="CV87" s="404"/>
      <c r="CW87" s="404"/>
      <c r="CX87" s="404"/>
      <c r="CY87" s="404"/>
      <c r="CZ87" s="404"/>
      <c r="DA87" s="404"/>
      <c r="DB87" s="404"/>
      <c r="DC87" s="407"/>
    </row>
    <row r="88" customFormat="false" ht="24.45" hidden="false" customHeight="false" outlineLevel="0" collapsed="false">
      <c r="A88" s="450"/>
      <c r="B88" s="399" t="s">
        <v>608</v>
      </c>
      <c r="C88" s="382" t="n">
        <v>2.5</v>
      </c>
      <c r="D88" s="445"/>
      <c r="E88" s="407"/>
      <c r="F88" s="406"/>
      <c r="G88" s="404"/>
      <c r="H88" s="404"/>
      <c r="I88" s="407"/>
      <c r="J88" s="403"/>
      <c r="K88" s="404"/>
      <c r="L88" s="404"/>
      <c r="M88" s="404"/>
      <c r="N88" s="405"/>
      <c r="O88" s="406"/>
      <c r="P88" s="404"/>
      <c r="Q88" s="404"/>
      <c r="R88" s="407"/>
      <c r="S88" s="408"/>
      <c r="T88" s="423"/>
      <c r="U88" s="447"/>
      <c r="V88" s="454"/>
      <c r="W88" s="449"/>
      <c r="X88" s="447"/>
      <c r="Y88" s="447"/>
      <c r="Z88" s="455"/>
      <c r="AA88" s="403"/>
      <c r="AB88" s="404"/>
      <c r="AC88" s="404"/>
      <c r="AD88" s="404"/>
      <c r="AE88" s="405"/>
      <c r="AF88" s="458"/>
      <c r="AG88" s="404"/>
      <c r="AH88" s="404"/>
      <c r="AI88" s="407"/>
      <c r="AJ88" s="403"/>
      <c r="AK88" s="404"/>
      <c r="AL88" s="404"/>
      <c r="AM88" s="404"/>
      <c r="AN88" s="405"/>
      <c r="AO88" s="406"/>
      <c r="AP88" s="404"/>
      <c r="AQ88" s="404"/>
      <c r="AR88" s="407"/>
      <c r="AS88" s="403"/>
      <c r="AT88" s="404"/>
      <c r="AU88" s="404"/>
      <c r="AV88" s="405"/>
      <c r="AW88" s="406"/>
      <c r="AX88" s="404"/>
      <c r="AY88" s="404"/>
      <c r="AZ88" s="404"/>
      <c r="BA88" s="407"/>
      <c r="BB88" s="403"/>
      <c r="BC88" s="404"/>
      <c r="BD88" s="404"/>
      <c r="BE88" s="405"/>
      <c r="BF88" s="406"/>
      <c r="BG88" s="404"/>
      <c r="BH88" s="404"/>
      <c r="BI88" s="404"/>
      <c r="BJ88" s="404"/>
      <c r="BK88" s="404"/>
      <c r="BL88" s="404"/>
      <c r="BM88" s="404"/>
      <c r="BN88" s="404"/>
      <c r="BO88" s="404"/>
      <c r="BP88" s="404"/>
      <c r="BQ88" s="404"/>
      <c r="BR88" s="404"/>
      <c r="BS88" s="404"/>
      <c r="BT88" s="404"/>
      <c r="BU88" s="404"/>
      <c r="BV88" s="404"/>
      <c r="BW88" s="404"/>
      <c r="BX88" s="404"/>
      <c r="BY88" s="404"/>
      <c r="BZ88" s="404"/>
      <c r="CA88" s="404"/>
      <c r="CB88" s="404"/>
      <c r="CC88" s="404"/>
      <c r="CD88" s="404"/>
      <c r="CE88" s="404"/>
      <c r="CF88" s="404"/>
      <c r="CG88" s="404"/>
      <c r="CH88" s="404"/>
      <c r="CI88" s="404"/>
      <c r="CJ88" s="404"/>
      <c r="CK88" s="404"/>
      <c r="CL88" s="404"/>
      <c r="CM88" s="404"/>
      <c r="CN88" s="404"/>
      <c r="CO88" s="404"/>
      <c r="CP88" s="404"/>
      <c r="CQ88" s="404"/>
      <c r="CR88" s="404"/>
      <c r="CS88" s="404"/>
      <c r="CT88" s="404"/>
      <c r="CU88" s="404"/>
      <c r="CV88" s="404"/>
      <c r="CW88" s="404"/>
      <c r="CX88" s="404"/>
      <c r="CY88" s="404"/>
      <c r="CZ88" s="404"/>
      <c r="DA88" s="404"/>
      <c r="DB88" s="404"/>
      <c r="DC88" s="407"/>
    </row>
    <row r="89" customFormat="false" ht="24.45" hidden="false" customHeight="false" outlineLevel="0" collapsed="false">
      <c r="A89" s="450"/>
      <c r="B89" s="399" t="s">
        <v>608</v>
      </c>
      <c r="C89" s="382" t="n">
        <v>2.5</v>
      </c>
      <c r="D89" s="445"/>
      <c r="E89" s="407"/>
      <c r="F89" s="406"/>
      <c r="G89" s="404"/>
      <c r="H89" s="404"/>
      <c r="I89" s="407"/>
      <c r="J89" s="403"/>
      <c r="K89" s="404"/>
      <c r="L89" s="404"/>
      <c r="M89" s="404"/>
      <c r="N89" s="405"/>
      <c r="O89" s="406"/>
      <c r="P89" s="404"/>
      <c r="Q89" s="404"/>
      <c r="R89" s="407"/>
      <c r="S89" s="408"/>
      <c r="T89" s="423"/>
      <c r="U89" s="447"/>
      <c r="V89" s="454"/>
      <c r="W89" s="449"/>
      <c r="X89" s="447"/>
      <c r="Y89" s="447"/>
      <c r="Z89" s="455"/>
      <c r="AA89" s="403"/>
      <c r="AB89" s="404"/>
      <c r="AC89" s="404"/>
      <c r="AD89" s="404"/>
      <c r="AE89" s="405"/>
      <c r="AF89" s="458"/>
      <c r="AG89" s="404"/>
      <c r="AH89" s="404"/>
      <c r="AI89" s="407"/>
      <c r="AJ89" s="403"/>
      <c r="AK89" s="404"/>
      <c r="AL89" s="404"/>
      <c r="AM89" s="404"/>
      <c r="AN89" s="405"/>
      <c r="AO89" s="406"/>
      <c r="AP89" s="404"/>
      <c r="AQ89" s="404"/>
      <c r="AR89" s="407"/>
      <c r="AS89" s="403"/>
      <c r="AT89" s="404"/>
      <c r="AU89" s="404"/>
      <c r="AV89" s="405"/>
      <c r="AW89" s="406"/>
      <c r="AX89" s="404"/>
      <c r="AY89" s="404"/>
      <c r="AZ89" s="404"/>
      <c r="BA89" s="407"/>
      <c r="BB89" s="403"/>
      <c r="BC89" s="404"/>
      <c r="BD89" s="404"/>
      <c r="BE89" s="405"/>
      <c r="BF89" s="406"/>
      <c r="BG89" s="404"/>
      <c r="BH89" s="404"/>
      <c r="BI89" s="404"/>
      <c r="BJ89" s="404"/>
      <c r="BK89" s="404"/>
      <c r="BL89" s="404"/>
      <c r="BM89" s="404"/>
      <c r="BN89" s="404"/>
      <c r="BO89" s="404"/>
      <c r="BP89" s="404"/>
      <c r="BQ89" s="404"/>
      <c r="BR89" s="404"/>
      <c r="BS89" s="404"/>
      <c r="BT89" s="404"/>
      <c r="BU89" s="404"/>
      <c r="BV89" s="404"/>
      <c r="BW89" s="404"/>
      <c r="BX89" s="404"/>
      <c r="BY89" s="404"/>
      <c r="BZ89" s="404"/>
      <c r="CA89" s="404"/>
      <c r="CB89" s="404"/>
      <c r="CC89" s="404"/>
      <c r="CD89" s="404"/>
      <c r="CE89" s="404"/>
      <c r="CF89" s="404"/>
      <c r="CG89" s="404"/>
      <c r="CH89" s="404"/>
      <c r="CI89" s="404"/>
      <c r="CJ89" s="404"/>
      <c r="CK89" s="404"/>
      <c r="CL89" s="404"/>
      <c r="CM89" s="404"/>
      <c r="CN89" s="404"/>
      <c r="CO89" s="404"/>
      <c r="CP89" s="404"/>
      <c r="CQ89" s="404"/>
      <c r="CR89" s="404"/>
      <c r="CS89" s="404"/>
      <c r="CT89" s="404"/>
      <c r="CU89" s="404"/>
      <c r="CV89" s="404"/>
      <c r="CW89" s="404"/>
      <c r="CX89" s="404"/>
      <c r="CY89" s="404"/>
      <c r="CZ89" s="404"/>
      <c r="DA89" s="404"/>
      <c r="DB89" s="404"/>
      <c r="DC89" s="407"/>
    </row>
    <row r="90" customFormat="false" ht="24.45" hidden="false" customHeight="false" outlineLevel="0" collapsed="false">
      <c r="A90" s="450"/>
      <c r="B90" s="399" t="s">
        <v>608</v>
      </c>
      <c r="C90" s="382" t="n">
        <v>2.5</v>
      </c>
      <c r="D90" s="445"/>
      <c r="E90" s="407"/>
      <c r="F90" s="406"/>
      <c r="G90" s="404"/>
      <c r="H90" s="404"/>
      <c r="I90" s="407"/>
      <c r="J90" s="403"/>
      <c r="K90" s="404"/>
      <c r="L90" s="404"/>
      <c r="M90" s="404"/>
      <c r="N90" s="405"/>
      <c r="O90" s="406"/>
      <c r="P90" s="404"/>
      <c r="Q90" s="404"/>
      <c r="R90" s="407"/>
      <c r="S90" s="408"/>
      <c r="T90" s="423"/>
      <c r="U90" s="447"/>
      <c r="V90" s="454"/>
      <c r="W90" s="449"/>
      <c r="X90" s="447"/>
      <c r="Y90" s="447"/>
      <c r="Z90" s="455"/>
      <c r="AA90" s="403"/>
      <c r="AB90" s="404"/>
      <c r="AC90" s="404"/>
      <c r="AD90" s="404"/>
      <c r="AE90" s="405"/>
      <c r="AF90" s="458"/>
      <c r="AG90" s="404"/>
      <c r="AH90" s="404"/>
      <c r="AI90" s="407"/>
      <c r="AJ90" s="403"/>
      <c r="AK90" s="404"/>
      <c r="AL90" s="404"/>
      <c r="AM90" s="404"/>
      <c r="AN90" s="405"/>
      <c r="AO90" s="406"/>
      <c r="AP90" s="404"/>
      <c r="AQ90" s="404"/>
      <c r="AR90" s="407"/>
      <c r="AS90" s="403"/>
      <c r="AT90" s="404"/>
      <c r="AU90" s="404"/>
      <c r="AV90" s="405"/>
      <c r="AW90" s="406"/>
      <c r="AX90" s="404"/>
      <c r="AY90" s="404"/>
      <c r="AZ90" s="404"/>
      <c r="BA90" s="407"/>
      <c r="BB90" s="403"/>
      <c r="BC90" s="404"/>
      <c r="BD90" s="404"/>
      <c r="BE90" s="405"/>
      <c r="BF90" s="406"/>
      <c r="BG90" s="404"/>
      <c r="BH90" s="404"/>
      <c r="BI90" s="404"/>
      <c r="BJ90" s="404"/>
      <c r="BK90" s="404"/>
      <c r="BL90" s="404"/>
      <c r="BM90" s="404"/>
      <c r="BN90" s="404"/>
      <c r="BO90" s="404"/>
      <c r="BP90" s="404"/>
      <c r="BQ90" s="404"/>
      <c r="BR90" s="404"/>
      <c r="BS90" s="404"/>
      <c r="BT90" s="404"/>
      <c r="BU90" s="404"/>
      <c r="BV90" s="404"/>
      <c r="BW90" s="404"/>
      <c r="BX90" s="404"/>
      <c r="BY90" s="404"/>
      <c r="BZ90" s="404"/>
      <c r="CA90" s="404"/>
      <c r="CB90" s="404"/>
      <c r="CC90" s="404"/>
      <c r="CD90" s="404"/>
      <c r="CE90" s="404"/>
      <c r="CF90" s="404"/>
      <c r="CG90" s="404"/>
      <c r="CH90" s="404"/>
      <c r="CI90" s="404"/>
      <c r="CJ90" s="404"/>
      <c r="CK90" s="404"/>
      <c r="CL90" s="404"/>
      <c r="CM90" s="404"/>
      <c r="CN90" s="404"/>
      <c r="CO90" s="404"/>
      <c r="CP90" s="404"/>
      <c r="CQ90" s="404"/>
      <c r="CR90" s="404"/>
      <c r="CS90" s="404"/>
      <c r="CT90" s="404"/>
      <c r="CU90" s="404"/>
      <c r="CV90" s="404"/>
      <c r="CW90" s="404"/>
      <c r="CX90" s="404"/>
      <c r="CY90" s="404"/>
      <c r="CZ90" s="404"/>
      <c r="DA90" s="404"/>
      <c r="DB90" s="404"/>
      <c r="DC90" s="407"/>
    </row>
    <row r="91" customFormat="false" ht="24.45" hidden="false" customHeight="false" outlineLevel="0" collapsed="false">
      <c r="A91" s="450"/>
      <c r="B91" s="399" t="s">
        <v>608</v>
      </c>
      <c r="C91" s="382" t="n">
        <v>2.5</v>
      </c>
      <c r="D91" s="445"/>
      <c r="E91" s="407"/>
      <c r="F91" s="406"/>
      <c r="G91" s="404"/>
      <c r="H91" s="404"/>
      <c r="I91" s="407"/>
      <c r="J91" s="403"/>
      <c r="K91" s="404"/>
      <c r="L91" s="404"/>
      <c r="M91" s="404"/>
      <c r="N91" s="405"/>
      <c r="O91" s="406"/>
      <c r="P91" s="404"/>
      <c r="Q91" s="404"/>
      <c r="R91" s="407"/>
      <c r="S91" s="408"/>
      <c r="T91" s="423"/>
      <c r="U91" s="447"/>
      <c r="V91" s="454"/>
      <c r="W91" s="449"/>
      <c r="X91" s="447"/>
      <c r="Y91" s="447"/>
      <c r="Z91" s="455"/>
      <c r="AA91" s="403"/>
      <c r="AB91" s="404"/>
      <c r="AC91" s="404"/>
      <c r="AD91" s="404"/>
      <c r="AE91" s="405"/>
      <c r="AF91" s="458"/>
      <c r="AG91" s="404"/>
      <c r="AH91" s="404"/>
      <c r="AI91" s="407"/>
      <c r="AJ91" s="403"/>
      <c r="AK91" s="404"/>
      <c r="AL91" s="404"/>
      <c r="AM91" s="404"/>
      <c r="AN91" s="405"/>
      <c r="AO91" s="406"/>
      <c r="AP91" s="404"/>
      <c r="AQ91" s="404"/>
      <c r="AR91" s="407"/>
      <c r="AS91" s="403"/>
      <c r="AT91" s="404"/>
      <c r="AU91" s="404"/>
      <c r="AV91" s="405"/>
      <c r="AW91" s="406"/>
      <c r="AX91" s="404"/>
      <c r="AY91" s="404"/>
      <c r="AZ91" s="404"/>
      <c r="BA91" s="407"/>
      <c r="BB91" s="403"/>
      <c r="BC91" s="404"/>
      <c r="BD91" s="404"/>
      <c r="BE91" s="405"/>
      <c r="BF91" s="406"/>
      <c r="BG91" s="404"/>
      <c r="BH91" s="404"/>
      <c r="BI91" s="404"/>
      <c r="BJ91" s="404"/>
      <c r="BK91" s="404"/>
      <c r="BL91" s="404"/>
      <c r="BM91" s="404"/>
      <c r="BN91" s="404"/>
      <c r="BO91" s="404"/>
      <c r="BP91" s="404"/>
      <c r="BQ91" s="404"/>
      <c r="BR91" s="404"/>
      <c r="BS91" s="404"/>
      <c r="BT91" s="404"/>
      <c r="BU91" s="404"/>
      <c r="BV91" s="404"/>
      <c r="BW91" s="404"/>
      <c r="BX91" s="404"/>
      <c r="BY91" s="404"/>
      <c r="BZ91" s="404"/>
      <c r="CA91" s="404"/>
      <c r="CB91" s="404"/>
      <c r="CC91" s="404"/>
      <c r="CD91" s="404"/>
      <c r="CE91" s="404"/>
      <c r="CF91" s="404"/>
      <c r="CG91" s="404"/>
      <c r="CH91" s="404"/>
      <c r="CI91" s="404"/>
      <c r="CJ91" s="404"/>
      <c r="CK91" s="404"/>
      <c r="CL91" s="404"/>
      <c r="CM91" s="404"/>
      <c r="CN91" s="404"/>
      <c r="CO91" s="404"/>
      <c r="CP91" s="404"/>
      <c r="CQ91" s="404"/>
      <c r="CR91" s="404"/>
      <c r="CS91" s="404"/>
      <c r="CT91" s="404"/>
      <c r="CU91" s="404"/>
      <c r="CV91" s="404"/>
      <c r="CW91" s="404"/>
      <c r="CX91" s="404"/>
      <c r="CY91" s="404"/>
      <c r="CZ91" s="404"/>
      <c r="DA91" s="404"/>
      <c r="DB91" s="404"/>
      <c r="DC91" s="407"/>
    </row>
    <row r="92" customFormat="false" ht="24.45" hidden="false" customHeight="false" outlineLevel="0" collapsed="false">
      <c r="A92" s="450"/>
      <c r="B92" s="399" t="s">
        <v>608</v>
      </c>
      <c r="C92" s="382" t="n">
        <v>2.5</v>
      </c>
      <c r="D92" s="445"/>
      <c r="E92" s="407"/>
      <c r="F92" s="406"/>
      <c r="G92" s="404"/>
      <c r="H92" s="404"/>
      <c r="I92" s="407"/>
      <c r="J92" s="403"/>
      <c r="K92" s="404"/>
      <c r="L92" s="404"/>
      <c r="M92" s="404"/>
      <c r="N92" s="405"/>
      <c r="O92" s="406"/>
      <c r="P92" s="404"/>
      <c r="Q92" s="404"/>
      <c r="R92" s="407"/>
      <c r="S92" s="408"/>
      <c r="T92" s="423"/>
      <c r="U92" s="447"/>
      <c r="V92" s="454"/>
      <c r="W92" s="449"/>
      <c r="X92" s="447"/>
      <c r="Y92" s="447"/>
      <c r="Z92" s="455"/>
      <c r="AA92" s="403"/>
      <c r="AB92" s="404"/>
      <c r="AC92" s="404"/>
      <c r="AD92" s="404"/>
      <c r="AE92" s="405"/>
      <c r="AF92" s="458"/>
      <c r="AG92" s="404"/>
      <c r="AH92" s="404"/>
      <c r="AI92" s="407"/>
      <c r="AJ92" s="403"/>
      <c r="AK92" s="404"/>
      <c r="AL92" s="404"/>
      <c r="AM92" s="404"/>
      <c r="AN92" s="405"/>
      <c r="AO92" s="406"/>
      <c r="AP92" s="404"/>
      <c r="AQ92" s="404"/>
      <c r="AR92" s="407"/>
      <c r="AS92" s="403"/>
      <c r="AT92" s="404"/>
      <c r="AU92" s="404"/>
      <c r="AV92" s="405"/>
      <c r="AW92" s="406"/>
      <c r="AX92" s="404"/>
      <c r="AY92" s="404"/>
      <c r="AZ92" s="404"/>
      <c r="BA92" s="407"/>
      <c r="BB92" s="403"/>
      <c r="BC92" s="404"/>
      <c r="BD92" s="404"/>
      <c r="BE92" s="405"/>
      <c r="BF92" s="406"/>
      <c r="BG92" s="404"/>
      <c r="BH92" s="404"/>
      <c r="BI92" s="404"/>
      <c r="BJ92" s="404"/>
      <c r="BK92" s="404"/>
      <c r="BL92" s="404"/>
      <c r="BM92" s="404"/>
      <c r="BN92" s="404"/>
      <c r="BO92" s="404"/>
      <c r="BP92" s="404"/>
      <c r="BQ92" s="404"/>
      <c r="BR92" s="404"/>
      <c r="BS92" s="404"/>
      <c r="BT92" s="404"/>
      <c r="BU92" s="404"/>
      <c r="BV92" s="404"/>
      <c r="BW92" s="404"/>
      <c r="BX92" s="404"/>
      <c r="BY92" s="404"/>
      <c r="BZ92" s="404"/>
      <c r="CA92" s="404"/>
      <c r="CB92" s="404"/>
      <c r="CC92" s="404"/>
      <c r="CD92" s="404"/>
      <c r="CE92" s="404"/>
      <c r="CF92" s="404"/>
      <c r="CG92" s="404"/>
      <c r="CH92" s="404"/>
      <c r="CI92" s="404"/>
      <c r="CJ92" s="404"/>
      <c r="CK92" s="404"/>
      <c r="CL92" s="404"/>
      <c r="CM92" s="404"/>
      <c r="CN92" s="404"/>
      <c r="CO92" s="404"/>
      <c r="CP92" s="404"/>
      <c r="CQ92" s="404"/>
      <c r="CR92" s="404"/>
      <c r="CS92" s="404"/>
      <c r="CT92" s="404"/>
      <c r="CU92" s="404"/>
      <c r="CV92" s="404"/>
      <c r="CW92" s="404"/>
      <c r="CX92" s="404"/>
      <c r="CY92" s="404"/>
      <c r="CZ92" s="404"/>
      <c r="DA92" s="404"/>
      <c r="DB92" s="404"/>
      <c r="DC92" s="407"/>
    </row>
    <row r="93" customFormat="false" ht="24.45" hidden="false" customHeight="false" outlineLevel="0" collapsed="false">
      <c r="A93" s="450"/>
      <c r="B93" s="399" t="s">
        <v>608</v>
      </c>
      <c r="C93" s="382" t="n">
        <v>2.5</v>
      </c>
      <c r="D93" s="445"/>
      <c r="E93" s="407"/>
      <c r="F93" s="406"/>
      <c r="G93" s="404"/>
      <c r="H93" s="404"/>
      <c r="I93" s="407"/>
      <c r="J93" s="403"/>
      <c r="K93" s="404"/>
      <c r="L93" s="404"/>
      <c r="M93" s="404"/>
      <c r="N93" s="405"/>
      <c r="O93" s="406"/>
      <c r="P93" s="404"/>
      <c r="Q93" s="404"/>
      <c r="R93" s="407"/>
      <c r="S93" s="408"/>
      <c r="T93" s="423"/>
      <c r="U93" s="447"/>
      <c r="V93" s="454"/>
      <c r="W93" s="449"/>
      <c r="X93" s="447"/>
      <c r="Y93" s="447"/>
      <c r="Z93" s="455"/>
      <c r="AA93" s="403"/>
      <c r="AB93" s="404"/>
      <c r="AC93" s="404"/>
      <c r="AD93" s="404"/>
      <c r="AE93" s="405"/>
      <c r="AF93" s="458"/>
      <c r="AG93" s="404"/>
      <c r="AH93" s="404"/>
      <c r="AI93" s="407"/>
      <c r="AJ93" s="403"/>
      <c r="AK93" s="404"/>
      <c r="AL93" s="404"/>
      <c r="AM93" s="404"/>
      <c r="AN93" s="405"/>
      <c r="AO93" s="406"/>
      <c r="AP93" s="404"/>
      <c r="AQ93" s="404"/>
      <c r="AR93" s="407"/>
      <c r="AS93" s="403"/>
      <c r="AT93" s="404"/>
      <c r="AU93" s="404"/>
      <c r="AV93" s="405"/>
      <c r="AW93" s="406"/>
      <c r="AX93" s="404"/>
      <c r="AY93" s="404"/>
      <c r="AZ93" s="404"/>
      <c r="BA93" s="407"/>
      <c r="BB93" s="403"/>
      <c r="BC93" s="404"/>
      <c r="BD93" s="404"/>
      <c r="BE93" s="405"/>
      <c r="BF93" s="406"/>
      <c r="BG93" s="404"/>
      <c r="BH93" s="404"/>
      <c r="BI93" s="404"/>
      <c r="BJ93" s="404"/>
      <c r="BK93" s="404"/>
      <c r="BL93" s="404"/>
      <c r="BM93" s="404"/>
      <c r="BN93" s="404"/>
      <c r="BO93" s="404"/>
      <c r="BP93" s="404"/>
      <c r="BQ93" s="404"/>
      <c r="BR93" s="404"/>
      <c r="BS93" s="404"/>
      <c r="BT93" s="404"/>
      <c r="BU93" s="404"/>
      <c r="BV93" s="404"/>
      <c r="BW93" s="404"/>
      <c r="BX93" s="404"/>
      <c r="BY93" s="404"/>
      <c r="BZ93" s="404"/>
      <c r="CA93" s="404"/>
      <c r="CB93" s="404"/>
      <c r="CC93" s="404"/>
      <c r="CD93" s="404"/>
      <c r="CE93" s="404"/>
      <c r="CF93" s="404"/>
      <c r="CG93" s="404"/>
      <c r="CH93" s="404"/>
      <c r="CI93" s="404"/>
      <c r="CJ93" s="404"/>
      <c r="CK93" s="404"/>
      <c r="CL93" s="404"/>
      <c r="CM93" s="404"/>
      <c r="CN93" s="404"/>
      <c r="CO93" s="404"/>
      <c r="CP93" s="404"/>
      <c r="CQ93" s="404"/>
      <c r="CR93" s="404"/>
      <c r="CS93" s="404"/>
      <c r="CT93" s="404"/>
      <c r="CU93" s="404"/>
      <c r="CV93" s="404"/>
      <c r="CW93" s="404"/>
      <c r="CX93" s="404"/>
      <c r="CY93" s="404"/>
      <c r="CZ93" s="404"/>
      <c r="DA93" s="404"/>
      <c r="DB93" s="404"/>
      <c r="DC93" s="407"/>
    </row>
    <row r="94" customFormat="false" ht="24.45" hidden="false" customHeight="false" outlineLevel="0" collapsed="false">
      <c r="A94" s="450"/>
      <c r="B94" s="399" t="s">
        <v>608</v>
      </c>
      <c r="C94" s="382" t="n">
        <v>2.5</v>
      </c>
      <c r="D94" s="445"/>
      <c r="E94" s="407"/>
      <c r="F94" s="406"/>
      <c r="G94" s="404"/>
      <c r="H94" s="404"/>
      <c r="I94" s="407"/>
      <c r="J94" s="403"/>
      <c r="K94" s="404"/>
      <c r="L94" s="404"/>
      <c r="M94" s="404"/>
      <c r="N94" s="405"/>
      <c r="O94" s="406"/>
      <c r="P94" s="404"/>
      <c r="Q94" s="404"/>
      <c r="R94" s="407"/>
      <c r="S94" s="408"/>
      <c r="T94" s="423"/>
      <c r="U94" s="447"/>
      <c r="V94" s="454"/>
      <c r="W94" s="449"/>
      <c r="X94" s="447"/>
      <c r="Y94" s="447"/>
      <c r="Z94" s="455"/>
      <c r="AA94" s="403"/>
      <c r="AB94" s="404"/>
      <c r="AC94" s="404"/>
      <c r="AD94" s="404"/>
      <c r="AE94" s="405"/>
      <c r="AF94" s="458"/>
      <c r="AG94" s="404"/>
      <c r="AH94" s="404"/>
      <c r="AI94" s="407"/>
      <c r="AJ94" s="403"/>
      <c r="AK94" s="404"/>
      <c r="AL94" s="404"/>
      <c r="AM94" s="404"/>
      <c r="AN94" s="405"/>
      <c r="AO94" s="406"/>
      <c r="AP94" s="404"/>
      <c r="AQ94" s="404"/>
      <c r="AR94" s="407"/>
      <c r="AS94" s="403"/>
      <c r="AT94" s="404"/>
      <c r="AU94" s="404"/>
      <c r="AV94" s="405"/>
      <c r="AW94" s="406"/>
      <c r="AX94" s="404"/>
      <c r="AY94" s="404"/>
      <c r="AZ94" s="404"/>
      <c r="BA94" s="407"/>
      <c r="BB94" s="403"/>
      <c r="BC94" s="404"/>
      <c r="BD94" s="404"/>
      <c r="BE94" s="405"/>
      <c r="BF94" s="406"/>
      <c r="BG94" s="404"/>
      <c r="BH94" s="404"/>
      <c r="BI94" s="404"/>
      <c r="BJ94" s="404"/>
      <c r="BK94" s="404"/>
      <c r="BL94" s="404"/>
      <c r="BM94" s="404"/>
      <c r="BN94" s="404"/>
      <c r="BO94" s="404"/>
      <c r="BP94" s="404"/>
      <c r="BQ94" s="404"/>
      <c r="BR94" s="404"/>
      <c r="BS94" s="404"/>
      <c r="BT94" s="404"/>
      <c r="BU94" s="404"/>
      <c r="BV94" s="404"/>
      <c r="BW94" s="404"/>
      <c r="BX94" s="404"/>
      <c r="BY94" s="404"/>
      <c r="BZ94" s="404"/>
      <c r="CA94" s="404"/>
      <c r="CB94" s="404"/>
      <c r="CC94" s="404"/>
      <c r="CD94" s="404"/>
      <c r="CE94" s="404"/>
      <c r="CF94" s="404"/>
      <c r="CG94" s="404"/>
      <c r="CH94" s="404"/>
      <c r="CI94" s="404"/>
      <c r="CJ94" s="404"/>
      <c r="CK94" s="404"/>
      <c r="CL94" s="404"/>
      <c r="CM94" s="404"/>
      <c r="CN94" s="404"/>
      <c r="CO94" s="404"/>
      <c r="CP94" s="404"/>
      <c r="CQ94" s="404"/>
      <c r="CR94" s="404"/>
      <c r="CS94" s="404"/>
      <c r="CT94" s="404"/>
      <c r="CU94" s="404"/>
      <c r="CV94" s="404"/>
      <c r="CW94" s="404"/>
      <c r="CX94" s="404"/>
      <c r="CY94" s="404"/>
      <c r="CZ94" s="404"/>
      <c r="DA94" s="404"/>
      <c r="DB94" s="404"/>
      <c r="DC94" s="407"/>
    </row>
    <row r="95" customFormat="false" ht="24.45" hidden="false" customHeight="false" outlineLevel="0" collapsed="false">
      <c r="A95" s="450"/>
      <c r="B95" s="399" t="s">
        <v>608</v>
      </c>
      <c r="C95" s="382" t="n">
        <v>2.5</v>
      </c>
      <c r="D95" s="445"/>
      <c r="E95" s="407"/>
      <c r="F95" s="406"/>
      <c r="G95" s="404"/>
      <c r="H95" s="404"/>
      <c r="I95" s="407"/>
      <c r="J95" s="403"/>
      <c r="K95" s="404"/>
      <c r="L95" s="404"/>
      <c r="M95" s="404"/>
      <c r="N95" s="405"/>
      <c r="O95" s="406"/>
      <c r="P95" s="404"/>
      <c r="Q95" s="404"/>
      <c r="R95" s="407"/>
      <c r="S95" s="408"/>
      <c r="T95" s="423"/>
      <c r="U95" s="447"/>
      <c r="V95" s="454"/>
      <c r="W95" s="449"/>
      <c r="X95" s="447"/>
      <c r="Y95" s="447"/>
      <c r="Z95" s="455"/>
      <c r="AA95" s="403"/>
      <c r="AB95" s="404"/>
      <c r="AC95" s="404"/>
      <c r="AD95" s="404"/>
      <c r="AE95" s="405"/>
      <c r="AF95" s="458"/>
      <c r="AG95" s="404"/>
      <c r="AH95" s="404"/>
      <c r="AI95" s="407"/>
      <c r="AJ95" s="403"/>
      <c r="AK95" s="404"/>
      <c r="AL95" s="404"/>
      <c r="AM95" s="404"/>
      <c r="AN95" s="405"/>
      <c r="AO95" s="406"/>
      <c r="AP95" s="404"/>
      <c r="AQ95" s="404"/>
      <c r="AR95" s="407"/>
      <c r="AS95" s="403"/>
      <c r="AT95" s="404"/>
      <c r="AU95" s="404"/>
      <c r="AV95" s="405"/>
      <c r="AW95" s="406"/>
      <c r="AX95" s="404"/>
      <c r="AY95" s="404"/>
      <c r="AZ95" s="404"/>
      <c r="BA95" s="407"/>
      <c r="BB95" s="403"/>
      <c r="BC95" s="404"/>
      <c r="BD95" s="404"/>
      <c r="BE95" s="405"/>
      <c r="BF95" s="406"/>
      <c r="BG95" s="404"/>
      <c r="BH95" s="404"/>
      <c r="BI95" s="404"/>
      <c r="BJ95" s="404"/>
      <c r="BK95" s="404"/>
      <c r="BL95" s="404"/>
      <c r="BM95" s="404"/>
      <c r="BN95" s="404"/>
      <c r="BO95" s="404"/>
      <c r="BP95" s="404"/>
      <c r="BQ95" s="404"/>
      <c r="BR95" s="404"/>
      <c r="BS95" s="404"/>
      <c r="BT95" s="404"/>
      <c r="BU95" s="404"/>
      <c r="BV95" s="404"/>
      <c r="BW95" s="404"/>
      <c r="BX95" s="404"/>
      <c r="BY95" s="404"/>
      <c r="BZ95" s="404"/>
      <c r="CA95" s="404"/>
      <c r="CB95" s="404"/>
      <c r="CC95" s="404"/>
      <c r="CD95" s="404"/>
      <c r="CE95" s="404"/>
      <c r="CF95" s="404"/>
      <c r="CG95" s="404"/>
      <c r="CH95" s="404"/>
      <c r="CI95" s="404"/>
      <c r="CJ95" s="404"/>
      <c r="CK95" s="404"/>
      <c r="CL95" s="404"/>
      <c r="CM95" s="404"/>
      <c r="CN95" s="404"/>
      <c r="CO95" s="404"/>
      <c r="CP95" s="404"/>
      <c r="CQ95" s="404"/>
      <c r="CR95" s="404"/>
      <c r="CS95" s="404"/>
      <c r="CT95" s="404"/>
      <c r="CU95" s="404"/>
      <c r="CV95" s="404"/>
      <c r="CW95" s="404"/>
      <c r="CX95" s="404"/>
      <c r="CY95" s="404"/>
      <c r="CZ95" s="404"/>
      <c r="DA95" s="404"/>
      <c r="DB95" s="404"/>
      <c r="DC95" s="407"/>
    </row>
    <row r="96" customFormat="false" ht="24.45" hidden="false" customHeight="false" outlineLevel="0" collapsed="false">
      <c r="A96" s="450"/>
      <c r="B96" s="399" t="s">
        <v>608</v>
      </c>
      <c r="C96" s="382" t="n">
        <v>2.5</v>
      </c>
      <c r="D96" s="445"/>
      <c r="E96" s="407"/>
      <c r="F96" s="406"/>
      <c r="G96" s="404"/>
      <c r="H96" s="404"/>
      <c r="I96" s="407"/>
      <c r="J96" s="403"/>
      <c r="K96" s="404"/>
      <c r="L96" s="404"/>
      <c r="M96" s="404"/>
      <c r="N96" s="405"/>
      <c r="O96" s="406"/>
      <c r="P96" s="404"/>
      <c r="Q96" s="404"/>
      <c r="R96" s="407"/>
      <c r="S96" s="408"/>
      <c r="T96" s="423"/>
      <c r="U96" s="447"/>
      <c r="V96" s="454"/>
      <c r="W96" s="449"/>
      <c r="X96" s="447"/>
      <c r="Y96" s="447"/>
      <c r="Z96" s="455"/>
      <c r="AA96" s="403"/>
      <c r="AB96" s="404"/>
      <c r="AC96" s="404"/>
      <c r="AD96" s="404"/>
      <c r="AE96" s="405"/>
      <c r="AF96" s="458"/>
      <c r="AG96" s="404"/>
      <c r="AH96" s="404"/>
      <c r="AI96" s="407"/>
      <c r="AJ96" s="403"/>
      <c r="AK96" s="404"/>
      <c r="AL96" s="404"/>
      <c r="AM96" s="404"/>
      <c r="AN96" s="405"/>
      <c r="AO96" s="406"/>
      <c r="AP96" s="404"/>
      <c r="AQ96" s="404"/>
      <c r="AR96" s="407"/>
      <c r="AS96" s="403"/>
      <c r="AT96" s="404"/>
      <c r="AU96" s="404"/>
      <c r="AV96" s="405"/>
      <c r="AW96" s="406"/>
      <c r="AX96" s="404"/>
      <c r="AY96" s="404"/>
      <c r="AZ96" s="404"/>
      <c r="BA96" s="407"/>
      <c r="BB96" s="403"/>
      <c r="BC96" s="404"/>
      <c r="BD96" s="404"/>
      <c r="BE96" s="405"/>
      <c r="BF96" s="406"/>
      <c r="BG96" s="404"/>
      <c r="BH96" s="404"/>
      <c r="BI96" s="404"/>
      <c r="BJ96" s="404"/>
      <c r="BK96" s="404"/>
      <c r="BL96" s="404"/>
      <c r="BM96" s="404"/>
      <c r="BN96" s="404"/>
      <c r="BO96" s="404"/>
      <c r="BP96" s="404"/>
      <c r="BQ96" s="404"/>
      <c r="BR96" s="404"/>
      <c r="BS96" s="404"/>
      <c r="BT96" s="404"/>
      <c r="BU96" s="404"/>
      <c r="BV96" s="404"/>
      <c r="BW96" s="404"/>
      <c r="BX96" s="404"/>
      <c r="BY96" s="404"/>
      <c r="BZ96" s="404"/>
      <c r="CA96" s="404"/>
      <c r="CB96" s="404"/>
      <c r="CC96" s="404"/>
      <c r="CD96" s="404"/>
      <c r="CE96" s="404"/>
      <c r="CF96" s="404"/>
      <c r="CG96" s="404"/>
      <c r="CH96" s="404"/>
      <c r="CI96" s="404"/>
      <c r="CJ96" s="404"/>
      <c r="CK96" s="404"/>
      <c r="CL96" s="404"/>
      <c r="CM96" s="404"/>
      <c r="CN96" s="404"/>
      <c r="CO96" s="404"/>
      <c r="CP96" s="404"/>
      <c r="CQ96" s="404"/>
      <c r="CR96" s="404"/>
      <c r="CS96" s="404"/>
      <c r="CT96" s="404"/>
      <c r="CU96" s="404"/>
      <c r="CV96" s="404"/>
      <c r="CW96" s="404"/>
      <c r="CX96" s="404"/>
      <c r="CY96" s="404"/>
      <c r="CZ96" s="404"/>
      <c r="DA96" s="404"/>
      <c r="DB96" s="404"/>
      <c r="DC96" s="407"/>
    </row>
    <row r="97" customFormat="false" ht="24.45" hidden="false" customHeight="false" outlineLevel="0" collapsed="false">
      <c r="A97" s="450"/>
      <c r="B97" s="399" t="s">
        <v>608</v>
      </c>
      <c r="C97" s="382" t="n">
        <v>2.5</v>
      </c>
      <c r="D97" s="445"/>
      <c r="E97" s="407"/>
      <c r="F97" s="406"/>
      <c r="G97" s="404"/>
      <c r="H97" s="404"/>
      <c r="I97" s="407"/>
      <c r="J97" s="403"/>
      <c r="K97" s="404"/>
      <c r="L97" s="404"/>
      <c r="M97" s="404"/>
      <c r="N97" s="405"/>
      <c r="O97" s="406"/>
      <c r="P97" s="404"/>
      <c r="Q97" s="404"/>
      <c r="R97" s="407"/>
      <c r="S97" s="408"/>
      <c r="T97" s="423"/>
      <c r="U97" s="447"/>
      <c r="V97" s="454"/>
      <c r="W97" s="449"/>
      <c r="X97" s="447"/>
      <c r="Y97" s="447"/>
      <c r="Z97" s="455"/>
      <c r="AA97" s="403"/>
      <c r="AB97" s="404"/>
      <c r="AC97" s="404"/>
      <c r="AD97" s="404"/>
      <c r="AE97" s="405"/>
      <c r="AF97" s="458"/>
      <c r="AG97" s="404"/>
      <c r="AH97" s="404"/>
      <c r="AI97" s="407"/>
      <c r="AJ97" s="403"/>
      <c r="AK97" s="404"/>
      <c r="AL97" s="404"/>
      <c r="AM97" s="404"/>
      <c r="AN97" s="405"/>
      <c r="AO97" s="406"/>
      <c r="AP97" s="404"/>
      <c r="AQ97" s="404"/>
      <c r="AR97" s="407"/>
      <c r="AS97" s="403"/>
      <c r="AT97" s="404"/>
      <c r="AU97" s="404"/>
      <c r="AV97" s="405"/>
      <c r="AW97" s="406"/>
      <c r="AX97" s="404"/>
      <c r="AY97" s="404"/>
      <c r="AZ97" s="404"/>
      <c r="BA97" s="407"/>
      <c r="BB97" s="403"/>
      <c r="BC97" s="404"/>
      <c r="BD97" s="404"/>
      <c r="BE97" s="405"/>
      <c r="BF97" s="406"/>
      <c r="BG97" s="404"/>
      <c r="BH97" s="404"/>
      <c r="BI97" s="404"/>
      <c r="BJ97" s="404"/>
      <c r="BK97" s="404"/>
      <c r="BL97" s="404"/>
      <c r="BM97" s="404"/>
      <c r="BN97" s="404"/>
      <c r="BO97" s="404"/>
      <c r="BP97" s="404"/>
      <c r="BQ97" s="404"/>
      <c r="BR97" s="404"/>
      <c r="BS97" s="404"/>
      <c r="BT97" s="404"/>
      <c r="BU97" s="404"/>
      <c r="BV97" s="404"/>
      <c r="BW97" s="404"/>
      <c r="BX97" s="404"/>
      <c r="BY97" s="404"/>
      <c r="BZ97" s="404"/>
      <c r="CA97" s="404"/>
      <c r="CB97" s="404"/>
      <c r="CC97" s="404"/>
      <c r="CD97" s="404"/>
      <c r="CE97" s="404"/>
      <c r="CF97" s="404"/>
      <c r="CG97" s="404"/>
      <c r="CH97" s="404"/>
      <c r="CI97" s="404"/>
      <c r="CJ97" s="404"/>
      <c r="CK97" s="404"/>
      <c r="CL97" s="404"/>
      <c r="CM97" s="404"/>
      <c r="CN97" s="404"/>
      <c r="CO97" s="404"/>
      <c r="CP97" s="404"/>
      <c r="CQ97" s="404"/>
      <c r="CR97" s="404"/>
      <c r="CS97" s="404"/>
      <c r="CT97" s="404"/>
      <c r="CU97" s="404"/>
      <c r="CV97" s="404"/>
      <c r="CW97" s="404"/>
      <c r="CX97" s="404"/>
      <c r="CY97" s="404"/>
      <c r="CZ97" s="404"/>
      <c r="DA97" s="404"/>
      <c r="DB97" s="404"/>
      <c r="DC97" s="407"/>
    </row>
    <row r="98" customFormat="false" ht="24.45" hidden="false" customHeight="false" outlineLevel="0" collapsed="false">
      <c r="A98" s="450"/>
      <c r="B98" s="399" t="s">
        <v>608</v>
      </c>
      <c r="C98" s="382" t="n">
        <v>2.5</v>
      </c>
      <c r="D98" s="445"/>
      <c r="E98" s="407"/>
      <c r="F98" s="406"/>
      <c r="G98" s="404"/>
      <c r="H98" s="404"/>
      <c r="I98" s="407"/>
      <c r="J98" s="403"/>
      <c r="K98" s="404"/>
      <c r="L98" s="404"/>
      <c r="M98" s="404"/>
      <c r="N98" s="405"/>
      <c r="O98" s="406"/>
      <c r="P98" s="404"/>
      <c r="Q98" s="404"/>
      <c r="R98" s="407"/>
      <c r="S98" s="408"/>
      <c r="T98" s="423"/>
      <c r="U98" s="447"/>
      <c r="V98" s="454"/>
      <c r="W98" s="449"/>
      <c r="X98" s="447"/>
      <c r="Y98" s="447"/>
      <c r="Z98" s="455"/>
      <c r="AA98" s="403"/>
      <c r="AB98" s="404"/>
      <c r="AC98" s="404"/>
      <c r="AD98" s="404"/>
      <c r="AE98" s="405"/>
      <c r="AF98" s="458"/>
      <c r="AG98" s="404"/>
      <c r="AH98" s="404"/>
      <c r="AI98" s="407"/>
      <c r="AJ98" s="403"/>
      <c r="AK98" s="404"/>
      <c r="AL98" s="404"/>
      <c r="AM98" s="404"/>
      <c r="AN98" s="405"/>
      <c r="AO98" s="406"/>
      <c r="AP98" s="404"/>
      <c r="AQ98" s="404"/>
      <c r="AR98" s="407"/>
      <c r="AS98" s="403"/>
      <c r="AT98" s="404"/>
      <c r="AU98" s="404"/>
      <c r="AV98" s="405"/>
      <c r="AW98" s="406"/>
      <c r="AX98" s="404"/>
      <c r="AY98" s="404"/>
      <c r="AZ98" s="404"/>
      <c r="BA98" s="407"/>
      <c r="BB98" s="403"/>
      <c r="BC98" s="404"/>
      <c r="BD98" s="404"/>
      <c r="BE98" s="405"/>
      <c r="BF98" s="406"/>
      <c r="BG98" s="404"/>
      <c r="BH98" s="404"/>
      <c r="BI98" s="404"/>
      <c r="BJ98" s="404"/>
      <c r="BK98" s="404"/>
      <c r="BL98" s="404"/>
      <c r="BM98" s="404"/>
      <c r="BN98" s="404"/>
      <c r="BO98" s="404"/>
      <c r="BP98" s="404"/>
      <c r="BQ98" s="404"/>
      <c r="BR98" s="404"/>
      <c r="BS98" s="404"/>
      <c r="BT98" s="404"/>
      <c r="BU98" s="404"/>
      <c r="BV98" s="404"/>
      <c r="BW98" s="404"/>
      <c r="BX98" s="404"/>
      <c r="BY98" s="404"/>
      <c r="BZ98" s="404"/>
      <c r="CA98" s="404"/>
      <c r="CB98" s="404"/>
      <c r="CC98" s="404"/>
      <c r="CD98" s="404"/>
      <c r="CE98" s="404"/>
      <c r="CF98" s="404"/>
      <c r="CG98" s="404"/>
      <c r="CH98" s="404"/>
      <c r="CI98" s="404"/>
      <c r="CJ98" s="404"/>
      <c r="CK98" s="404"/>
      <c r="CL98" s="404"/>
      <c r="CM98" s="404"/>
      <c r="CN98" s="404"/>
      <c r="CO98" s="404"/>
      <c r="CP98" s="404"/>
      <c r="CQ98" s="404"/>
      <c r="CR98" s="404"/>
      <c r="CS98" s="404"/>
      <c r="CT98" s="404"/>
      <c r="CU98" s="404"/>
      <c r="CV98" s="404"/>
      <c r="CW98" s="404"/>
      <c r="CX98" s="404"/>
      <c r="CY98" s="404"/>
      <c r="CZ98" s="404"/>
      <c r="DA98" s="404"/>
      <c r="DB98" s="404"/>
      <c r="DC98" s="407"/>
    </row>
    <row r="99" customFormat="false" ht="24.45" hidden="false" customHeight="false" outlineLevel="0" collapsed="false">
      <c r="A99" s="450"/>
      <c r="B99" s="399" t="s">
        <v>608</v>
      </c>
      <c r="C99" s="382" t="n">
        <v>2.5</v>
      </c>
      <c r="D99" s="445"/>
      <c r="E99" s="407"/>
      <c r="F99" s="406"/>
      <c r="G99" s="404"/>
      <c r="H99" s="404"/>
      <c r="I99" s="407"/>
      <c r="J99" s="403"/>
      <c r="K99" s="404"/>
      <c r="L99" s="404"/>
      <c r="M99" s="404"/>
      <c r="N99" s="405"/>
      <c r="O99" s="406"/>
      <c r="P99" s="404"/>
      <c r="Q99" s="404"/>
      <c r="R99" s="407"/>
      <c r="S99" s="408"/>
      <c r="T99" s="423"/>
      <c r="U99" s="447"/>
      <c r="V99" s="454"/>
      <c r="W99" s="449"/>
      <c r="X99" s="447"/>
      <c r="Y99" s="447"/>
      <c r="Z99" s="455"/>
      <c r="AA99" s="403"/>
      <c r="AB99" s="404"/>
      <c r="AC99" s="404"/>
      <c r="AD99" s="404"/>
      <c r="AE99" s="405"/>
      <c r="AF99" s="458"/>
      <c r="AG99" s="404"/>
      <c r="AH99" s="404"/>
      <c r="AI99" s="407"/>
      <c r="AJ99" s="403"/>
      <c r="AK99" s="404"/>
      <c r="AL99" s="404"/>
      <c r="AM99" s="404"/>
      <c r="AN99" s="405"/>
      <c r="AO99" s="406"/>
      <c r="AP99" s="404"/>
      <c r="AQ99" s="404"/>
      <c r="AR99" s="407"/>
      <c r="AS99" s="403"/>
      <c r="AT99" s="404"/>
      <c r="AU99" s="404"/>
      <c r="AV99" s="405"/>
      <c r="AW99" s="406"/>
      <c r="AX99" s="404"/>
      <c r="AY99" s="404"/>
      <c r="AZ99" s="404"/>
      <c r="BA99" s="407"/>
      <c r="BB99" s="403"/>
      <c r="BC99" s="404"/>
      <c r="BD99" s="404"/>
      <c r="BE99" s="405"/>
      <c r="BF99" s="406"/>
      <c r="BG99" s="404"/>
      <c r="BH99" s="404"/>
      <c r="BI99" s="404"/>
      <c r="BJ99" s="404"/>
      <c r="BK99" s="404"/>
      <c r="BL99" s="404"/>
      <c r="BM99" s="404"/>
      <c r="BN99" s="404"/>
      <c r="BO99" s="404"/>
      <c r="BP99" s="404"/>
      <c r="BQ99" s="404"/>
      <c r="BR99" s="404"/>
      <c r="BS99" s="404"/>
      <c r="BT99" s="404"/>
      <c r="BU99" s="404"/>
      <c r="BV99" s="404"/>
      <c r="BW99" s="404"/>
      <c r="BX99" s="404"/>
      <c r="BY99" s="404"/>
      <c r="BZ99" s="404"/>
      <c r="CA99" s="404"/>
      <c r="CB99" s="404"/>
      <c r="CC99" s="404"/>
      <c r="CD99" s="404"/>
      <c r="CE99" s="404"/>
      <c r="CF99" s="404"/>
      <c r="CG99" s="404"/>
      <c r="CH99" s="404"/>
      <c r="CI99" s="404"/>
      <c r="CJ99" s="404"/>
      <c r="CK99" s="404"/>
      <c r="CL99" s="404"/>
      <c r="CM99" s="404"/>
      <c r="CN99" s="404"/>
      <c r="CO99" s="404"/>
      <c r="CP99" s="404"/>
      <c r="CQ99" s="404"/>
      <c r="CR99" s="404"/>
      <c r="CS99" s="404"/>
      <c r="CT99" s="404"/>
      <c r="CU99" s="404"/>
      <c r="CV99" s="404"/>
      <c r="CW99" s="404"/>
      <c r="CX99" s="404"/>
      <c r="CY99" s="404"/>
      <c r="CZ99" s="404"/>
      <c r="DA99" s="404"/>
      <c r="DB99" s="404"/>
      <c r="DC99" s="407"/>
    </row>
    <row r="100" customFormat="false" ht="24.45" hidden="false" customHeight="false" outlineLevel="0" collapsed="false">
      <c r="A100" s="450"/>
      <c r="B100" s="399" t="s">
        <v>608</v>
      </c>
      <c r="C100" s="382" t="n">
        <v>2.5</v>
      </c>
      <c r="D100" s="445"/>
      <c r="E100" s="407"/>
      <c r="F100" s="406"/>
      <c r="G100" s="404"/>
      <c r="H100" s="404"/>
      <c r="I100" s="407"/>
      <c r="J100" s="403"/>
      <c r="K100" s="404"/>
      <c r="L100" s="404"/>
      <c r="M100" s="404"/>
      <c r="N100" s="405"/>
      <c r="O100" s="406"/>
      <c r="P100" s="404"/>
      <c r="Q100" s="404"/>
      <c r="R100" s="407"/>
      <c r="S100" s="408"/>
      <c r="T100" s="423"/>
      <c r="U100" s="447"/>
      <c r="V100" s="454"/>
      <c r="W100" s="449"/>
      <c r="X100" s="447"/>
      <c r="Y100" s="447"/>
      <c r="Z100" s="455"/>
      <c r="AA100" s="403"/>
      <c r="AB100" s="404"/>
      <c r="AC100" s="404"/>
      <c r="AD100" s="404"/>
      <c r="AE100" s="405"/>
      <c r="AF100" s="458"/>
      <c r="AG100" s="404"/>
      <c r="AH100" s="404"/>
      <c r="AI100" s="407"/>
      <c r="AJ100" s="403"/>
      <c r="AK100" s="404"/>
      <c r="AL100" s="404"/>
      <c r="AM100" s="404"/>
      <c r="AN100" s="405"/>
      <c r="AO100" s="406"/>
      <c r="AP100" s="404"/>
      <c r="AQ100" s="404"/>
      <c r="AR100" s="407"/>
      <c r="AS100" s="403"/>
      <c r="AT100" s="404"/>
      <c r="AU100" s="404"/>
      <c r="AV100" s="405"/>
      <c r="AW100" s="406"/>
      <c r="AX100" s="404"/>
      <c r="AY100" s="404"/>
      <c r="AZ100" s="404"/>
      <c r="BA100" s="407"/>
      <c r="BB100" s="403"/>
      <c r="BC100" s="404"/>
      <c r="BD100" s="404"/>
      <c r="BE100" s="405"/>
      <c r="BF100" s="406"/>
      <c r="BG100" s="404"/>
      <c r="BH100" s="404"/>
      <c r="BI100" s="404"/>
      <c r="BJ100" s="404"/>
      <c r="BK100" s="404"/>
      <c r="BL100" s="404"/>
      <c r="BM100" s="404"/>
      <c r="BN100" s="404"/>
      <c r="BO100" s="404"/>
      <c r="BP100" s="404"/>
      <c r="BQ100" s="404"/>
      <c r="BR100" s="404"/>
      <c r="BS100" s="404"/>
      <c r="BT100" s="404"/>
      <c r="BU100" s="404"/>
      <c r="BV100" s="404"/>
      <c r="BW100" s="404"/>
      <c r="BX100" s="404"/>
      <c r="BY100" s="404"/>
      <c r="BZ100" s="404"/>
      <c r="CA100" s="404"/>
      <c r="CB100" s="404"/>
      <c r="CC100" s="404"/>
      <c r="CD100" s="404"/>
      <c r="CE100" s="404"/>
      <c r="CF100" s="404"/>
      <c r="CG100" s="404"/>
      <c r="CH100" s="404"/>
      <c r="CI100" s="404"/>
      <c r="CJ100" s="404"/>
      <c r="CK100" s="404"/>
      <c r="CL100" s="404"/>
      <c r="CM100" s="404"/>
      <c r="CN100" s="404"/>
      <c r="CO100" s="404"/>
      <c r="CP100" s="404"/>
      <c r="CQ100" s="404"/>
      <c r="CR100" s="404"/>
      <c r="CS100" s="404"/>
      <c r="CT100" s="404"/>
      <c r="CU100" s="404"/>
      <c r="CV100" s="404"/>
      <c r="CW100" s="404"/>
      <c r="CX100" s="404"/>
      <c r="CY100" s="404"/>
      <c r="CZ100" s="404"/>
      <c r="DA100" s="404"/>
      <c r="DB100" s="404"/>
      <c r="DC100" s="407"/>
    </row>
    <row r="101" customFormat="false" ht="24.45" hidden="false" customHeight="false" outlineLevel="0" collapsed="false">
      <c r="A101" s="450"/>
      <c r="B101" s="399" t="s">
        <v>608</v>
      </c>
      <c r="C101" s="382" t="n">
        <v>2.5</v>
      </c>
      <c r="D101" s="445"/>
      <c r="E101" s="407"/>
      <c r="F101" s="406"/>
      <c r="G101" s="404"/>
      <c r="H101" s="404"/>
      <c r="I101" s="407"/>
      <c r="J101" s="403"/>
      <c r="K101" s="404"/>
      <c r="L101" s="404"/>
      <c r="M101" s="404"/>
      <c r="N101" s="405"/>
      <c r="O101" s="406"/>
      <c r="P101" s="404"/>
      <c r="Q101" s="404"/>
      <c r="R101" s="407"/>
      <c r="S101" s="408"/>
      <c r="T101" s="423"/>
      <c r="U101" s="447"/>
      <c r="V101" s="454"/>
      <c r="W101" s="449"/>
      <c r="X101" s="447"/>
      <c r="Y101" s="447"/>
      <c r="Z101" s="455"/>
      <c r="AA101" s="403"/>
      <c r="AB101" s="404"/>
      <c r="AC101" s="404"/>
      <c r="AD101" s="404"/>
      <c r="AE101" s="405"/>
      <c r="AF101" s="458"/>
      <c r="AG101" s="404"/>
      <c r="AH101" s="404"/>
      <c r="AI101" s="407"/>
      <c r="AJ101" s="403"/>
      <c r="AK101" s="404"/>
      <c r="AL101" s="404"/>
      <c r="AM101" s="404"/>
      <c r="AN101" s="405"/>
      <c r="AO101" s="406"/>
      <c r="AP101" s="404"/>
      <c r="AQ101" s="404"/>
      <c r="AR101" s="407"/>
      <c r="AS101" s="403"/>
      <c r="AT101" s="404"/>
      <c r="AU101" s="404"/>
      <c r="AV101" s="405"/>
      <c r="AW101" s="406"/>
      <c r="AX101" s="404"/>
      <c r="AY101" s="404"/>
      <c r="AZ101" s="404"/>
      <c r="BA101" s="407"/>
      <c r="BB101" s="403"/>
      <c r="BC101" s="404"/>
      <c r="BD101" s="404"/>
      <c r="BE101" s="405"/>
      <c r="BF101" s="406"/>
      <c r="BG101" s="404"/>
      <c r="BH101" s="404"/>
      <c r="BI101" s="404"/>
      <c r="BJ101" s="404"/>
      <c r="BK101" s="404"/>
      <c r="BL101" s="404"/>
      <c r="BM101" s="404"/>
      <c r="BN101" s="404"/>
      <c r="BO101" s="404"/>
      <c r="BP101" s="404"/>
      <c r="BQ101" s="404"/>
      <c r="BR101" s="404"/>
      <c r="BS101" s="404"/>
      <c r="BT101" s="404"/>
      <c r="BU101" s="404"/>
      <c r="BV101" s="404"/>
      <c r="BW101" s="404"/>
      <c r="BX101" s="404"/>
      <c r="BY101" s="404"/>
      <c r="BZ101" s="404"/>
      <c r="CA101" s="404"/>
      <c r="CB101" s="404"/>
      <c r="CC101" s="404"/>
      <c r="CD101" s="404"/>
      <c r="CE101" s="404"/>
      <c r="CF101" s="404"/>
      <c r="CG101" s="404"/>
      <c r="CH101" s="404"/>
      <c r="CI101" s="404"/>
      <c r="CJ101" s="404"/>
      <c r="CK101" s="404"/>
      <c r="CL101" s="404"/>
      <c r="CM101" s="404"/>
      <c r="CN101" s="404"/>
      <c r="CO101" s="404"/>
      <c r="CP101" s="404"/>
      <c r="CQ101" s="404"/>
      <c r="CR101" s="404"/>
      <c r="CS101" s="404"/>
      <c r="CT101" s="404"/>
      <c r="CU101" s="404"/>
      <c r="CV101" s="404"/>
      <c r="CW101" s="404"/>
      <c r="CX101" s="404"/>
      <c r="CY101" s="404"/>
      <c r="CZ101" s="404"/>
      <c r="DA101" s="404"/>
      <c r="DB101" s="404"/>
      <c r="DC101" s="407"/>
    </row>
    <row r="102" customFormat="false" ht="24.45" hidden="false" customHeight="false" outlineLevel="0" collapsed="false">
      <c r="A102" s="450"/>
      <c r="B102" s="399" t="s">
        <v>608</v>
      </c>
      <c r="C102" s="382" t="n">
        <v>2.5</v>
      </c>
      <c r="D102" s="445"/>
      <c r="E102" s="407"/>
      <c r="F102" s="406"/>
      <c r="G102" s="404"/>
      <c r="H102" s="404"/>
      <c r="I102" s="407"/>
      <c r="J102" s="403"/>
      <c r="K102" s="404"/>
      <c r="L102" s="404"/>
      <c r="M102" s="404"/>
      <c r="N102" s="405"/>
      <c r="O102" s="406"/>
      <c r="P102" s="404"/>
      <c r="Q102" s="404"/>
      <c r="R102" s="407"/>
      <c r="S102" s="408"/>
      <c r="T102" s="423"/>
      <c r="U102" s="447"/>
      <c r="V102" s="454"/>
      <c r="W102" s="449"/>
      <c r="X102" s="447"/>
      <c r="Y102" s="447"/>
      <c r="Z102" s="455"/>
      <c r="AA102" s="403"/>
      <c r="AB102" s="404"/>
      <c r="AC102" s="404"/>
      <c r="AD102" s="404"/>
      <c r="AE102" s="405"/>
      <c r="AF102" s="458"/>
      <c r="AG102" s="404"/>
      <c r="AH102" s="404"/>
      <c r="AI102" s="407"/>
      <c r="AJ102" s="403"/>
      <c r="AK102" s="404"/>
      <c r="AL102" s="404"/>
      <c r="AM102" s="404"/>
      <c r="AN102" s="405"/>
      <c r="AO102" s="406"/>
      <c r="AP102" s="404"/>
      <c r="AQ102" s="404"/>
      <c r="AR102" s="407"/>
      <c r="AS102" s="403"/>
      <c r="AT102" s="404"/>
      <c r="AU102" s="404"/>
      <c r="AV102" s="405"/>
      <c r="AW102" s="406"/>
      <c r="AX102" s="404"/>
      <c r="AY102" s="404"/>
      <c r="AZ102" s="404"/>
      <c r="BA102" s="407"/>
      <c r="BB102" s="403"/>
      <c r="BC102" s="404"/>
      <c r="BD102" s="404"/>
      <c r="BE102" s="405"/>
      <c r="BF102" s="406"/>
      <c r="BG102" s="404"/>
      <c r="BH102" s="404"/>
      <c r="BI102" s="404"/>
      <c r="BJ102" s="404"/>
      <c r="BK102" s="404"/>
      <c r="BL102" s="404"/>
      <c r="BM102" s="404"/>
      <c r="BN102" s="404"/>
      <c r="BO102" s="404"/>
      <c r="BP102" s="404"/>
      <c r="BQ102" s="404"/>
      <c r="BR102" s="404"/>
      <c r="BS102" s="404"/>
      <c r="BT102" s="404"/>
      <c r="BU102" s="404"/>
      <c r="BV102" s="404"/>
      <c r="BW102" s="404"/>
      <c r="BX102" s="404"/>
      <c r="BY102" s="404"/>
      <c r="BZ102" s="404"/>
      <c r="CA102" s="404"/>
      <c r="CB102" s="404"/>
      <c r="CC102" s="404"/>
      <c r="CD102" s="404"/>
      <c r="CE102" s="404"/>
      <c r="CF102" s="404"/>
      <c r="CG102" s="404"/>
      <c r="CH102" s="404"/>
      <c r="CI102" s="404"/>
      <c r="CJ102" s="404"/>
      <c r="CK102" s="404"/>
      <c r="CL102" s="404"/>
      <c r="CM102" s="404"/>
      <c r="CN102" s="404"/>
      <c r="CO102" s="404"/>
      <c r="CP102" s="404"/>
      <c r="CQ102" s="404"/>
      <c r="CR102" s="404"/>
      <c r="CS102" s="404"/>
      <c r="CT102" s="404"/>
      <c r="CU102" s="404"/>
      <c r="CV102" s="404"/>
      <c r="CW102" s="404"/>
      <c r="CX102" s="404"/>
      <c r="CY102" s="404"/>
      <c r="CZ102" s="404"/>
      <c r="DA102" s="404"/>
      <c r="DB102" s="404"/>
      <c r="DC102" s="407"/>
    </row>
    <row r="103" customFormat="false" ht="24.45" hidden="false" customHeight="false" outlineLevel="0" collapsed="false">
      <c r="A103" s="450"/>
      <c r="B103" s="399" t="s">
        <v>608</v>
      </c>
      <c r="C103" s="382" t="n">
        <v>2.5</v>
      </c>
      <c r="D103" s="445"/>
      <c r="E103" s="407"/>
      <c r="F103" s="406"/>
      <c r="G103" s="404"/>
      <c r="H103" s="404"/>
      <c r="I103" s="407"/>
      <c r="J103" s="403"/>
      <c r="K103" s="404"/>
      <c r="L103" s="404"/>
      <c r="M103" s="404"/>
      <c r="N103" s="405"/>
      <c r="O103" s="406"/>
      <c r="P103" s="404"/>
      <c r="Q103" s="404"/>
      <c r="R103" s="407"/>
      <c r="S103" s="408"/>
      <c r="T103" s="423"/>
      <c r="U103" s="447"/>
      <c r="V103" s="454"/>
      <c r="W103" s="449"/>
      <c r="X103" s="447"/>
      <c r="Y103" s="447"/>
      <c r="Z103" s="455"/>
      <c r="AA103" s="403"/>
      <c r="AB103" s="404"/>
      <c r="AC103" s="404"/>
      <c r="AD103" s="404"/>
      <c r="AE103" s="405"/>
      <c r="AF103" s="458"/>
      <c r="AG103" s="404"/>
      <c r="AH103" s="404"/>
      <c r="AI103" s="407"/>
      <c r="AJ103" s="403"/>
      <c r="AK103" s="404"/>
      <c r="AL103" s="404"/>
      <c r="AM103" s="404"/>
      <c r="AN103" s="405"/>
      <c r="AO103" s="406"/>
      <c r="AP103" s="404"/>
      <c r="AQ103" s="404"/>
      <c r="AR103" s="407"/>
      <c r="AS103" s="403"/>
      <c r="AT103" s="404"/>
      <c r="AU103" s="404"/>
      <c r="AV103" s="405"/>
      <c r="AW103" s="406"/>
      <c r="AX103" s="404"/>
      <c r="AY103" s="404"/>
      <c r="AZ103" s="404"/>
      <c r="BA103" s="407"/>
      <c r="BB103" s="403"/>
      <c r="BC103" s="404"/>
      <c r="BD103" s="404"/>
      <c r="BE103" s="405"/>
      <c r="BF103" s="406"/>
      <c r="BG103" s="404"/>
      <c r="BH103" s="404"/>
      <c r="BI103" s="404"/>
      <c r="BJ103" s="404"/>
      <c r="BK103" s="404"/>
      <c r="BL103" s="404"/>
      <c r="BM103" s="404"/>
      <c r="BN103" s="404"/>
      <c r="BO103" s="404"/>
      <c r="BP103" s="404"/>
      <c r="BQ103" s="404"/>
      <c r="BR103" s="404"/>
      <c r="BS103" s="404"/>
      <c r="BT103" s="404"/>
      <c r="BU103" s="404"/>
      <c r="BV103" s="404"/>
      <c r="BW103" s="404"/>
      <c r="BX103" s="404"/>
      <c r="BY103" s="404"/>
      <c r="BZ103" s="404"/>
      <c r="CA103" s="404"/>
      <c r="CB103" s="404"/>
      <c r="CC103" s="404"/>
      <c r="CD103" s="404"/>
      <c r="CE103" s="404"/>
      <c r="CF103" s="404"/>
      <c r="CG103" s="404"/>
      <c r="CH103" s="404"/>
      <c r="CI103" s="404"/>
      <c r="CJ103" s="404"/>
      <c r="CK103" s="404"/>
      <c r="CL103" s="404"/>
      <c r="CM103" s="404"/>
      <c r="CN103" s="404"/>
      <c r="CO103" s="404"/>
      <c r="CP103" s="404"/>
      <c r="CQ103" s="404"/>
      <c r="CR103" s="404"/>
      <c r="CS103" s="404"/>
      <c r="CT103" s="404"/>
      <c r="CU103" s="404"/>
      <c r="CV103" s="404"/>
      <c r="CW103" s="404"/>
      <c r="CX103" s="404"/>
      <c r="CY103" s="404"/>
      <c r="CZ103" s="404"/>
      <c r="DA103" s="404"/>
      <c r="DB103" s="404"/>
      <c r="DC103" s="407"/>
    </row>
    <row r="104" customFormat="false" ht="24.45" hidden="false" customHeight="false" outlineLevel="0" collapsed="false">
      <c r="A104" s="450"/>
      <c r="B104" s="399" t="s">
        <v>608</v>
      </c>
      <c r="C104" s="382" t="n">
        <v>2.5</v>
      </c>
      <c r="D104" s="445"/>
      <c r="E104" s="407"/>
      <c r="F104" s="406"/>
      <c r="G104" s="404"/>
      <c r="H104" s="404"/>
      <c r="I104" s="407"/>
      <c r="J104" s="403"/>
      <c r="K104" s="404"/>
      <c r="L104" s="404"/>
      <c r="M104" s="404"/>
      <c r="N104" s="405"/>
      <c r="O104" s="406"/>
      <c r="P104" s="404"/>
      <c r="Q104" s="404"/>
      <c r="R104" s="407"/>
      <c r="S104" s="408"/>
      <c r="T104" s="423"/>
      <c r="U104" s="447"/>
      <c r="V104" s="454"/>
      <c r="W104" s="449"/>
      <c r="X104" s="447"/>
      <c r="Y104" s="447"/>
      <c r="Z104" s="455"/>
      <c r="AA104" s="403"/>
      <c r="AB104" s="404"/>
      <c r="AC104" s="404"/>
      <c r="AD104" s="404"/>
      <c r="AE104" s="405"/>
      <c r="AF104" s="458"/>
      <c r="AG104" s="404"/>
      <c r="AH104" s="404"/>
      <c r="AI104" s="407"/>
      <c r="AJ104" s="403"/>
      <c r="AK104" s="404"/>
      <c r="AL104" s="404"/>
      <c r="AM104" s="404"/>
      <c r="AN104" s="405"/>
      <c r="AO104" s="406"/>
      <c r="AP104" s="404"/>
      <c r="AQ104" s="404"/>
      <c r="AR104" s="407"/>
      <c r="AS104" s="403"/>
      <c r="AT104" s="404"/>
      <c r="AU104" s="404"/>
      <c r="AV104" s="405"/>
      <c r="AW104" s="406"/>
      <c r="AX104" s="404"/>
      <c r="AY104" s="404"/>
      <c r="AZ104" s="404"/>
      <c r="BA104" s="407"/>
      <c r="BB104" s="403"/>
      <c r="BC104" s="404"/>
      <c r="BD104" s="404"/>
      <c r="BE104" s="405"/>
      <c r="BF104" s="406"/>
      <c r="BG104" s="404"/>
      <c r="BH104" s="404"/>
      <c r="BI104" s="404"/>
      <c r="BJ104" s="404"/>
      <c r="BK104" s="404"/>
      <c r="BL104" s="404"/>
      <c r="BM104" s="404"/>
      <c r="BN104" s="404"/>
      <c r="BO104" s="404"/>
      <c r="BP104" s="404"/>
      <c r="BQ104" s="404"/>
      <c r="BR104" s="404"/>
      <c r="BS104" s="404"/>
      <c r="BT104" s="404"/>
      <c r="BU104" s="404"/>
      <c r="BV104" s="404"/>
      <c r="BW104" s="404"/>
      <c r="BX104" s="404"/>
      <c r="BY104" s="404"/>
      <c r="BZ104" s="404"/>
      <c r="CA104" s="404"/>
      <c r="CB104" s="404"/>
      <c r="CC104" s="404"/>
      <c r="CD104" s="404"/>
      <c r="CE104" s="404"/>
      <c r="CF104" s="404"/>
      <c r="CG104" s="404"/>
      <c r="CH104" s="404"/>
      <c r="CI104" s="404"/>
      <c r="CJ104" s="404"/>
      <c r="CK104" s="404"/>
      <c r="CL104" s="404"/>
      <c r="CM104" s="404"/>
      <c r="CN104" s="404"/>
      <c r="CO104" s="404"/>
      <c r="CP104" s="404"/>
      <c r="CQ104" s="404"/>
      <c r="CR104" s="404"/>
      <c r="CS104" s="404"/>
      <c r="CT104" s="404"/>
      <c r="CU104" s="404"/>
      <c r="CV104" s="404"/>
      <c r="CW104" s="404"/>
      <c r="CX104" s="404"/>
      <c r="CY104" s="404"/>
      <c r="CZ104" s="404"/>
      <c r="DA104" s="404"/>
      <c r="DB104" s="404"/>
      <c r="DC104" s="407"/>
    </row>
    <row r="105" customFormat="false" ht="24.45" hidden="false" customHeight="false" outlineLevel="0" collapsed="false">
      <c r="A105" s="450"/>
      <c r="B105" s="399" t="s">
        <v>608</v>
      </c>
      <c r="C105" s="382" t="n">
        <v>2.5</v>
      </c>
      <c r="D105" s="445"/>
      <c r="E105" s="407"/>
      <c r="F105" s="406"/>
      <c r="G105" s="404"/>
      <c r="H105" s="404"/>
      <c r="I105" s="407"/>
      <c r="J105" s="403"/>
      <c r="K105" s="404"/>
      <c r="L105" s="404"/>
      <c r="M105" s="404"/>
      <c r="N105" s="405"/>
      <c r="O105" s="406"/>
      <c r="P105" s="404"/>
      <c r="Q105" s="404"/>
      <c r="R105" s="407"/>
      <c r="S105" s="408"/>
      <c r="T105" s="423"/>
      <c r="U105" s="447"/>
      <c r="V105" s="454"/>
      <c r="W105" s="449"/>
      <c r="X105" s="447"/>
      <c r="Y105" s="447"/>
      <c r="Z105" s="455"/>
      <c r="AA105" s="403"/>
      <c r="AB105" s="404"/>
      <c r="AC105" s="404"/>
      <c r="AD105" s="404"/>
      <c r="AE105" s="405"/>
      <c r="AF105" s="458"/>
      <c r="AG105" s="404"/>
      <c r="AH105" s="404"/>
      <c r="AI105" s="407"/>
      <c r="AJ105" s="403"/>
      <c r="AK105" s="404"/>
      <c r="AL105" s="404"/>
      <c r="AM105" s="404"/>
      <c r="AN105" s="405"/>
      <c r="AO105" s="406"/>
      <c r="AP105" s="404"/>
      <c r="AQ105" s="404"/>
      <c r="AR105" s="407"/>
      <c r="AS105" s="403"/>
      <c r="AT105" s="404"/>
      <c r="AU105" s="404"/>
      <c r="AV105" s="405"/>
      <c r="AW105" s="406"/>
      <c r="AX105" s="404"/>
      <c r="AY105" s="404"/>
      <c r="AZ105" s="404"/>
      <c r="BA105" s="407"/>
      <c r="BB105" s="403"/>
      <c r="BC105" s="404"/>
      <c r="BD105" s="404"/>
      <c r="BE105" s="405"/>
      <c r="BF105" s="406"/>
      <c r="BG105" s="404"/>
      <c r="BH105" s="404"/>
      <c r="BI105" s="404"/>
      <c r="BJ105" s="404"/>
      <c r="BK105" s="404"/>
      <c r="BL105" s="404"/>
      <c r="BM105" s="404"/>
      <c r="BN105" s="404"/>
      <c r="BO105" s="404"/>
      <c r="BP105" s="404"/>
      <c r="BQ105" s="404"/>
      <c r="BR105" s="404"/>
      <c r="BS105" s="404"/>
      <c r="BT105" s="404"/>
      <c r="BU105" s="404"/>
      <c r="BV105" s="404"/>
      <c r="BW105" s="404"/>
      <c r="BX105" s="404"/>
      <c r="BY105" s="404"/>
      <c r="BZ105" s="404"/>
      <c r="CA105" s="404"/>
      <c r="CB105" s="404"/>
      <c r="CC105" s="404"/>
      <c r="CD105" s="404"/>
      <c r="CE105" s="404"/>
      <c r="CF105" s="404"/>
      <c r="CG105" s="404"/>
      <c r="CH105" s="404"/>
      <c r="CI105" s="404"/>
      <c r="CJ105" s="404"/>
      <c r="CK105" s="404"/>
      <c r="CL105" s="404"/>
      <c r="CM105" s="404"/>
      <c r="CN105" s="404"/>
      <c r="CO105" s="404"/>
      <c r="CP105" s="404"/>
      <c r="CQ105" s="404"/>
      <c r="CR105" s="404"/>
      <c r="CS105" s="404"/>
      <c r="CT105" s="404"/>
      <c r="CU105" s="404"/>
      <c r="CV105" s="404"/>
      <c r="CW105" s="404"/>
      <c r="CX105" s="404"/>
      <c r="CY105" s="404"/>
      <c r="CZ105" s="404"/>
      <c r="DA105" s="404"/>
      <c r="DB105" s="404"/>
      <c r="DC105" s="407"/>
    </row>
    <row r="106" customFormat="false" ht="24.45" hidden="false" customHeight="false" outlineLevel="0" collapsed="false">
      <c r="A106" s="450"/>
      <c r="B106" s="399" t="s">
        <v>608</v>
      </c>
      <c r="C106" s="382" t="n">
        <v>2.5</v>
      </c>
      <c r="D106" s="445"/>
      <c r="E106" s="407"/>
      <c r="F106" s="406"/>
      <c r="G106" s="404"/>
      <c r="H106" s="404"/>
      <c r="I106" s="407"/>
      <c r="J106" s="403"/>
      <c r="K106" s="404"/>
      <c r="L106" s="404"/>
      <c r="M106" s="404"/>
      <c r="N106" s="405"/>
      <c r="O106" s="406"/>
      <c r="P106" s="404"/>
      <c r="Q106" s="404"/>
      <c r="R106" s="407"/>
      <c r="S106" s="408"/>
      <c r="T106" s="423"/>
      <c r="U106" s="447"/>
      <c r="V106" s="454"/>
      <c r="W106" s="449"/>
      <c r="X106" s="447"/>
      <c r="Y106" s="447"/>
      <c r="Z106" s="455"/>
      <c r="AA106" s="403"/>
      <c r="AB106" s="404"/>
      <c r="AC106" s="404"/>
      <c r="AD106" s="404"/>
      <c r="AE106" s="405"/>
      <c r="AF106" s="458"/>
      <c r="AG106" s="404"/>
      <c r="AH106" s="404"/>
      <c r="AI106" s="407"/>
      <c r="AJ106" s="403"/>
      <c r="AK106" s="404"/>
      <c r="AL106" s="404"/>
      <c r="AM106" s="404"/>
      <c r="AN106" s="405"/>
      <c r="AO106" s="406"/>
      <c r="AP106" s="404"/>
      <c r="AQ106" s="404"/>
      <c r="AR106" s="407"/>
      <c r="AS106" s="403"/>
      <c r="AT106" s="404"/>
      <c r="AU106" s="404"/>
      <c r="AV106" s="405"/>
      <c r="AW106" s="406"/>
      <c r="AX106" s="404"/>
      <c r="AY106" s="404"/>
      <c r="AZ106" s="404"/>
      <c r="BA106" s="407"/>
      <c r="BB106" s="403"/>
      <c r="BC106" s="404"/>
      <c r="BD106" s="404"/>
      <c r="BE106" s="405"/>
      <c r="BF106" s="406"/>
      <c r="BG106" s="404"/>
      <c r="BH106" s="404"/>
      <c r="BI106" s="404"/>
      <c r="BJ106" s="404"/>
      <c r="BK106" s="404"/>
      <c r="BL106" s="404"/>
      <c r="BM106" s="404"/>
      <c r="BN106" s="404"/>
      <c r="BO106" s="404"/>
      <c r="BP106" s="404"/>
      <c r="BQ106" s="404"/>
      <c r="BR106" s="404"/>
      <c r="BS106" s="404"/>
      <c r="BT106" s="404"/>
      <c r="BU106" s="404"/>
      <c r="BV106" s="404"/>
      <c r="BW106" s="404"/>
      <c r="BX106" s="404"/>
      <c r="BY106" s="404"/>
      <c r="BZ106" s="404"/>
      <c r="CA106" s="404"/>
      <c r="CB106" s="404"/>
      <c r="CC106" s="404"/>
      <c r="CD106" s="404"/>
      <c r="CE106" s="404"/>
      <c r="CF106" s="404"/>
      <c r="CG106" s="404"/>
      <c r="CH106" s="404"/>
      <c r="CI106" s="404"/>
      <c r="CJ106" s="404"/>
      <c r="CK106" s="404"/>
      <c r="CL106" s="404"/>
      <c r="CM106" s="404"/>
      <c r="CN106" s="404"/>
      <c r="CO106" s="404"/>
      <c r="CP106" s="404"/>
      <c r="CQ106" s="404"/>
      <c r="CR106" s="404"/>
      <c r="CS106" s="404"/>
      <c r="CT106" s="404"/>
      <c r="CU106" s="404"/>
      <c r="CV106" s="404"/>
      <c r="CW106" s="404"/>
      <c r="CX106" s="404"/>
      <c r="CY106" s="404"/>
      <c r="CZ106" s="404"/>
      <c r="DA106" s="404"/>
      <c r="DB106" s="404"/>
      <c r="DC106" s="407"/>
    </row>
    <row r="107" customFormat="false" ht="24.45" hidden="false" customHeight="false" outlineLevel="0" collapsed="false">
      <c r="A107" s="450"/>
      <c r="B107" s="399" t="s">
        <v>608</v>
      </c>
      <c r="C107" s="382" t="n">
        <v>2.5</v>
      </c>
      <c r="D107" s="445"/>
      <c r="E107" s="407"/>
      <c r="F107" s="406"/>
      <c r="G107" s="404"/>
      <c r="H107" s="404"/>
      <c r="I107" s="407"/>
      <c r="J107" s="403"/>
      <c r="K107" s="404"/>
      <c r="L107" s="404"/>
      <c r="M107" s="404"/>
      <c r="N107" s="405"/>
      <c r="O107" s="406"/>
      <c r="P107" s="404"/>
      <c r="Q107" s="404"/>
      <c r="R107" s="407"/>
      <c r="S107" s="408"/>
      <c r="T107" s="423"/>
      <c r="U107" s="447"/>
      <c r="V107" s="454"/>
      <c r="W107" s="449"/>
      <c r="X107" s="447"/>
      <c r="Y107" s="447"/>
      <c r="Z107" s="455"/>
      <c r="AA107" s="403"/>
      <c r="AB107" s="404"/>
      <c r="AC107" s="404"/>
      <c r="AD107" s="404"/>
      <c r="AE107" s="405"/>
      <c r="AF107" s="458"/>
      <c r="AG107" s="404"/>
      <c r="AH107" s="404"/>
      <c r="AI107" s="407"/>
      <c r="AJ107" s="403"/>
      <c r="AK107" s="404"/>
      <c r="AL107" s="404"/>
      <c r="AM107" s="404"/>
      <c r="AN107" s="405"/>
      <c r="AO107" s="406"/>
      <c r="AP107" s="404"/>
      <c r="AQ107" s="404"/>
      <c r="AR107" s="407"/>
      <c r="AS107" s="403"/>
      <c r="AT107" s="404"/>
      <c r="AU107" s="404"/>
      <c r="AV107" s="405"/>
      <c r="AW107" s="406"/>
      <c r="AX107" s="404"/>
      <c r="AY107" s="404"/>
      <c r="AZ107" s="404"/>
      <c r="BA107" s="407"/>
      <c r="BB107" s="403"/>
      <c r="BC107" s="404"/>
      <c r="BD107" s="404"/>
      <c r="BE107" s="405"/>
      <c r="BF107" s="406"/>
      <c r="BG107" s="404"/>
      <c r="BH107" s="404"/>
      <c r="BI107" s="404"/>
      <c r="BJ107" s="404"/>
      <c r="BK107" s="404"/>
      <c r="BL107" s="404"/>
      <c r="BM107" s="404"/>
      <c r="BN107" s="404"/>
      <c r="BO107" s="404"/>
      <c r="BP107" s="404"/>
      <c r="BQ107" s="404"/>
      <c r="BR107" s="404"/>
      <c r="BS107" s="404"/>
      <c r="BT107" s="404"/>
      <c r="BU107" s="404"/>
      <c r="BV107" s="404"/>
      <c r="BW107" s="404"/>
      <c r="BX107" s="404"/>
      <c r="BY107" s="404"/>
      <c r="BZ107" s="404"/>
      <c r="CA107" s="404"/>
      <c r="CB107" s="404"/>
      <c r="CC107" s="404"/>
      <c r="CD107" s="404"/>
      <c r="CE107" s="404"/>
      <c r="CF107" s="404"/>
      <c r="CG107" s="404"/>
      <c r="CH107" s="404"/>
      <c r="CI107" s="404"/>
      <c r="CJ107" s="404"/>
      <c r="CK107" s="404"/>
      <c r="CL107" s="404"/>
      <c r="CM107" s="404"/>
      <c r="CN107" s="404"/>
      <c r="CO107" s="404"/>
      <c r="CP107" s="404"/>
      <c r="CQ107" s="404"/>
      <c r="CR107" s="404"/>
      <c r="CS107" s="404"/>
      <c r="CT107" s="404"/>
      <c r="CU107" s="404"/>
      <c r="CV107" s="404"/>
      <c r="CW107" s="404"/>
      <c r="CX107" s="404"/>
      <c r="CY107" s="404"/>
      <c r="CZ107" s="404"/>
      <c r="DA107" s="404"/>
      <c r="DB107" s="404"/>
      <c r="DC107" s="407"/>
    </row>
    <row r="108" customFormat="false" ht="24.45" hidden="false" customHeight="false" outlineLevel="0" collapsed="false">
      <c r="A108" s="450"/>
      <c r="B108" s="399" t="s">
        <v>608</v>
      </c>
      <c r="C108" s="382" t="n">
        <v>2.5</v>
      </c>
      <c r="D108" s="445"/>
      <c r="E108" s="407"/>
      <c r="F108" s="406"/>
      <c r="G108" s="404"/>
      <c r="H108" s="404"/>
      <c r="I108" s="407"/>
      <c r="J108" s="403"/>
      <c r="K108" s="404"/>
      <c r="L108" s="404"/>
      <c r="M108" s="404"/>
      <c r="N108" s="405"/>
      <c r="O108" s="406"/>
      <c r="P108" s="404"/>
      <c r="Q108" s="404"/>
      <c r="R108" s="407"/>
      <c r="S108" s="408"/>
      <c r="T108" s="423"/>
      <c r="U108" s="447"/>
      <c r="V108" s="454"/>
      <c r="W108" s="449"/>
      <c r="X108" s="447"/>
      <c r="Y108" s="447"/>
      <c r="Z108" s="455"/>
      <c r="AA108" s="403"/>
      <c r="AB108" s="404"/>
      <c r="AC108" s="404"/>
      <c r="AD108" s="404"/>
      <c r="AE108" s="405"/>
      <c r="AF108" s="458"/>
      <c r="AG108" s="404"/>
      <c r="AH108" s="404"/>
      <c r="AI108" s="407"/>
      <c r="AJ108" s="403"/>
      <c r="AK108" s="404"/>
      <c r="AL108" s="404"/>
      <c r="AM108" s="404"/>
      <c r="AN108" s="405"/>
      <c r="AO108" s="406"/>
      <c r="AP108" s="404"/>
      <c r="AQ108" s="404"/>
      <c r="AR108" s="407"/>
      <c r="AS108" s="403"/>
      <c r="AT108" s="404"/>
      <c r="AU108" s="404"/>
      <c r="AV108" s="405"/>
      <c r="AW108" s="406"/>
      <c r="AX108" s="404"/>
      <c r="AY108" s="404"/>
      <c r="AZ108" s="404"/>
      <c r="BA108" s="407"/>
      <c r="BB108" s="403"/>
      <c r="BC108" s="404"/>
      <c r="BD108" s="404"/>
      <c r="BE108" s="405"/>
      <c r="BF108" s="406"/>
      <c r="BG108" s="404"/>
      <c r="BH108" s="404"/>
      <c r="BI108" s="404"/>
      <c r="BJ108" s="404"/>
      <c r="BK108" s="404"/>
      <c r="BL108" s="404"/>
      <c r="BM108" s="404"/>
      <c r="BN108" s="404"/>
      <c r="BO108" s="404"/>
      <c r="BP108" s="404"/>
      <c r="BQ108" s="404"/>
      <c r="BR108" s="404"/>
      <c r="BS108" s="404"/>
      <c r="BT108" s="404"/>
      <c r="BU108" s="404"/>
      <c r="BV108" s="404"/>
      <c r="BW108" s="404"/>
      <c r="BX108" s="404"/>
      <c r="BY108" s="404"/>
      <c r="BZ108" s="404"/>
      <c r="CA108" s="404"/>
      <c r="CB108" s="404"/>
      <c r="CC108" s="404"/>
      <c r="CD108" s="404"/>
      <c r="CE108" s="404"/>
      <c r="CF108" s="404"/>
      <c r="CG108" s="404"/>
      <c r="CH108" s="404"/>
      <c r="CI108" s="404"/>
      <c r="CJ108" s="404"/>
      <c r="CK108" s="404"/>
      <c r="CL108" s="404"/>
      <c r="CM108" s="404"/>
      <c r="CN108" s="404"/>
      <c r="CO108" s="404"/>
      <c r="CP108" s="404"/>
      <c r="CQ108" s="404"/>
      <c r="CR108" s="404"/>
      <c r="CS108" s="404"/>
      <c r="CT108" s="404"/>
      <c r="CU108" s="404"/>
      <c r="CV108" s="404"/>
      <c r="CW108" s="404"/>
      <c r="CX108" s="404"/>
      <c r="CY108" s="404"/>
      <c r="CZ108" s="404"/>
      <c r="DA108" s="404"/>
      <c r="DB108" s="404"/>
      <c r="DC108" s="407"/>
    </row>
    <row r="109" customFormat="false" ht="24.45" hidden="false" customHeight="false" outlineLevel="0" collapsed="false">
      <c r="A109" s="450"/>
      <c r="B109" s="399" t="s">
        <v>608</v>
      </c>
      <c r="C109" s="382" t="n">
        <v>2.5</v>
      </c>
      <c r="D109" s="445"/>
      <c r="E109" s="407"/>
      <c r="F109" s="406"/>
      <c r="G109" s="404"/>
      <c r="H109" s="404"/>
      <c r="I109" s="407"/>
      <c r="J109" s="403"/>
      <c r="K109" s="404"/>
      <c r="L109" s="404"/>
      <c r="M109" s="404"/>
      <c r="N109" s="405"/>
      <c r="O109" s="406"/>
      <c r="P109" s="404"/>
      <c r="Q109" s="404"/>
      <c r="R109" s="407"/>
      <c r="S109" s="408"/>
      <c r="T109" s="423"/>
      <c r="U109" s="447"/>
      <c r="V109" s="454"/>
      <c r="W109" s="449"/>
      <c r="X109" s="447"/>
      <c r="Y109" s="447"/>
      <c r="Z109" s="455"/>
      <c r="AA109" s="403"/>
      <c r="AB109" s="404"/>
      <c r="AC109" s="404"/>
      <c r="AD109" s="404"/>
      <c r="AE109" s="405"/>
      <c r="AF109" s="458"/>
      <c r="AG109" s="404"/>
      <c r="AH109" s="404"/>
      <c r="AI109" s="407"/>
      <c r="AJ109" s="403"/>
      <c r="AK109" s="404"/>
      <c r="AL109" s="404"/>
      <c r="AM109" s="404"/>
      <c r="AN109" s="405"/>
      <c r="AO109" s="406"/>
      <c r="AP109" s="404"/>
      <c r="AQ109" s="404"/>
      <c r="AR109" s="407"/>
      <c r="AS109" s="403"/>
      <c r="AT109" s="404"/>
      <c r="AU109" s="404"/>
      <c r="AV109" s="405"/>
      <c r="AW109" s="406"/>
      <c r="AX109" s="404"/>
      <c r="AY109" s="404"/>
      <c r="AZ109" s="404"/>
      <c r="BA109" s="407"/>
      <c r="BB109" s="403"/>
      <c r="BC109" s="404"/>
      <c r="BD109" s="404"/>
      <c r="BE109" s="405"/>
      <c r="BF109" s="406"/>
      <c r="BG109" s="404"/>
      <c r="BH109" s="404"/>
      <c r="BI109" s="404"/>
      <c r="BJ109" s="404"/>
      <c r="BK109" s="404"/>
      <c r="BL109" s="404"/>
      <c r="BM109" s="404"/>
      <c r="BN109" s="404"/>
      <c r="BO109" s="404"/>
      <c r="BP109" s="404"/>
      <c r="BQ109" s="404"/>
      <c r="BR109" s="404"/>
      <c r="BS109" s="404"/>
      <c r="BT109" s="404"/>
      <c r="BU109" s="404"/>
      <c r="BV109" s="404"/>
      <c r="BW109" s="404"/>
      <c r="BX109" s="404"/>
      <c r="BY109" s="404"/>
      <c r="BZ109" s="404"/>
      <c r="CA109" s="404"/>
      <c r="CB109" s="404"/>
      <c r="CC109" s="404"/>
      <c r="CD109" s="404"/>
      <c r="CE109" s="404"/>
      <c r="CF109" s="404"/>
      <c r="CG109" s="404"/>
      <c r="CH109" s="404"/>
      <c r="CI109" s="404"/>
      <c r="CJ109" s="404"/>
      <c r="CK109" s="404"/>
      <c r="CL109" s="404"/>
      <c r="CM109" s="404"/>
      <c r="CN109" s="404"/>
      <c r="CO109" s="404"/>
      <c r="CP109" s="404"/>
      <c r="CQ109" s="404"/>
      <c r="CR109" s="404"/>
      <c r="CS109" s="404"/>
      <c r="CT109" s="404"/>
      <c r="CU109" s="404"/>
      <c r="CV109" s="404"/>
      <c r="CW109" s="404"/>
      <c r="CX109" s="404"/>
      <c r="CY109" s="404"/>
      <c r="CZ109" s="404"/>
      <c r="DA109" s="404"/>
      <c r="DB109" s="404"/>
      <c r="DC109" s="407"/>
    </row>
    <row r="110" customFormat="false" ht="24.45" hidden="false" customHeight="false" outlineLevel="0" collapsed="false">
      <c r="A110" s="450"/>
      <c r="B110" s="399" t="s">
        <v>608</v>
      </c>
      <c r="C110" s="382" t="n">
        <v>2.5</v>
      </c>
      <c r="D110" s="445"/>
      <c r="E110" s="407"/>
      <c r="F110" s="406"/>
      <c r="G110" s="404"/>
      <c r="H110" s="404"/>
      <c r="I110" s="407"/>
      <c r="J110" s="403"/>
      <c r="K110" s="404"/>
      <c r="L110" s="404"/>
      <c r="M110" s="404"/>
      <c r="N110" s="405"/>
      <c r="O110" s="406"/>
      <c r="P110" s="404"/>
      <c r="Q110" s="404"/>
      <c r="R110" s="407"/>
      <c r="S110" s="408"/>
      <c r="T110" s="423"/>
      <c r="U110" s="447"/>
      <c r="V110" s="454"/>
      <c r="W110" s="449"/>
      <c r="X110" s="447"/>
      <c r="Y110" s="447"/>
      <c r="Z110" s="455"/>
      <c r="AA110" s="403"/>
      <c r="AB110" s="404"/>
      <c r="AC110" s="404"/>
      <c r="AD110" s="404"/>
      <c r="AE110" s="405"/>
      <c r="AF110" s="458"/>
      <c r="AG110" s="404"/>
      <c r="AH110" s="404"/>
      <c r="AI110" s="407"/>
      <c r="AJ110" s="403"/>
      <c r="AK110" s="404"/>
      <c r="AL110" s="404"/>
      <c r="AM110" s="404"/>
      <c r="AN110" s="405"/>
      <c r="AO110" s="406"/>
      <c r="AP110" s="404"/>
      <c r="AQ110" s="404"/>
      <c r="AR110" s="407"/>
      <c r="AS110" s="403"/>
      <c r="AT110" s="404"/>
      <c r="AU110" s="404"/>
      <c r="AV110" s="405"/>
      <c r="AW110" s="406"/>
      <c r="AX110" s="404"/>
      <c r="AY110" s="404"/>
      <c r="AZ110" s="404"/>
      <c r="BA110" s="407"/>
      <c r="BB110" s="403"/>
      <c r="BC110" s="404"/>
      <c r="BD110" s="404"/>
      <c r="BE110" s="405"/>
      <c r="BF110" s="406"/>
      <c r="BG110" s="404"/>
      <c r="BH110" s="404"/>
      <c r="BI110" s="404"/>
      <c r="BJ110" s="404"/>
      <c r="BK110" s="404"/>
      <c r="BL110" s="404"/>
      <c r="BM110" s="404"/>
      <c r="BN110" s="404"/>
      <c r="BO110" s="404"/>
      <c r="BP110" s="404"/>
      <c r="BQ110" s="404"/>
      <c r="BR110" s="404"/>
      <c r="BS110" s="404"/>
      <c r="BT110" s="404"/>
      <c r="BU110" s="404"/>
      <c r="BV110" s="404"/>
      <c r="BW110" s="404"/>
      <c r="BX110" s="404"/>
      <c r="BY110" s="404"/>
      <c r="BZ110" s="404"/>
      <c r="CA110" s="404"/>
      <c r="CB110" s="404"/>
      <c r="CC110" s="404"/>
      <c r="CD110" s="404"/>
      <c r="CE110" s="404"/>
      <c r="CF110" s="404"/>
      <c r="CG110" s="404"/>
      <c r="CH110" s="404"/>
      <c r="CI110" s="404"/>
      <c r="CJ110" s="404"/>
      <c r="CK110" s="404"/>
      <c r="CL110" s="404"/>
      <c r="CM110" s="404"/>
      <c r="CN110" s="404"/>
      <c r="CO110" s="404"/>
      <c r="CP110" s="404"/>
      <c r="CQ110" s="404"/>
      <c r="CR110" s="404"/>
      <c r="CS110" s="404"/>
      <c r="CT110" s="404"/>
      <c r="CU110" s="404"/>
      <c r="CV110" s="404"/>
      <c r="CW110" s="404"/>
      <c r="CX110" s="404"/>
      <c r="CY110" s="404"/>
      <c r="CZ110" s="404"/>
      <c r="DA110" s="404"/>
      <c r="DB110" s="404"/>
      <c r="DC110" s="407"/>
    </row>
    <row r="111" customFormat="false" ht="24.45" hidden="false" customHeight="false" outlineLevel="0" collapsed="false">
      <c r="A111" s="450"/>
      <c r="B111" s="399" t="s">
        <v>608</v>
      </c>
      <c r="C111" s="382" t="n">
        <v>2.5</v>
      </c>
      <c r="D111" s="445"/>
      <c r="E111" s="407"/>
      <c r="F111" s="406"/>
      <c r="G111" s="404"/>
      <c r="H111" s="404"/>
      <c r="I111" s="407"/>
      <c r="J111" s="403"/>
      <c r="K111" s="404"/>
      <c r="L111" s="404"/>
      <c r="M111" s="404"/>
      <c r="N111" s="405"/>
      <c r="O111" s="406"/>
      <c r="P111" s="404"/>
      <c r="Q111" s="404"/>
      <c r="R111" s="407"/>
      <c r="S111" s="408"/>
      <c r="T111" s="423"/>
      <c r="U111" s="447"/>
      <c r="V111" s="454"/>
      <c r="W111" s="449"/>
      <c r="X111" s="447"/>
      <c r="Y111" s="447"/>
      <c r="Z111" s="455"/>
      <c r="AA111" s="403"/>
      <c r="AB111" s="404"/>
      <c r="AC111" s="404"/>
      <c r="AD111" s="404"/>
      <c r="AE111" s="405"/>
      <c r="AF111" s="458"/>
      <c r="AG111" s="404"/>
      <c r="AH111" s="404"/>
      <c r="AI111" s="407"/>
      <c r="AJ111" s="403"/>
      <c r="AK111" s="404"/>
      <c r="AL111" s="404"/>
      <c r="AM111" s="404"/>
      <c r="AN111" s="405"/>
      <c r="AO111" s="406"/>
      <c r="AP111" s="404"/>
      <c r="AQ111" s="404"/>
      <c r="AR111" s="407"/>
      <c r="AS111" s="403"/>
      <c r="AT111" s="404"/>
      <c r="AU111" s="404"/>
      <c r="AV111" s="405"/>
      <c r="AW111" s="406"/>
      <c r="AX111" s="404"/>
      <c r="AY111" s="404"/>
      <c r="AZ111" s="404"/>
      <c r="BA111" s="407"/>
      <c r="BB111" s="403"/>
      <c r="BC111" s="404"/>
      <c r="BD111" s="404"/>
      <c r="BE111" s="405"/>
      <c r="BF111" s="406"/>
      <c r="BG111" s="404"/>
      <c r="BH111" s="404"/>
      <c r="BI111" s="404"/>
      <c r="BJ111" s="404"/>
      <c r="BK111" s="404"/>
      <c r="BL111" s="404"/>
      <c r="BM111" s="404"/>
      <c r="BN111" s="404"/>
      <c r="BO111" s="404"/>
      <c r="BP111" s="404"/>
      <c r="BQ111" s="404"/>
      <c r="BR111" s="404"/>
      <c r="BS111" s="404"/>
      <c r="BT111" s="404"/>
      <c r="BU111" s="404"/>
      <c r="BV111" s="404"/>
      <c r="BW111" s="404"/>
      <c r="BX111" s="404"/>
      <c r="BY111" s="404"/>
      <c r="BZ111" s="404"/>
      <c r="CA111" s="404"/>
      <c r="CB111" s="404"/>
      <c r="CC111" s="404"/>
      <c r="CD111" s="404"/>
      <c r="CE111" s="404"/>
      <c r="CF111" s="404"/>
      <c r="CG111" s="404"/>
      <c r="CH111" s="404"/>
      <c r="CI111" s="404"/>
      <c r="CJ111" s="404"/>
      <c r="CK111" s="404"/>
      <c r="CL111" s="404"/>
      <c r="CM111" s="404"/>
      <c r="CN111" s="404"/>
      <c r="CO111" s="404"/>
      <c r="CP111" s="404"/>
      <c r="CQ111" s="404"/>
      <c r="CR111" s="404"/>
      <c r="CS111" s="404"/>
      <c r="CT111" s="404"/>
      <c r="CU111" s="404"/>
      <c r="CV111" s="404"/>
      <c r="CW111" s="404"/>
      <c r="CX111" s="404"/>
      <c r="CY111" s="404"/>
      <c r="CZ111" s="404"/>
      <c r="DA111" s="404"/>
      <c r="DB111" s="404"/>
      <c r="DC111" s="407"/>
    </row>
    <row r="112" customFormat="false" ht="24.45" hidden="false" customHeight="false" outlineLevel="0" collapsed="false">
      <c r="A112" s="450"/>
      <c r="B112" s="399" t="s">
        <v>608</v>
      </c>
      <c r="C112" s="382" t="n">
        <v>2.5</v>
      </c>
      <c r="D112" s="445"/>
      <c r="E112" s="407"/>
      <c r="F112" s="406"/>
      <c r="G112" s="404"/>
      <c r="H112" s="404"/>
      <c r="I112" s="407"/>
      <c r="J112" s="403"/>
      <c r="K112" s="404"/>
      <c r="L112" s="404"/>
      <c r="M112" s="404"/>
      <c r="N112" s="405"/>
      <c r="O112" s="406"/>
      <c r="P112" s="404"/>
      <c r="Q112" s="404"/>
      <c r="R112" s="407"/>
      <c r="S112" s="408"/>
      <c r="T112" s="423"/>
      <c r="U112" s="447"/>
      <c r="V112" s="454"/>
      <c r="W112" s="449"/>
      <c r="X112" s="447"/>
      <c r="Y112" s="447"/>
      <c r="Z112" s="455"/>
      <c r="AA112" s="403"/>
      <c r="AB112" s="404"/>
      <c r="AC112" s="404"/>
      <c r="AD112" s="404"/>
      <c r="AE112" s="405"/>
      <c r="AF112" s="458"/>
      <c r="AG112" s="404"/>
      <c r="AH112" s="404"/>
      <c r="AI112" s="407"/>
      <c r="AJ112" s="403"/>
      <c r="AK112" s="404"/>
      <c r="AL112" s="404"/>
      <c r="AM112" s="404"/>
      <c r="AN112" s="405"/>
      <c r="AO112" s="406"/>
      <c r="AP112" s="404"/>
      <c r="AQ112" s="404"/>
      <c r="AR112" s="407"/>
      <c r="AS112" s="403"/>
      <c r="AT112" s="404"/>
      <c r="AU112" s="404"/>
      <c r="AV112" s="405"/>
      <c r="AW112" s="406"/>
      <c r="AX112" s="404"/>
      <c r="AY112" s="404"/>
      <c r="AZ112" s="404"/>
      <c r="BA112" s="407"/>
      <c r="BB112" s="403"/>
      <c r="BC112" s="404"/>
      <c r="BD112" s="404"/>
      <c r="BE112" s="405"/>
      <c r="BF112" s="406"/>
      <c r="BG112" s="404"/>
      <c r="BH112" s="404"/>
      <c r="BI112" s="404"/>
      <c r="BJ112" s="404"/>
      <c r="BK112" s="404"/>
      <c r="BL112" s="404"/>
      <c r="BM112" s="404"/>
      <c r="BN112" s="404"/>
      <c r="BO112" s="404"/>
      <c r="BP112" s="404"/>
      <c r="BQ112" s="404"/>
      <c r="BR112" s="404"/>
      <c r="BS112" s="404"/>
      <c r="BT112" s="404"/>
      <c r="BU112" s="404"/>
      <c r="BV112" s="404"/>
      <c r="BW112" s="404"/>
      <c r="BX112" s="404"/>
      <c r="BY112" s="404"/>
      <c r="BZ112" s="404"/>
      <c r="CA112" s="404"/>
      <c r="CB112" s="404"/>
      <c r="CC112" s="404"/>
      <c r="CD112" s="404"/>
      <c r="CE112" s="404"/>
      <c r="CF112" s="404"/>
      <c r="CG112" s="404"/>
      <c r="CH112" s="404"/>
      <c r="CI112" s="404"/>
      <c r="CJ112" s="404"/>
      <c r="CK112" s="404"/>
      <c r="CL112" s="404"/>
      <c r="CM112" s="404"/>
      <c r="CN112" s="404"/>
      <c r="CO112" s="404"/>
      <c r="CP112" s="404"/>
      <c r="CQ112" s="404"/>
      <c r="CR112" s="404"/>
      <c r="CS112" s="404"/>
      <c r="CT112" s="404"/>
      <c r="CU112" s="404"/>
      <c r="CV112" s="404"/>
      <c r="CW112" s="404"/>
      <c r="CX112" s="404"/>
      <c r="CY112" s="404"/>
      <c r="CZ112" s="404"/>
      <c r="DA112" s="404"/>
      <c r="DB112" s="404"/>
      <c r="DC112" s="407"/>
    </row>
    <row r="113" customFormat="false" ht="24.45" hidden="false" customHeight="false" outlineLevel="0" collapsed="false">
      <c r="A113" s="450"/>
      <c r="B113" s="399" t="s">
        <v>608</v>
      </c>
      <c r="C113" s="382" t="n">
        <v>2.5</v>
      </c>
      <c r="D113" s="445"/>
      <c r="E113" s="407"/>
      <c r="F113" s="406"/>
      <c r="G113" s="404"/>
      <c r="H113" s="404"/>
      <c r="I113" s="407"/>
      <c r="J113" s="403"/>
      <c r="K113" s="404"/>
      <c r="L113" s="404"/>
      <c r="M113" s="404"/>
      <c r="N113" s="405"/>
      <c r="O113" s="406"/>
      <c r="P113" s="404"/>
      <c r="Q113" s="404"/>
      <c r="R113" s="407"/>
      <c r="S113" s="408"/>
      <c r="T113" s="423"/>
      <c r="U113" s="447"/>
      <c r="V113" s="454"/>
      <c r="W113" s="449"/>
      <c r="X113" s="447"/>
      <c r="Y113" s="447"/>
      <c r="Z113" s="455"/>
      <c r="AA113" s="403"/>
      <c r="AB113" s="404"/>
      <c r="AC113" s="404"/>
      <c r="AD113" s="404"/>
      <c r="AE113" s="405"/>
      <c r="AF113" s="458"/>
      <c r="AG113" s="404"/>
      <c r="AH113" s="404"/>
      <c r="AI113" s="407"/>
      <c r="AJ113" s="403"/>
      <c r="AK113" s="404"/>
      <c r="AL113" s="404"/>
      <c r="AM113" s="404"/>
      <c r="AN113" s="405"/>
      <c r="AO113" s="406"/>
      <c r="AP113" s="404"/>
      <c r="AQ113" s="404"/>
      <c r="AR113" s="407"/>
      <c r="AS113" s="403"/>
      <c r="AT113" s="404"/>
      <c r="AU113" s="404"/>
      <c r="AV113" s="405"/>
      <c r="AW113" s="406"/>
      <c r="AX113" s="404"/>
      <c r="AY113" s="404"/>
      <c r="AZ113" s="404"/>
      <c r="BA113" s="407"/>
      <c r="BB113" s="403"/>
      <c r="BC113" s="404"/>
      <c r="BD113" s="404"/>
      <c r="BE113" s="405"/>
      <c r="BF113" s="406"/>
      <c r="BG113" s="404"/>
      <c r="BH113" s="404"/>
      <c r="BI113" s="404"/>
      <c r="BJ113" s="404"/>
      <c r="BK113" s="404"/>
      <c r="BL113" s="404"/>
      <c r="BM113" s="404"/>
      <c r="BN113" s="404"/>
      <c r="BO113" s="404"/>
      <c r="BP113" s="404"/>
      <c r="BQ113" s="404"/>
      <c r="BR113" s="404"/>
      <c r="BS113" s="404"/>
      <c r="BT113" s="404"/>
      <c r="BU113" s="404"/>
      <c r="BV113" s="404"/>
      <c r="BW113" s="404"/>
      <c r="BX113" s="404"/>
      <c r="BY113" s="404"/>
      <c r="BZ113" s="404"/>
      <c r="CA113" s="404"/>
      <c r="CB113" s="404"/>
      <c r="CC113" s="404"/>
      <c r="CD113" s="404"/>
      <c r="CE113" s="404"/>
      <c r="CF113" s="404"/>
      <c r="CG113" s="404"/>
      <c r="CH113" s="404"/>
      <c r="CI113" s="404"/>
      <c r="CJ113" s="404"/>
      <c r="CK113" s="404"/>
      <c r="CL113" s="404"/>
      <c r="CM113" s="404"/>
      <c r="CN113" s="404"/>
      <c r="CO113" s="404"/>
      <c r="CP113" s="404"/>
      <c r="CQ113" s="404"/>
      <c r="CR113" s="404"/>
      <c r="CS113" s="404"/>
      <c r="CT113" s="404"/>
      <c r="CU113" s="404"/>
      <c r="CV113" s="404"/>
      <c r="CW113" s="404"/>
      <c r="CX113" s="404"/>
      <c r="CY113" s="404"/>
      <c r="CZ113" s="404"/>
      <c r="DA113" s="404"/>
      <c r="DB113" s="404"/>
      <c r="DC113" s="407"/>
    </row>
    <row r="114" customFormat="false" ht="24.45" hidden="false" customHeight="false" outlineLevel="0" collapsed="false">
      <c r="A114" s="450"/>
      <c r="B114" s="399" t="s">
        <v>608</v>
      </c>
      <c r="C114" s="382" t="n">
        <v>2.5</v>
      </c>
      <c r="D114" s="445"/>
      <c r="E114" s="407"/>
      <c r="F114" s="406"/>
      <c r="G114" s="404"/>
      <c r="H114" s="404"/>
      <c r="I114" s="407"/>
      <c r="J114" s="403"/>
      <c r="K114" s="404"/>
      <c r="L114" s="404"/>
      <c r="M114" s="404"/>
      <c r="N114" s="405"/>
      <c r="O114" s="406"/>
      <c r="P114" s="404"/>
      <c r="Q114" s="404"/>
      <c r="R114" s="407"/>
      <c r="S114" s="408"/>
      <c r="T114" s="423"/>
      <c r="U114" s="447"/>
      <c r="V114" s="454"/>
      <c r="W114" s="449"/>
      <c r="X114" s="447"/>
      <c r="Y114" s="447"/>
      <c r="Z114" s="455"/>
      <c r="AA114" s="403"/>
      <c r="AB114" s="404"/>
      <c r="AC114" s="404"/>
      <c r="AD114" s="404"/>
      <c r="AE114" s="405"/>
      <c r="AF114" s="458"/>
      <c r="AG114" s="404"/>
      <c r="AH114" s="404"/>
      <c r="AI114" s="407"/>
      <c r="AJ114" s="403"/>
      <c r="AK114" s="404"/>
      <c r="AL114" s="404"/>
      <c r="AM114" s="404"/>
      <c r="AN114" s="405"/>
      <c r="AO114" s="406"/>
      <c r="AP114" s="404"/>
      <c r="AQ114" s="404"/>
      <c r="AR114" s="407"/>
      <c r="AS114" s="403"/>
      <c r="AT114" s="404"/>
      <c r="AU114" s="404"/>
      <c r="AV114" s="405"/>
      <c r="AW114" s="406"/>
      <c r="AX114" s="404"/>
      <c r="AY114" s="404"/>
      <c r="AZ114" s="404"/>
      <c r="BA114" s="407"/>
      <c r="BB114" s="403"/>
      <c r="BC114" s="404"/>
      <c r="BD114" s="404"/>
      <c r="BE114" s="405"/>
      <c r="BF114" s="406"/>
      <c r="BG114" s="404"/>
      <c r="BH114" s="404"/>
      <c r="BI114" s="404"/>
      <c r="BJ114" s="404"/>
      <c r="BK114" s="404"/>
      <c r="BL114" s="404"/>
      <c r="BM114" s="404"/>
      <c r="BN114" s="404"/>
      <c r="BO114" s="404"/>
      <c r="BP114" s="404"/>
      <c r="BQ114" s="404"/>
      <c r="BR114" s="404"/>
      <c r="BS114" s="404"/>
      <c r="BT114" s="404"/>
      <c r="BU114" s="404"/>
      <c r="BV114" s="404"/>
      <c r="BW114" s="404"/>
      <c r="BX114" s="404"/>
      <c r="BY114" s="404"/>
      <c r="BZ114" s="404"/>
      <c r="CA114" s="404"/>
      <c r="CB114" s="404"/>
      <c r="CC114" s="404"/>
      <c r="CD114" s="404"/>
      <c r="CE114" s="404"/>
      <c r="CF114" s="404"/>
      <c r="CG114" s="404"/>
      <c r="CH114" s="404"/>
      <c r="CI114" s="404"/>
      <c r="CJ114" s="404"/>
      <c r="CK114" s="404"/>
      <c r="CL114" s="404"/>
      <c r="CM114" s="404"/>
      <c r="CN114" s="404"/>
      <c r="CO114" s="404"/>
      <c r="CP114" s="404"/>
      <c r="CQ114" s="404"/>
      <c r="CR114" s="404"/>
      <c r="CS114" s="404"/>
      <c r="CT114" s="404"/>
      <c r="CU114" s="404"/>
      <c r="CV114" s="404"/>
      <c r="CW114" s="404"/>
      <c r="CX114" s="404"/>
      <c r="CY114" s="404"/>
      <c r="CZ114" s="404"/>
      <c r="DA114" s="404"/>
      <c r="DB114" s="404"/>
      <c r="DC114" s="407"/>
    </row>
    <row r="115" customFormat="false" ht="24.45" hidden="false" customHeight="false" outlineLevel="0" collapsed="false">
      <c r="A115" s="450"/>
      <c r="B115" s="399" t="s">
        <v>608</v>
      </c>
      <c r="C115" s="382" t="n">
        <v>2.5</v>
      </c>
      <c r="D115" s="445"/>
      <c r="E115" s="407"/>
      <c r="F115" s="406"/>
      <c r="G115" s="404"/>
      <c r="H115" s="404"/>
      <c r="I115" s="407"/>
      <c r="J115" s="403"/>
      <c r="K115" s="404"/>
      <c r="L115" s="404"/>
      <c r="M115" s="404"/>
      <c r="N115" s="405"/>
      <c r="O115" s="406"/>
      <c r="P115" s="404"/>
      <c r="Q115" s="404"/>
      <c r="R115" s="407"/>
      <c r="S115" s="408"/>
      <c r="T115" s="423"/>
      <c r="U115" s="447"/>
      <c r="V115" s="454"/>
      <c r="W115" s="449"/>
      <c r="X115" s="447"/>
      <c r="Y115" s="447"/>
      <c r="Z115" s="455"/>
      <c r="AA115" s="403"/>
      <c r="AB115" s="404"/>
      <c r="AC115" s="404"/>
      <c r="AD115" s="404"/>
      <c r="AE115" s="405"/>
      <c r="AF115" s="458"/>
      <c r="AG115" s="404"/>
      <c r="AH115" s="404"/>
      <c r="AI115" s="407"/>
      <c r="AJ115" s="403"/>
      <c r="AK115" s="404"/>
      <c r="AL115" s="404"/>
      <c r="AM115" s="404"/>
      <c r="AN115" s="405"/>
      <c r="AO115" s="406"/>
      <c r="AP115" s="404"/>
      <c r="AQ115" s="404"/>
      <c r="AR115" s="407"/>
      <c r="AS115" s="403"/>
      <c r="AT115" s="404"/>
      <c r="AU115" s="404"/>
      <c r="AV115" s="405"/>
      <c r="AW115" s="406"/>
      <c r="AX115" s="404"/>
      <c r="AY115" s="404"/>
      <c r="AZ115" s="404"/>
      <c r="BA115" s="407"/>
      <c r="BB115" s="403"/>
      <c r="BC115" s="404"/>
      <c r="BD115" s="404"/>
      <c r="BE115" s="405"/>
      <c r="BF115" s="406"/>
      <c r="BG115" s="404"/>
      <c r="BH115" s="404"/>
      <c r="BI115" s="404"/>
      <c r="BJ115" s="404"/>
      <c r="BK115" s="404"/>
      <c r="BL115" s="404"/>
      <c r="BM115" s="404"/>
      <c r="BN115" s="404"/>
      <c r="BO115" s="404"/>
      <c r="BP115" s="404"/>
      <c r="BQ115" s="404"/>
      <c r="BR115" s="404"/>
      <c r="BS115" s="404"/>
      <c r="BT115" s="404"/>
      <c r="BU115" s="404"/>
      <c r="BV115" s="404"/>
      <c r="BW115" s="404"/>
      <c r="BX115" s="404"/>
      <c r="BY115" s="404"/>
      <c r="BZ115" s="404"/>
      <c r="CA115" s="404"/>
      <c r="CB115" s="404"/>
      <c r="CC115" s="404"/>
      <c r="CD115" s="404"/>
      <c r="CE115" s="404"/>
      <c r="CF115" s="404"/>
      <c r="CG115" s="404"/>
      <c r="CH115" s="404"/>
      <c r="CI115" s="404"/>
      <c r="CJ115" s="404"/>
      <c r="CK115" s="404"/>
      <c r="CL115" s="404"/>
      <c r="CM115" s="404"/>
      <c r="CN115" s="404"/>
      <c r="CO115" s="404"/>
      <c r="CP115" s="404"/>
      <c r="CQ115" s="404"/>
      <c r="CR115" s="404"/>
      <c r="CS115" s="404"/>
      <c r="CT115" s="404"/>
      <c r="CU115" s="404"/>
      <c r="CV115" s="404"/>
      <c r="CW115" s="404"/>
      <c r="CX115" s="404"/>
      <c r="CY115" s="404"/>
      <c r="CZ115" s="404"/>
      <c r="DA115" s="404"/>
      <c r="DB115" s="404"/>
      <c r="DC115" s="407"/>
    </row>
    <row r="116" customFormat="false" ht="24.45" hidden="false" customHeight="false" outlineLevel="0" collapsed="false">
      <c r="A116" s="450"/>
      <c r="B116" s="399" t="s">
        <v>608</v>
      </c>
      <c r="C116" s="382" t="n">
        <v>2.5</v>
      </c>
      <c r="D116" s="445"/>
      <c r="E116" s="407"/>
      <c r="F116" s="406"/>
      <c r="G116" s="404"/>
      <c r="H116" s="404"/>
      <c r="I116" s="407"/>
      <c r="J116" s="403"/>
      <c r="K116" s="404"/>
      <c r="L116" s="404"/>
      <c r="M116" s="404"/>
      <c r="N116" s="405"/>
      <c r="O116" s="406"/>
      <c r="P116" s="404"/>
      <c r="Q116" s="404"/>
      <c r="R116" s="407"/>
      <c r="S116" s="408"/>
      <c r="T116" s="423"/>
      <c r="U116" s="447"/>
      <c r="V116" s="454"/>
      <c r="W116" s="449"/>
      <c r="X116" s="447"/>
      <c r="Y116" s="447"/>
      <c r="Z116" s="455"/>
      <c r="AA116" s="403"/>
      <c r="AB116" s="404"/>
      <c r="AC116" s="404"/>
      <c r="AD116" s="404"/>
      <c r="AE116" s="405"/>
      <c r="AF116" s="458"/>
      <c r="AG116" s="404"/>
      <c r="AH116" s="404"/>
      <c r="AI116" s="407"/>
      <c r="AJ116" s="403"/>
      <c r="AK116" s="404"/>
      <c r="AL116" s="404"/>
      <c r="AM116" s="404"/>
      <c r="AN116" s="405"/>
      <c r="AO116" s="406"/>
      <c r="AP116" s="404"/>
      <c r="AQ116" s="404"/>
      <c r="AR116" s="407"/>
      <c r="AS116" s="403"/>
      <c r="AT116" s="404"/>
      <c r="AU116" s="404"/>
      <c r="AV116" s="405"/>
      <c r="AW116" s="406"/>
      <c r="AX116" s="404"/>
      <c r="AY116" s="404"/>
      <c r="AZ116" s="404"/>
      <c r="BA116" s="407"/>
      <c r="BB116" s="403"/>
      <c r="BC116" s="404"/>
      <c r="BD116" s="404"/>
      <c r="BE116" s="405"/>
      <c r="BF116" s="406"/>
      <c r="BG116" s="404"/>
      <c r="BH116" s="404"/>
      <c r="BI116" s="404"/>
      <c r="BJ116" s="404"/>
      <c r="BK116" s="404"/>
      <c r="BL116" s="404"/>
      <c r="BM116" s="404"/>
      <c r="BN116" s="404"/>
      <c r="BO116" s="404"/>
      <c r="BP116" s="404"/>
      <c r="BQ116" s="404"/>
      <c r="BR116" s="404"/>
      <c r="BS116" s="404"/>
      <c r="BT116" s="404"/>
      <c r="BU116" s="404"/>
      <c r="BV116" s="404"/>
      <c r="BW116" s="404"/>
      <c r="BX116" s="404"/>
      <c r="BY116" s="404"/>
      <c r="BZ116" s="404"/>
      <c r="CA116" s="404"/>
      <c r="CB116" s="404"/>
      <c r="CC116" s="404"/>
      <c r="CD116" s="404"/>
      <c r="CE116" s="404"/>
      <c r="CF116" s="404"/>
      <c r="CG116" s="404"/>
      <c r="CH116" s="404"/>
      <c r="CI116" s="404"/>
      <c r="CJ116" s="404"/>
      <c r="CK116" s="404"/>
      <c r="CL116" s="404"/>
      <c r="CM116" s="404"/>
      <c r="CN116" s="404"/>
      <c r="CO116" s="404"/>
      <c r="CP116" s="404"/>
      <c r="CQ116" s="404"/>
      <c r="CR116" s="404"/>
      <c r="CS116" s="404"/>
      <c r="CT116" s="404"/>
      <c r="CU116" s="404"/>
      <c r="CV116" s="404"/>
      <c r="CW116" s="404"/>
      <c r="CX116" s="404"/>
      <c r="CY116" s="404"/>
      <c r="CZ116" s="404"/>
      <c r="DA116" s="404"/>
      <c r="DB116" s="404"/>
      <c r="DC116" s="407"/>
    </row>
    <row r="117" customFormat="false" ht="24.45" hidden="false" customHeight="false" outlineLevel="0" collapsed="false">
      <c r="A117" s="450"/>
      <c r="B117" s="399" t="s">
        <v>608</v>
      </c>
      <c r="C117" s="382" t="n">
        <v>2.5</v>
      </c>
      <c r="D117" s="445"/>
      <c r="E117" s="407"/>
      <c r="F117" s="406"/>
      <c r="G117" s="404"/>
      <c r="H117" s="404"/>
      <c r="I117" s="407"/>
      <c r="J117" s="403"/>
      <c r="K117" s="404"/>
      <c r="L117" s="404"/>
      <c r="M117" s="404"/>
      <c r="N117" s="405"/>
      <c r="O117" s="406"/>
      <c r="P117" s="404"/>
      <c r="Q117" s="404"/>
      <c r="R117" s="407"/>
      <c r="S117" s="408"/>
      <c r="T117" s="423"/>
      <c r="U117" s="447"/>
      <c r="V117" s="454"/>
      <c r="W117" s="449"/>
      <c r="X117" s="447"/>
      <c r="Y117" s="447"/>
      <c r="Z117" s="455"/>
      <c r="AA117" s="403"/>
      <c r="AB117" s="404"/>
      <c r="AC117" s="404"/>
      <c r="AD117" s="404"/>
      <c r="AE117" s="405"/>
      <c r="AF117" s="458"/>
      <c r="AG117" s="404"/>
      <c r="AH117" s="404"/>
      <c r="AI117" s="407"/>
      <c r="AJ117" s="403"/>
      <c r="AK117" s="404"/>
      <c r="AL117" s="404"/>
      <c r="AM117" s="404"/>
      <c r="AN117" s="405"/>
      <c r="AO117" s="406"/>
      <c r="AP117" s="404"/>
      <c r="AQ117" s="404"/>
      <c r="AR117" s="407"/>
      <c r="AS117" s="403"/>
      <c r="AT117" s="404"/>
      <c r="AU117" s="404"/>
      <c r="AV117" s="405"/>
      <c r="AW117" s="406"/>
      <c r="AX117" s="404"/>
      <c r="AY117" s="404"/>
      <c r="AZ117" s="404"/>
      <c r="BA117" s="407"/>
      <c r="BB117" s="403"/>
      <c r="BC117" s="404"/>
      <c r="BD117" s="404"/>
      <c r="BE117" s="405"/>
      <c r="BF117" s="406"/>
      <c r="BG117" s="404"/>
      <c r="BH117" s="404"/>
      <c r="BI117" s="404"/>
      <c r="BJ117" s="404"/>
      <c r="BK117" s="404"/>
      <c r="BL117" s="404"/>
      <c r="BM117" s="404"/>
      <c r="BN117" s="404"/>
      <c r="BO117" s="404"/>
      <c r="BP117" s="404"/>
      <c r="BQ117" s="404"/>
      <c r="BR117" s="404"/>
      <c r="BS117" s="404"/>
      <c r="BT117" s="404"/>
      <c r="BU117" s="404"/>
      <c r="BV117" s="404"/>
      <c r="BW117" s="404"/>
      <c r="BX117" s="404"/>
      <c r="BY117" s="404"/>
      <c r="BZ117" s="404"/>
      <c r="CA117" s="404"/>
      <c r="CB117" s="404"/>
      <c r="CC117" s="404"/>
      <c r="CD117" s="404"/>
      <c r="CE117" s="404"/>
      <c r="CF117" s="404"/>
      <c r="CG117" s="404"/>
      <c r="CH117" s="404"/>
      <c r="CI117" s="404"/>
      <c r="CJ117" s="404"/>
      <c r="CK117" s="404"/>
      <c r="CL117" s="404"/>
      <c r="CM117" s="404"/>
      <c r="CN117" s="404"/>
      <c r="CO117" s="404"/>
      <c r="CP117" s="404"/>
      <c r="CQ117" s="404"/>
      <c r="CR117" s="404"/>
      <c r="CS117" s="404"/>
      <c r="CT117" s="404"/>
      <c r="CU117" s="404"/>
      <c r="CV117" s="404"/>
      <c r="CW117" s="404"/>
      <c r="CX117" s="404"/>
      <c r="CY117" s="404"/>
      <c r="CZ117" s="404"/>
      <c r="DA117" s="404"/>
      <c r="DB117" s="404"/>
      <c r="DC117" s="407"/>
    </row>
    <row r="118" customFormat="false" ht="24.45" hidden="false" customHeight="false" outlineLevel="0" collapsed="false">
      <c r="A118" s="450"/>
      <c r="B118" s="399" t="s">
        <v>608</v>
      </c>
      <c r="C118" s="382" t="n">
        <v>2.5</v>
      </c>
      <c r="D118" s="445"/>
      <c r="E118" s="407"/>
      <c r="F118" s="406"/>
      <c r="G118" s="404"/>
      <c r="H118" s="404"/>
      <c r="I118" s="407"/>
      <c r="J118" s="403"/>
      <c r="K118" s="404"/>
      <c r="L118" s="404"/>
      <c r="M118" s="404"/>
      <c r="N118" s="405"/>
      <c r="O118" s="406"/>
      <c r="P118" s="404"/>
      <c r="Q118" s="404"/>
      <c r="R118" s="407"/>
      <c r="S118" s="408"/>
      <c r="T118" s="423"/>
      <c r="U118" s="447"/>
      <c r="V118" s="454"/>
      <c r="W118" s="449"/>
      <c r="X118" s="447"/>
      <c r="Y118" s="447"/>
      <c r="Z118" s="455"/>
      <c r="AA118" s="403"/>
      <c r="AB118" s="404"/>
      <c r="AC118" s="404"/>
      <c r="AD118" s="404"/>
      <c r="AE118" s="405"/>
      <c r="AF118" s="458"/>
      <c r="AG118" s="404"/>
      <c r="AH118" s="404"/>
      <c r="AI118" s="407"/>
      <c r="AJ118" s="403"/>
      <c r="AK118" s="404"/>
      <c r="AL118" s="404"/>
      <c r="AM118" s="404"/>
      <c r="AN118" s="405"/>
      <c r="AO118" s="406"/>
      <c r="AP118" s="404"/>
      <c r="AQ118" s="404"/>
      <c r="AR118" s="407"/>
      <c r="AS118" s="403"/>
      <c r="AT118" s="404"/>
      <c r="AU118" s="404"/>
      <c r="AV118" s="405"/>
      <c r="AW118" s="406"/>
      <c r="AX118" s="404"/>
      <c r="AY118" s="404"/>
      <c r="AZ118" s="404"/>
      <c r="BA118" s="407"/>
      <c r="BB118" s="403"/>
      <c r="BC118" s="404"/>
      <c r="BD118" s="404"/>
      <c r="BE118" s="405"/>
      <c r="BF118" s="406"/>
      <c r="BG118" s="404"/>
      <c r="BH118" s="404"/>
      <c r="BI118" s="404"/>
      <c r="BJ118" s="404"/>
      <c r="BK118" s="404"/>
      <c r="BL118" s="404"/>
      <c r="BM118" s="404"/>
      <c r="BN118" s="404"/>
      <c r="BO118" s="404"/>
      <c r="BP118" s="404"/>
      <c r="BQ118" s="404"/>
      <c r="BR118" s="404"/>
      <c r="BS118" s="404"/>
      <c r="BT118" s="404"/>
      <c r="BU118" s="404"/>
      <c r="BV118" s="404"/>
      <c r="BW118" s="404"/>
      <c r="BX118" s="404"/>
      <c r="BY118" s="404"/>
      <c r="BZ118" s="404"/>
      <c r="CA118" s="404"/>
      <c r="CB118" s="404"/>
      <c r="CC118" s="404"/>
      <c r="CD118" s="404"/>
      <c r="CE118" s="404"/>
      <c r="CF118" s="404"/>
      <c r="CG118" s="404"/>
      <c r="CH118" s="404"/>
      <c r="CI118" s="404"/>
      <c r="CJ118" s="404"/>
      <c r="CK118" s="404"/>
      <c r="CL118" s="404"/>
      <c r="CM118" s="404"/>
      <c r="CN118" s="404"/>
      <c r="CO118" s="404"/>
      <c r="CP118" s="404"/>
      <c r="CQ118" s="404"/>
      <c r="CR118" s="404"/>
      <c r="CS118" s="404"/>
      <c r="CT118" s="404"/>
      <c r="CU118" s="404"/>
      <c r="CV118" s="404"/>
      <c r="CW118" s="404"/>
      <c r="CX118" s="404"/>
      <c r="CY118" s="404"/>
      <c r="CZ118" s="404"/>
      <c r="DA118" s="404"/>
      <c r="DB118" s="404"/>
      <c r="DC118" s="407"/>
    </row>
    <row r="119" customFormat="false" ht="24.45" hidden="false" customHeight="false" outlineLevel="0" collapsed="false">
      <c r="A119" s="450"/>
      <c r="B119" s="399" t="s">
        <v>608</v>
      </c>
      <c r="C119" s="382" t="n">
        <v>2.5</v>
      </c>
      <c r="D119" s="445"/>
      <c r="E119" s="407"/>
      <c r="F119" s="406"/>
      <c r="G119" s="404"/>
      <c r="H119" s="404"/>
      <c r="I119" s="407"/>
      <c r="J119" s="403"/>
      <c r="K119" s="404"/>
      <c r="L119" s="404"/>
      <c r="M119" s="404"/>
      <c r="N119" s="405"/>
      <c r="O119" s="406"/>
      <c r="P119" s="404"/>
      <c r="Q119" s="404"/>
      <c r="R119" s="407"/>
      <c r="S119" s="408"/>
      <c r="T119" s="423"/>
      <c r="U119" s="447"/>
      <c r="V119" s="454"/>
      <c r="W119" s="449"/>
      <c r="X119" s="447"/>
      <c r="Y119" s="447"/>
      <c r="Z119" s="455"/>
      <c r="AA119" s="403"/>
      <c r="AB119" s="404"/>
      <c r="AC119" s="404"/>
      <c r="AD119" s="404"/>
      <c r="AE119" s="405"/>
      <c r="AF119" s="458"/>
      <c r="AG119" s="404"/>
      <c r="AH119" s="404"/>
      <c r="AI119" s="407"/>
      <c r="AJ119" s="403"/>
      <c r="AK119" s="404"/>
      <c r="AL119" s="404"/>
      <c r="AM119" s="404"/>
      <c r="AN119" s="405"/>
      <c r="AO119" s="406"/>
      <c r="AP119" s="404"/>
      <c r="AQ119" s="404"/>
      <c r="AR119" s="407"/>
      <c r="AS119" s="403"/>
      <c r="AT119" s="404"/>
      <c r="AU119" s="404"/>
      <c r="AV119" s="405"/>
      <c r="AW119" s="406"/>
      <c r="AX119" s="404"/>
      <c r="AY119" s="404"/>
      <c r="AZ119" s="404"/>
      <c r="BA119" s="407"/>
      <c r="BB119" s="403"/>
      <c r="BC119" s="404"/>
      <c r="BD119" s="404"/>
      <c r="BE119" s="405"/>
      <c r="BF119" s="406"/>
      <c r="BG119" s="404"/>
      <c r="BH119" s="404"/>
      <c r="BI119" s="404"/>
      <c r="BJ119" s="404"/>
      <c r="BK119" s="404"/>
      <c r="BL119" s="404"/>
      <c r="BM119" s="404"/>
      <c r="BN119" s="404"/>
      <c r="BO119" s="404"/>
      <c r="BP119" s="404"/>
      <c r="BQ119" s="404"/>
      <c r="BR119" s="404"/>
      <c r="BS119" s="404"/>
      <c r="BT119" s="404"/>
      <c r="BU119" s="404"/>
      <c r="BV119" s="404"/>
      <c r="BW119" s="404"/>
      <c r="BX119" s="404"/>
      <c r="BY119" s="404"/>
      <c r="BZ119" s="404"/>
      <c r="CA119" s="404"/>
      <c r="CB119" s="404"/>
      <c r="CC119" s="404"/>
      <c r="CD119" s="404"/>
      <c r="CE119" s="404"/>
      <c r="CF119" s="404"/>
      <c r="CG119" s="404"/>
      <c r="CH119" s="404"/>
      <c r="CI119" s="404"/>
      <c r="CJ119" s="404"/>
      <c r="CK119" s="404"/>
      <c r="CL119" s="404"/>
      <c r="CM119" s="404"/>
      <c r="CN119" s="404"/>
      <c r="CO119" s="404"/>
      <c r="CP119" s="404"/>
      <c r="CQ119" s="404"/>
      <c r="CR119" s="404"/>
      <c r="CS119" s="404"/>
      <c r="CT119" s="404"/>
      <c r="CU119" s="404"/>
      <c r="CV119" s="404"/>
      <c r="CW119" s="404"/>
      <c r="CX119" s="404"/>
      <c r="CY119" s="404"/>
      <c r="CZ119" s="404"/>
      <c r="DA119" s="404"/>
      <c r="DB119" s="404"/>
      <c r="DC119" s="407"/>
    </row>
    <row r="120" customFormat="false" ht="24.45" hidden="false" customHeight="false" outlineLevel="0" collapsed="false">
      <c r="A120" s="450"/>
      <c r="B120" s="399" t="s">
        <v>608</v>
      </c>
      <c r="C120" s="382" t="n">
        <v>2.5</v>
      </c>
      <c r="D120" s="445"/>
      <c r="E120" s="407"/>
      <c r="F120" s="406"/>
      <c r="G120" s="404"/>
      <c r="H120" s="404"/>
      <c r="I120" s="407"/>
      <c r="J120" s="403"/>
      <c r="K120" s="404"/>
      <c r="L120" s="404"/>
      <c r="M120" s="404"/>
      <c r="N120" s="405"/>
      <c r="O120" s="406"/>
      <c r="P120" s="404"/>
      <c r="Q120" s="404"/>
      <c r="R120" s="407"/>
      <c r="S120" s="408"/>
      <c r="T120" s="423"/>
      <c r="U120" s="447"/>
      <c r="V120" s="454"/>
      <c r="W120" s="449"/>
      <c r="X120" s="447"/>
      <c r="Y120" s="447"/>
      <c r="Z120" s="455"/>
      <c r="AA120" s="403"/>
      <c r="AB120" s="404"/>
      <c r="AC120" s="404"/>
      <c r="AD120" s="404"/>
      <c r="AE120" s="405"/>
      <c r="AF120" s="458"/>
      <c r="AG120" s="404"/>
      <c r="AH120" s="404"/>
      <c r="AI120" s="407"/>
      <c r="AJ120" s="403"/>
      <c r="AK120" s="404"/>
      <c r="AL120" s="404"/>
      <c r="AM120" s="404"/>
      <c r="AN120" s="405"/>
      <c r="AO120" s="406"/>
      <c r="AP120" s="404"/>
      <c r="AQ120" s="404"/>
      <c r="AR120" s="407"/>
      <c r="AS120" s="403"/>
      <c r="AT120" s="404"/>
      <c r="AU120" s="404"/>
      <c r="AV120" s="405"/>
      <c r="AW120" s="406"/>
      <c r="AX120" s="404"/>
      <c r="AY120" s="404"/>
      <c r="AZ120" s="404"/>
      <c r="BA120" s="407"/>
      <c r="BB120" s="403"/>
      <c r="BC120" s="404"/>
      <c r="BD120" s="404"/>
      <c r="BE120" s="405"/>
      <c r="BF120" s="406"/>
      <c r="BG120" s="404"/>
      <c r="BH120" s="404"/>
      <c r="BI120" s="404"/>
      <c r="BJ120" s="404"/>
      <c r="BK120" s="404"/>
      <c r="BL120" s="404"/>
      <c r="BM120" s="404"/>
      <c r="BN120" s="404"/>
      <c r="BO120" s="404"/>
      <c r="BP120" s="404"/>
      <c r="BQ120" s="404"/>
      <c r="BR120" s="404"/>
      <c r="BS120" s="404"/>
      <c r="BT120" s="404"/>
      <c r="BU120" s="404"/>
      <c r="BV120" s="404"/>
      <c r="BW120" s="404"/>
      <c r="BX120" s="404"/>
      <c r="BY120" s="404"/>
      <c r="BZ120" s="404"/>
      <c r="CA120" s="404"/>
      <c r="CB120" s="404"/>
      <c r="CC120" s="404"/>
      <c r="CD120" s="404"/>
      <c r="CE120" s="404"/>
      <c r="CF120" s="404"/>
      <c r="CG120" s="404"/>
      <c r="CH120" s="404"/>
      <c r="CI120" s="404"/>
      <c r="CJ120" s="404"/>
      <c r="CK120" s="404"/>
      <c r="CL120" s="404"/>
      <c r="CM120" s="404"/>
      <c r="CN120" s="404"/>
      <c r="CO120" s="404"/>
      <c r="CP120" s="404"/>
      <c r="CQ120" s="404"/>
      <c r="CR120" s="404"/>
      <c r="CS120" s="404"/>
      <c r="CT120" s="404"/>
      <c r="CU120" s="404"/>
      <c r="CV120" s="404"/>
      <c r="CW120" s="404"/>
      <c r="CX120" s="404"/>
      <c r="CY120" s="404"/>
      <c r="CZ120" s="404"/>
      <c r="DA120" s="404"/>
      <c r="DB120" s="404"/>
      <c r="DC120" s="407"/>
    </row>
    <row r="121" customFormat="false" ht="24.45" hidden="false" customHeight="false" outlineLevel="0" collapsed="false">
      <c r="A121" s="450"/>
      <c r="B121" s="399" t="s">
        <v>608</v>
      </c>
      <c r="C121" s="382" t="n">
        <v>2.5</v>
      </c>
      <c r="D121" s="445"/>
      <c r="E121" s="407"/>
      <c r="F121" s="406"/>
      <c r="G121" s="404"/>
      <c r="H121" s="404"/>
      <c r="I121" s="407"/>
      <c r="J121" s="403"/>
      <c r="K121" s="404"/>
      <c r="L121" s="404"/>
      <c r="M121" s="404"/>
      <c r="N121" s="405"/>
      <c r="O121" s="406"/>
      <c r="P121" s="404"/>
      <c r="Q121" s="404"/>
      <c r="R121" s="407"/>
      <c r="S121" s="408"/>
      <c r="T121" s="423"/>
      <c r="U121" s="447"/>
      <c r="V121" s="454"/>
      <c r="W121" s="449"/>
      <c r="X121" s="447"/>
      <c r="Y121" s="447"/>
      <c r="Z121" s="455"/>
      <c r="AA121" s="403"/>
      <c r="AB121" s="404"/>
      <c r="AC121" s="404"/>
      <c r="AD121" s="404"/>
      <c r="AE121" s="405"/>
      <c r="AF121" s="458"/>
      <c r="AG121" s="404"/>
      <c r="AH121" s="404"/>
      <c r="AI121" s="407"/>
      <c r="AJ121" s="403"/>
      <c r="AK121" s="404"/>
      <c r="AL121" s="404"/>
      <c r="AM121" s="404"/>
      <c r="AN121" s="405"/>
      <c r="AO121" s="406"/>
      <c r="AP121" s="404"/>
      <c r="AQ121" s="404"/>
      <c r="AR121" s="407"/>
      <c r="AS121" s="403"/>
      <c r="AT121" s="404"/>
      <c r="AU121" s="404"/>
      <c r="AV121" s="405"/>
      <c r="AW121" s="406"/>
      <c r="AX121" s="404"/>
      <c r="AY121" s="404"/>
      <c r="AZ121" s="404"/>
      <c r="BA121" s="407"/>
      <c r="BB121" s="403"/>
      <c r="BC121" s="404"/>
      <c r="BD121" s="404"/>
      <c r="BE121" s="405"/>
      <c r="BF121" s="406"/>
      <c r="BG121" s="404"/>
      <c r="BH121" s="404"/>
      <c r="BI121" s="404"/>
      <c r="BJ121" s="404"/>
      <c r="BK121" s="404"/>
      <c r="BL121" s="404"/>
      <c r="BM121" s="404"/>
      <c r="BN121" s="404"/>
      <c r="BO121" s="404"/>
      <c r="BP121" s="404"/>
      <c r="BQ121" s="404"/>
      <c r="BR121" s="404"/>
      <c r="BS121" s="404"/>
      <c r="BT121" s="404"/>
      <c r="BU121" s="404"/>
      <c r="BV121" s="404"/>
      <c r="BW121" s="404"/>
      <c r="BX121" s="404"/>
      <c r="BY121" s="404"/>
      <c r="BZ121" s="404"/>
      <c r="CA121" s="404"/>
      <c r="CB121" s="404"/>
      <c r="CC121" s="404"/>
      <c r="CD121" s="404"/>
      <c r="CE121" s="404"/>
      <c r="CF121" s="404"/>
      <c r="CG121" s="404"/>
      <c r="CH121" s="404"/>
      <c r="CI121" s="404"/>
      <c r="CJ121" s="404"/>
      <c r="CK121" s="404"/>
      <c r="CL121" s="404"/>
      <c r="CM121" s="404"/>
      <c r="CN121" s="404"/>
      <c r="CO121" s="404"/>
      <c r="CP121" s="404"/>
      <c r="CQ121" s="404"/>
      <c r="CR121" s="404"/>
      <c r="CS121" s="404"/>
      <c r="CT121" s="404"/>
      <c r="CU121" s="404"/>
      <c r="CV121" s="404"/>
      <c r="CW121" s="404"/>
      <c r="CX121" s="404"/>
      <c r="CY121" s="404"/>
      <c r="CZ121" s="404"/>
      <c r="DA121" s="404"/>
      <c r="DB121" s="404"/>
      <c r="DC121" s="407"/>
    </row>
    <row r="122" customFormat="false" ht="24.45" hidden="false" customHeight="false" outlineLevel="0" collapsed="false">
      <c r="A122" s="450"/>
      <c r="B122" s="399" t="s">
        <v>608</v>
      </c>
      <c r="C122" s="382" t="n">
        <v>2.5</v>
      </c>
      <c r="D122" s="445"/>
      <c r="E122" s="407"/>
      <c r="F122" s="406"/>
      <c r="G122" s="404"/>
      <c r="H122" s="404"/>
      <c r="I122" s="407"/>
      <c r="J122" s="403"/>
      <c r="K122" s="404"/>
      <c r="L122" s="404"/>
      <c r="M122" s="404"/>
      <c r="N122" s="405"/>
      <c r="O122" s="406"/>
      <c r="P122" s="404"/>
      <c r="Q122" s="404"/>
      <c r="R122" s="407"/>
      <c r="S122" s="408"/>
      <c r="T122" s="423"/>
      <c r="U122" s="447"/>
      <c r="V122" s="454"/>
      <c r="W122" s="449"/>
      <c r="X122" s="447"/>
      <c r="Y122" s="447"/>
      <c r="Z122" s="455"/>
      <c r="AA122" s="403"/>
      <c r="AB122" s="404"/>
      <c r="AC122" s="404"/>
      <c r="AD122" s="404"/>
      <c r="AE122" s="405"/>
      <c r="AF122" s="458"/>
      <c r="AG122" s="404"/>
      <c r="AH122" s="404"/>
      <c r="AI122" s="407"/>
      <c r="AJ122" s="403"/>
      <c r="AK122" s="404"/>
      <c r="AL122" s="404"/>
      <c r="AM122" s="404"/>
      <c r="AN122" s="405"/>
      <c r="AO122" s="406"/>
      <c r="AP122" s="404"/>
      <c r="AQ122" s="404"/>
      <c r="AR122" s="407"/>
      <c r="AS122" s="403"/>
      <c r="AT122" s="404"/>
      <c r="AU122" s="404"/>
      <c r="AV122" s="405"/>
      <c r="AW122" s="406"/>
      <c r="AX122" s="404"/>
      <c r="AY122" s="404"/>
      <c r="AZ122" s="404"/>
      <c r="BA122" s="407"/>
      <c r="BB122" s="403"/>
      <c r="BC122" s="404"/>
      <c r="BD122" s="404"/>
      <c r="BE122" s="405"/>
      <c r="BF122" s="406"/>
      <c r="BG122" s="404"/>
      <c r="BH122" s="404"/>
      <c r="BI122" s="404"/>
      <c r="BJ122" s="404"/>
      <c r="BK122" s="404"/>
      <c r="BL122" s="404"/>
      <c r="BM122" s="404"/>
      <c r="BN122" s="404"/>
      <c r="BO122" s="404"/>
      <c r="BP122" s="404"/>
      <c r="BQ122" s="404"/>
      <c r="BR122" s="404"/>
      <c r="BS122" s="404"/>
      <c r="BT122" s="404"/>
      <c r="BU122" s="404"/>
      <c r="BV122" s="404"/>
      <c r="BW122" s="404"/>
      <c r="BX122" s="404"/>
      <c r="BY122" s="404"/>
      <c r="BZ122" s="404"/>
      <c r="CA122" s="404"/>
      <c r="CB122" s="404"/>
      <c r="CC122" s="404"/>
      <c r="CD122" s="404"/>
      <c r="CE122" s="404"/>
      <c r="CF122" s="404"/>
      <c r="CG122" s="404"/>
      <c r="CH122" s="404"/>
      <c r="CI122" s="404"/>
      <c r="CJ122" s="404"/>
      <c r="CK122" s="404"/>
      <c r="CL122" s="404"/>
      <c r="CM122" s="404"/>
      <c r="CN122" s="404"/>
      <c r="CO122" s="404"/>
      <c r="CP122" s="404"/>
      <c r="CQ122" s="404"/>
      <c r="CR122" s="404"/>
      <c r="CS122" s="404"/>
      <c r="CT122" s="404"/>
      <c r="CU122" s="404"/>
      <c r="CV122" s="404"/>
      <c r="CW122" s="404"/>
      <c r="CX122" s="404"/>
      <c r="CY122" s="404"/>
      <c r="CZ122" s="404"/>
      <c r="DA122" s="404"/>
      <c r="DB122" s="404"/>
      <c r="DC122" s="407"/>
    </row>
    <row r="123" customFormat="false" ht="24.45" hidden="false" customHeight="false" outlineLevel="0" collapsed="false">
      <c r="A123" s="450"/>
      <c r="B123" s="399" t="s">
        <v>608</v>
      </c>
      <c r="C123" s="382" t="n">
        <v>2.5</v>
      </c>
      <c r="D123" s="445"/>
      <c r="E123" s="407"/>
      <c r="F123" s="406"/>
      <c r="G123" s="404"/>
      <c r="H123" s="404"/>
      <c r="I123" s="407"/>
      <c r="J123" s="403"/>
      <c r="K123" s="404"/>
      <c r="L123" s="404"/>
      <c r="M123" s="404"/>
      <c r="N123" s="405"/>
      <c r="O123" s="406"/>
      <c r="P123" s="404"/>
      <c r="Q123" s="404"/>
      <c r="R123" s="407"/>
      <c r="S123" s="408"/>
      <c r="T123" s="423"/>
      <c r="U123" s="447"/>
      <c r="V123" s="454"/>
      <c r="W123" s="449"/>
      <c r="X123" s="447"/>
      <c r="Y123" s="447"/>
      <c r="Z123" s="455"/>
      <c r="AA123" s="403"/>
      <c r="AB123" s="404"/>
      <c r="AC123" s="404"/>
      <c r="AD123" s="404"/>
      <c r="AE123" s="405"/>
      <c r="AF123" s="458"/>
      <c r="AG123" s="404"/>
      <c r="AH123" s="404"/>
      <c r="AI123" s="407"/>
      <c r="AJ123" s="403"/>
      <c r="AK123" s="404"/>
      <c r="AL123" s="404"/>
      <c r="AM123" s="404"/>
      <c r="AN123" s="405"/>
      <c r="AO123" s="406"/>
      <c r="AP123" s="404"/>
      <c r="AQ123" s="404"/>
      <c r="AR123" s="407"/>
      <c r="AS123" s="403"/>
      <c r="AT123" s="404"/>
      <c r="AU123" s="404"/>
      <c r="AV123" s="405"/>
      <c r="AW123" s="406"/>
      <c r="AX123" s="404"/>
      <c r="AY123" s="404"/>
      <c r="AZ123" s="404"/>
      <c r="BA123" s="407"/>
      <c r="BB123" s="403"/>
      <c r="BC123" s="404"/>
      <c r="BD123" s="404"/>
      <c r="BE123" s="405"/>
      <c r="BF123" s="406"/>
      <c r="BG123" s="404"/>
      <c r="BH123" s="404"/>
      <c r="BI123" s="404"/>
      <c r="BJ123" s="404"/>
      <c r="BK123" s="404"/>
      <c r="BL123" s="404"/>
      <c r="BM123" s="404"/>
      <c r="BN123" s="404"/>
      <c r="BO123" s="404"/>
      <c r="BP123" s="404"/>
      <c r="BQ123" s="404"/>
      <c r="BR123" s="404"/>
      <c r="BS123" s="404"/>
      <c r="BT123" s="404"/>
      <c r="BU123" s="404"/>
      <c r="BV123" s="404"/>
      <c r="BW123" s="404"/>
      <c r="BX123" s="404"/>
      <c r="BY123" s="404"/>
      <c r="BZ123" s="404"/>
      <c r="CA123" s="404"/>
      <c r="CB123" s="404"/>
      <c r="CC123" s="404"/>
      <c r="CD123" s="404"/>
      <c r="CE123" s="404"/>
      <c r="CF123" s="404"/>
      <c r="CG123" s="404"/>
      <c r="CH123" s="404"/>
      <c r="CI123" s="404"/>
      <c r="CJ123" s="404"/>
      <c r="CK123" s="404"/>
      <c r="CL123" s="404"/>
      <c r="CM123" s="404"/>
      <c r="CN123" s="404"/>
      <c r="CO123" s="404"/>
      <c r="CP123" s="404"/>
      <c r="CQ123" s="404"/>
      <c r="CR123" s="404"/>
      <c r="CS123" s="404"/>
      <c r="CT123" s="404"/>
      <c r="CU123" s="404"/>
      <c r="CV123" s="404"/>
      <c r="CW123" s="404"/>
      <c r="CX123" s="404"/>
      <c r="CY123" s="404"/>
      <c r="CZ123" s="404"/>
      <c r="DA123" s="404"/>
      <c r="DB123" s="404"/>
      <c r="DC123" s="407"/>
    </row>
    <row r="124" customFormat="false" ht="24.45" hidden="false" customHeight="false" outlineLevel="0" collapsed="false">
      <c r="A124" s="450"/>
      <c r="B124" s="399" t="s">
        <v>608</v>
      </c>
      <c r="C124" s="382" t="n">
        <v>2.5</v>
      </c>
      <c r="D124" s="445"/>
      <c r="E124" s="407"/>
      <c r="F124" s="406"/>
      <c r="G124" s="404"/>
      <c r="H124" s="404"/>
      <c r="I124" s="407"/>
      <c r="J124" s="403"/>
      <c r="K124" s="404"/>
      <c r="L124" s="404"/>
      <c r="M124" s="404"/>
      <c r="N124" s="405"/>
      <c r="O124" s="406"/>
      <c r="P124" s="404"/>
      <c r="Q124" s="404"/>
      <c r="R124" s="407"/>
      <c r="S124" s="408"/>
      <c r="T124" s="423"/>
      <c r="U124" s="447"/>
      <c r="V124" s="454"/>
      <c r="W124" s="449"/>
      <c r="X124" s="447"/>
      <c r="Y124" s="447"/>
      <c r="Z124" s="455"/>
      <c r="AA124" s="403"/>
      <c r="AB124" s="404"/>
      <c r="AC124" s="404"/>
      <c r="AD124" s="404"/>
      <c r="AE124" s="405"/>
      <c r="AF124" s="458"/>
      <c r="AG124" s="404"/>
      <c r="AH124" s="404"/>
      <c r="AI124" s="407"/>
      <c r="AJ124" s="403"/>
      <c r="AK124" s="404"/>
      <c r="AL124" s="404"/>
      <c r="AM124" s="404"/>
      <c r="AN124" s="405"/>
      <c r="AO124" s="406"/>
      <c r="AP124" s="404"/>
      <c r="AQ124" s="404"/>
      <c r="AR124" s="407"/>
      <c r="AS124" s="403"/>
      <c r="AT124" s="404"/>
      <c r="AU124" s="404"/>
      <c r="AV124" s="405"/>
      <c r="AW124" s="406"/>
      <c r="AX124" s="404"/>
      <c r="AY124" s="404"/>
      <c r="AZ124" s="404"/>
      <c r="BA124" s="407"/>
      <c r="BB124" s="403"/>
      <c r="BC124" s="404"/>
      <c r="BD124" s="404"/>
      <c r="BE124" s="405"/>
      <c r="BF124" s="406"/>
      <c r="BG124" s="404"/>
      <c r="BH124" s="404"/>
      <c r="BI124" s="404"/>
      <c r="BJ124" s="404"/>
      <c r="BK124" s="404"/>
      <c r="BL124" s="404"/>
      <c r="BM124" s="404"/>
      <c r="BN124" s="404"/>
      <c r="BO124" s="404"/>
      <c r="BP124" s="404"/>
      <c r="BQ124" s="404"/>
      <c r="BR124" s="404"/>
      <c r="BS124" s="404"/>
      <c r="BT124" s="404"/>
      <c r="BU124" s="404"/>
      <c r="BV124" s="404"/>
      <c r="BW124" s="404"/>
      <c r="BX124" s="404"/>
      <c r="BY124" s="404"/>
      <c r="BZ124" s="404"/>
      <c r="CA124" s="404"/>
      <c r="CB124" s="404"/>
      <c r="CC124" s="404"/>
      <c r="CD124" s="404"/>
      <c r="CE124" s="404"/>
      <c r="CF124" s="404"/>
      <c r="CG124" s="404"/>
      <c r="CH124" s="404"/>
      <c r="CI124" s="404"/>
      <c r="CJ124" s="404"/>
      <c r="CK124" s="404"/>
      <c r="CL124" s="404"/>
      <c r="CM124" s="404"/>
      <c r="CN124" s="404"/>
      <c r="CO124" s="404"/>
      <c r="CP124" s="404"/>
      <c r="CQ124" s="404"/>
      <c r="CR124" s="404"/>
      <c r="CS124" s="404"/>
      <c r="CT124" s="404"/>
      <c r="CU124" s="404"/>
      <c r="CV124" s="404"/>
      <c r="CW124" s="404"/>
      <c r="CX124" s="404"/>
      <c r="CY124" s="404"/>
      <c r="CZ124" s="404"/>
      <c r="DA124" s="404"/>
      <c r="DB124" s="404"/>
      <c r="DC124" s="407"/>
    </row>
    <row r="125" customFormat="false" ht="24.45" hidden="false" customHeight="false" outlineLevel="0" collapsed="false">
      <c r="A125" s="450"/>
      <c r="B125" s="399" t="s">
        <v>608</v>
      </c>
      <c r="C125" s="382" t="n">
        <v>2.5</v>
      </c>
      <c r="D125" s="445"/>
      <c r="E125" s="407"/>
      <c r="F125" s="406"/>
      <c r="G125" s="404"/>
      <c r="H125" s="404"/>
      <c r="I125" s="407"/>
      <c r="J125" s="403"/>
      <c r="K125" s="404"/>
      <c r="L125" s="404"/>
      <c r="M125" s="404"/>
      <c r="N125" s="405"/>
      <c r="O125" s="406"/>
      <c r="P125" s="404"/>
      <c r="Q125" s="404"/>
      <c r="R125" s="407"/>
      <c r="S125" s="408"/>
      <c r="T125" s="423"/>
      <c r="U125" s="447"/>
      <c r="V125" s="454"/>
      <c r="W125" s="449"/>
      <c r="X125" s="447"/>
      <c r="Y125" s="447"/>
      <c r="Z125" s="455"/>
      <c r="AA125" s="403"/>
      <c r="AB125" s="404"/>
      <c r="AC125" s="404"/>
      <c r="AD125" s="404"/>
      <c r="AE125" s="405"/>
      <c r="AF125" s="458"/>
      <c r="AG125" s="404"/>
      <c r="AH125" s="404"/>
      <c r="AI125" s="407"/>
      <c r="AJ125" s="403"/>
      <c r="AK125" s="404"/>
      <c r="AL125" s="404"/>
      <c r="AM125" s="404"/>
      <c r="AN125" s="405"/>
      <c r="AO125" s="406"/>
      <c r="AP125" s="404"/>
      <c r="AQ125" s="404"/>
      <c r="AR125" s="407"/>
      <c r="AS125" s="403"/>
      <c r="AT125" s="404"/>
      <c r="AU125" s="404"/>
      <c r="AV125" s="405"/>
      <c r="AW125" s="406"/>
      <c r="AX125" s="404"/>
      <c r="AY125" s="404"/>
      <c r="AZ125" s="404"/>
      <c r="BA125" s="407"/>
      <c r="BB125" s="403"/>
      <c r="BC125" s="404"/>
      <c r="BD125" s="404"/>
      <c r="BE125" s="405"/>
      <c r="BF125" s="406"/>
      <c r="BG125" s="404"/>
      <c r="BH125" s="404"/>
      <c r="BI125" s="404"/>
      <c r="BJ125" s="404"/>
      <c r="BK125" s="404"/>
      <c r="BL125" s="404"/>
      <c r="BM125" s="404"/>
      <c r="BN125" s="404"/>
      <c r="BO125" s="404"/>
      <c r="BP125" s="404"/>
      <c r="BQ125" s="404"/>
      <c r="BR125" s="404"/>
      <c r="BS125" s="404"/>
      <c r="BT125" s="404"/>
      <c r="BU125" s="404"/>
      <c r="BV125" s="404"/>
      <c r="BW125" s="404"/>
      <c r="BX125" s="404"/>
      <c r="BY125" s="404"/>
      <c r="BZ125" s="404"/>
      <c r="CA125" s="404"/>
      <c r="CB125" s="404"/>
      <c r="CC125" s="404"/>
      <c r="CD125" s="404"/>
      <c r="CE125" s="404"/>
      <c r="CF125" s="404"/>
      <c r="CG125" s="404"/>
      <c r="CH125" s="404"/>
      <c r="CI125" s="404"/>
      <c r="CJ125" s="404"/>
      <c r="CK125" s="404"/>
      <c r="CL125" s="404"/>
      <c r="CM125" s="404"/>
      <c r="CN125" s="404"/>
      <c r="CO125" s="404"/>
      <c r="CP125" s="404"/>
      <c r="CQ125" s="404"/>
      <c r="CR125" s="404"/>
      <c r="CS125" s="404"/>
      <c r="CT125" s="404"/>
      <c r="CU125" s="404"/>
      <c r="CV125" s="404"/>
      <c r="CW125" s="404"/>
      <c r="CX125" s="404"/>
      <c r="CY125" s="404"/>
      <c r="CZ125" s="404"/>
      <c r="DA125" s="404"/>
      <c r="DB125" s="404"/>
      <c r="DC125" s="407"/>
    </row>
    <row r="126" customFormat="false" ht="24.45" hidden="false" customHeight="false" outlineLevel="0" collapsed="false">
      <c r="A126" s="450"/>
      <c r="B126" s="399" t="s">
        <v>608</v>
      </c>
      <c r="C126" s="382" t="n">
        <v>2.5</v>
      </c>
      <c r="D126" s="445"/>
      <c r="E126" s="407"/>
      <c r="F126" s="406"/>
      <c r="G126" s="404"/>
      <c r="H126" s="404"/>
      <c r="I126" s="407"/>
      <c r="J126" s="403"/>
      <c r="K126" s="404"/>
      <c r="L126" s="404"/>
      <c r="M126" s="404"/>
      <c r="N126" s="405"/>
      <c r="O126" s="406"/>
      <c r="P126" s="404"/>
      <c r="Q126" s="404"/>
      <c r="R126" s="407"/>
      <c r="S126" s="408"/>
      <c r="T126" s="423"/>
      <c r="U126" s="447"/>
      <c r="V126" s="454"/>
      <c r="W126" s="449"/>
      <c r="X126" s="447"/>
      <c r="Y126" s="447"/>
      <c r="Z126" s="455"/>
      <c r="AA126" s="403"/>
      <c r="AB126" s="404"/>
      <c r="AC126" s="404"/>
      <c r="AD126" s="404"/>
      <c r="AE126" s="405"/>
      <c r="AF126" s="458"/>
      <c r="AG126" s="404"/>
      <c r="AH126" s="404"/>
      <c r="AI126" s="407"/>
      <c r="AJ126" s="403"/>
      <c r="AK126" s="404"/>
      <c r="AL126" s="404"/>
      <c r="AM126" s="404"/>
      <c r="AN126" s="405"/>
      <c r="AO126" s="406"/>
      <c r="AP126" s="404"/>
      <c r="AQ126" s="404"/>
      <c r="AR126" s="407"/>
      <c r="AS126" s="403"/>
      <c r="AT126" s="404"/>
      <c r="AU126" s="404"/>
      <c r="AV126" s="405"/>
      <c r="AW126" s="406"/>
      <c r="AX126" s="404"/>
      <c r="AY126" s="404"/>
      <c r="AZ126" s="404"/>
      <c r="BA126" s="407"/>
      <c r="BB126" s="403"/>
      <c r="BC126" s="404"/>
      <c r="BD126" s="404"/>
      <c r="BE126" s="405"/>
      <c r="BF126" s="406"/>
      <c r="BG126" s="404"/>
      <c r="BH126" s="404"/>
      <c r="BI126" s="404"/>
      <c r="BJ126" s="404"/>
      <c r="BK126" s="404"/>
      <c r="BL126" s="404"/>
      <c r="BM126" s="404"/>
      <c r="BN126" s="404"/>
      <c r="BO126" s="404"/>
      <c r="BP126" s="404"/>
      <c r="BQ126" s="404"/>
      <c r="BR126" s="404"/>
      <c r="BS126" s="404"/>
      <c r="BT126" s="404"/>
      <c r="BU126" s="404"/>
      <c r="BV126" s="404"/>
      <c r="BW126" s="404"/>
      <c r="BX126" s="404"/>
      <c r="BY126" s="404"/>
      <c r="BZ126" s="404"/>
      <c r="CA126" s="404"/>
      <c r="CB126" s="404"/>
      <c r="CC126" s="404"/>
      <c r="CD126" s="404"/>
      <c r="CE126" s="404"/>
      <c r="CF126" s="404"/>
      <c r="CG126" s="404"/>
      <c r="CH126" s="404"/>
      <c r="CI126" s="404"/>
      <c r="CJ126" s="404"/>
      <c r="CK126" s="404"/>
      <c r="CL126" s="404"/>
      <c r="CM126" s="404"/>
      <c r="CN126" s="404"/>
      <c r="CO126" s="404"/>
      <c r="CP126" s="404"/>
      <c r="CQ126" s="404"/>
      <c r="CR126" s="404"/>
      <c r="CS126" s="404"/>
      <c r="CT126" s="404"/>
      <c r="CU126" s="404"/>
      <c r="CV126" s="404"/>
      <c r="CW126" s="404"/>
      <c r="CX126" s="404"/>
      <c r="CY126" s="404"/>
      <c r="CZ126" s="404"/>
      <c r="DA126" s="404"/>
      <c r="DB126" s="404"/>
      <c r="DC126" s="407"/>
    </row>
    <row r="127" customFormat="false" ht="24.45" hidden="false" customHeight="false" outlineLevel="0" collapsed="false">
      <c r="A127" s="450"/>
      <c r="B127" s="399" t="s">
        <v>608</v>
      </c>
      <c r="C127" s="382" t="n">
        <v>2.5</v>
      </c>
      <c r="D127" s="445"/>
      <c r="E127" s="407"/>
      <c r="F127" s="406"/>
      <c r="G127" s="404"/>
      <c r="H127" s="404"/>
      <c r="I127" s="407"/>
      <c r="J127" s="403"/>
      <c r="K127" s="404"/>
      <c r="L127" s="404"/>
      <c r="M127" s="404"/>
      <c r="N127" s="405"/>
      <c r="O127" s="406"/>
      <c r="P127" s="404"/>
      <c r="Q127" s="404"/>
      <c r="R127" s="407"/>
      <c r="S127" s="408"/>
      <c r="T127" s="423"/>
      <c r="U127" s="447"/>
      <c r="V127" s="454"/>
      <c r="W127" s="449"/>
      <c r="X127" s="447"/>
      <c r="Y127" s="447"/>
      <c r="Z127" s="455"/>
      <c r="AA127" s="403"/>
      <c r="AB127" s="404"/>
      <c r="AC127" s="404"/>
      <c r="AD127" s="404"/>
      <c r="AE127" s="405"/>
      <c r="AF127" s="458"/>
      <c r="AG127" s="404"/>
      <c r="AH127" s="404"/>
      <c r="AI127" s="407"/>
      <c r="AJ127" s="403"/>
      <c r="AK127" s="404"/>
      <c r="AL127" s="404"/>
      <c r="AM127" s="404"/>
      <c r="AN127" s="405"/>
      <c r="AO127" s="406"/>
      <c r="AP127" s="404"/>
      <c r="AQ127" s="404"/>
      <c r="AR127" s="407"/>
      <c r="AS127" s="403"/>
      <c r="AT127" s="404"/>
      <c r="AU127" s="404"/>
      <c r="AV127" s="405"/>
      <c r="AW127" s="406"/>
      <c r="AX127" s="404"/>
      <c r="AY127" s="404"/>
      <c r="AZ127" s="404"/>
      <c r="BA127" s="407"/>
      <c r="BB127" s="403"/>
      <c r="BC127" s="404"/>
      <c r="BD127" s="404"/>
      <c r="BE127" s="405"/>
      <c r="BF127" s="406"/>
      <c r="BG127" s="404"/>
      <c r="BH127" s="404"/>
      <c r="BI127" s="404"/>
      <c r="BJ127" s="404"/>
      <c r="BK127" s="404"/>
      <c r="BL127" s="404"/>
      <c r="BM127" s="404"/>
      <c r="BN127" s="404"/>
      <c r="BO127" s="404"/>
      <c r="BP127" s="404"/>
      <c r="BQ127" s="404"/>
      <c r="BR127" s="404"/>
      <c r="BS127" s="404"/>
      <c r="BT127" s="404"/>
      <c r="BU127" s="404"/>
      <c r="BV127" s="404"/>
      <c r="BW127" s="404"/>
      <c r="BX127" s="404"/>
      <c r="BY127" s="404"/>
      <c r="BZ127" s="404"/>
      <c r="CA127" s="404"/>
      <c r="CB127" s="404"/>
      <c r="CC127" s="404"/>
      <c r="CD127" s="404"/>
      <c r="CE127" s="404"/>
      <c r="CF127" s="404"/>
      <c r="CG127" s="404"/>
      <c r="CH127" s="404"/>
      <c r="CI127" s="404"/>
      <c r="CJ127" s="404"/>
      <c r="CK127" s="404"/>
      <c r="CL127" s="404"/>
      <c r="CM127" s="404"/>
      <c r="CN127" s="404"/>
      <c r="CO127" s="404"/>
      <c r="CP127" s="404"/>
      <c r="CQ127" s="404"/>
      <c r="CR127" s="404"/>
      <c r="CS127" s="404"/>
      <c r="CT127" s="404"/>
      <c r="CU127" s="404"/>
      <c r="CV127" s="404"/>
      <c r="CW127" s="404"/>
      <c r="CX127" s="404"/>
      <c r="CY127" s="404"/>
      <c r="CZ127" s="404"/>
      <c r="DA127" s="404"/>
      <c r="DB127" s="404"/>
      <c r="DC127" s="407"/>
    </row>
    <row r="128" customFormat="false" ht="24.45" hidden="false" customHeight="false" outlineLevel="0" collapsed="false">
      <c r="A128" s="450"/>
      <c r="B128" s="399" t="s">
        <v>608</v>
      </c>
      <c r="C128" s="382" t="n">
        <v>2.5</v>
      </c>
      <c r="D128" s="445"/>
      <c r="E128" s="407"/>
      <c r="F128" s="406"/>
      <c r="G128" s="404"/>
      <c r="H128" s="404"/>
      <c r="I128" s="407"/>
      <c r="J128" s="403"/>
      <c r="K128" s="404"/>
      <c r="L128" s="404"/>
      <c r="M128" s="404"/>
      <c r="N128" s="405"/>
      <c r="O128" s="406"/>
      <c r="P128" s="404"/>
      <c r="Q128" s="404"/>
      <c r="R128" s="407"/>
      <c r="S128" s="408"/>
      <c r="T128" s="423"/>
      <c r="U128" s="447"/>
      <c r="V128" s="454"/>
      <c r="W128" s="449"/>
      <c r="X128" s="447"/>
      <c r="Y128" s="447"/>
      <c r="Z128" s="455"/>
      <c r="AA128" s="403"/>
      <c r="AB128" s="404"/>
      <c r="AC128" s="404"/>
      <c r="AD128" s="404"/>
      <c r="AE128" s="405"/>
      <c r="AF128" s="458"/>
      <c r="AG128" s="404"/>
      <c r="AH128" s="404"/>
      <c r="AI128" s="407"/>
      <c r="AJ128" s="403"/>
      <c r="AK128" s="404"/>
      <c r="AL128" s="404"/>
      <c r="AM128" s="404"/>
      <c r="AN128" s="405"/>
      <c r="AO128" s="406"/>
      <c r="AP128" s="404"/>
      <c r="AQ128" s="404"/>
      <c r="AR128" s="407"/>
      <c r="AS128" s="403"/>
      <c r="AT128" s="404"/>
      <c r="AU128" s="404"/>
      <c r="AV128" s="405"/>
      <c r="AW128" s="406"/>
      <c r="AX128" s="404"/>
      <c r="AY128" s="404"/>
      <c r="AZ128" s="404"/>
      <c r="BA128" s="407"/>
      <c r="BB128" s="403"/>
      <c r="BC128" s="404"/>
      <c r="BD128" s="404"/>
      <c r="BE128" s="405"/>
      <c r="BF128" s="406"/>
      <c r="BG128" s="404"/>
      <c r="BH128" s="404"/>
      <c r="BI128" s="404"/>
      <c r="BJ128" s="404"/>
      <c r="BK128" s="404"/>
      <c r="BL128" s="404"/>
      <c r="BM128" s="404"/>
      <c r="BN128" s="404"/>
      <c r="BO128" s="404"/>
      <c r="BP128" s="404"/>
      <c r="BQ128" s="404"/>
      <c r="BR128" s="404"/>
      <c r="BS128" s="404"/>
      <c r="BT128" s="404"/>
      <c r="BU128" s="404"/>
      <c r="BV128" s="404"/>
      <c r="BW128" s="404"/>
      <c r="BX128" s="404"/>
      <c r="BY128" s="404"/>
      <c r="BZ128" s="404"/>
      <c r="CA128" s="404"/>
      <c r="CB128" s="404"/>
      <c r="CC128" s="404"/>
      <c r="CD128" s="404"/>
      <c r="CE128" s="404"/>
      <c r="CF128" s="404"/>
      <c r="CG128" s="404"/>
      <c r="CH128" s="404"/>
      <c r="CI128" s="404"/>
      <c r="CJ128" s="404"/>
      <c r="CK128" s="404"/>
      <c r="CL128" s="404"/>
      <c r="CM128" s="404"/>
      <c r="CN128" s="404"/>
      <c r="CO128" s="404"/>
      <c r="CP128" s="404"/>
      <c r="CQ128" s="404"/>
      <c r="CR128" s="404"/>
      <c r="CS128" s="404"/>
      <c r="CT128" s="404"/>
      <c r="CU128" s="404"/>
      <c r="CV128" s="404"/>
      <c r="CW128" s="404"/>
      <c r="CX128" s="404"/>
      <c r="CY128" s="404"/>
      <c r="CZ128" s="404"/>
      <c r="DA128" s="404"/>
      <c r="DB128" s="404"/>
      <c r="DC128" s="407"/>
    </row>
    <row r="129" customFormat="false" ht="116.5" hidden="false" customHeight="true" outlineLevel="0" collapsed="false">
      <c r="A129" s="425"/>
      <c r="B129" s="451" t="s">
        <v>609</v>
      </c>
      <c r="C129" s="382" t="n">
        <v>1</v>
      </c>
      <c r="D129" s="460"/>
      <c r="E129" s="461"/>
      <c r="F129" s="460"/>
      <c r="G129" s="462"/>
      <c r="H129" s="462"/>
      <c r="I129" s="461"/>
      <c r="J129" s="463"/>
      <c r="K129" s="462"/>
      <c r="L129" s="462"/>
      <c r="M129" s="462"/>
      <c r="N129" s="464"/>
      <c r="O129" s="460"/>
      <c r="P129" s="462"/>
      <c r="Q129" s="462"/>
      <c r="R129" s="461"/>
      <c r="S129" s="463"/>
      <c r="T129" s="462"/>
      <c r="U129" s="462"/>
      <c r="V129" s="464"/>
      <c r="W129" s="460"/>
      <c r="X129" s="462"/>
      <c r="Y129" s="462"/>
      <c r="Z129" s="461"/>
      <c r="AA129" s="463"/>
      <c r="AB129" s="462"/>
      <c r="AC129" s="462"/>
      <c r="AD129" s="462"/>
      <c r="AE129" s="464"/>
      <c r="AF129" s="460"/>
      <c r="AG129" s="462"/>
      <c r="AH129" s="462"/>
      <c r="AI129" s="461"/>
      <c r="AJ129" s="463"/>
      <c r="AK129" s="462"/>
      <c r="AL129" s="462"/>
      <c r="AM129" s="462"/>
      <c r="AN129" s="464"/>
      <c r="AO129" s="460"/>
      <c r="AP129" s="462"/>
      <c r="AQ129" s="462"/>
      <c r="AR129" s="461"/>
      <c r="AS129" s="463"/>
      <c r="AT129" s="462"/>
      <c r="AU129" s="462"/>
      <c r="AV129" s="464"/>
      <c r="AW129" s="460"/>
      <c r="AX129" s="462"/>
      <c r="AY129" s="462"/>
      <c r="AZ129" s="462"/>
      <c r="BA129" s="461"/>
      <c r="BB129" s="463"/>
      <c r="BC129" s="462"/>
      <c r="BD129" s="462"/>
      <c r="BE129" s="464"/>
      <c r="BF129" s="465"/>
      <c r="BG129" s="466"/>
      <c r="BH129" s="466"/>
      <c r="BI129" s="466"/>
      <c r="BJ129" s="466"/>
      <c r="BK129" s="466"/>
      <c r="BL129" s="466"/>
      <c r="BM129" s="466"/>
      <c r="BN129" s="466"/>
      <c r="BO129" s="466"/>
      <c r="BP129" s="466"/>
      <c r="BQ129" s="466"/>
      <c r="BR129" s="466"/>
      <c r="BS129" s="466"/>
      <c r="BT129" s="466"/>
      <c r="BU129" s="466"/>
      <c r="BV129" s="466"/>
      <c r="BW129" s="466"/>
      <c r="BX129" s="466"/>
      <c r="BY129" s="466"/>
      <c r="BZ129" s="466"/>
      <c r="CA129" s="466"/>
      <c r="CB129" s="466"/>
      <c r="CC129" s="466"/>
      <c r="CD129" s="466"/>
      <c r="CE129" s="466"/>
      <c r="CF129" s="466"/>
      <c r="CG129" s="466"/>
      <c r="CH129" s="466"/>
      <c r="CI129" s="466"/>
      <c r="CJ129" s="466"/>
      <c r="CK129" s="466"/>
      <c r="CL129" s="466"/>
      <c r="CM129" s="466"/>
      <c r="CN129" s="466"/>
      <c r="CO129" s="466"/>
      <c r="CP129" s="466"/>
      <c r="CQ129" s="466"/>
      <c r="CR129" s="466"/>
      <c r="CS129" s="466"/>
      <c r="CT129" s="466"/>
      <c r="CU129" s="466"/>
      <c r="CV129" s="466"/>
      <c r="CW129" s="466"/>
      <c r="CX129" s="466"/>
      <c r="CY129" s="466"/>
      <c r="CZ129" s="466"/>
      <c r="DA129" s="466"/>
      <c r="DB129" s="466"/>
      <c r="DC129" s="467"/>
    </row>
  </sheetData>
  <mergeCells count="22">
    <mergeCell ref="D3:DC4"/>
    <mergeCell ref="D7:E7"/>
    <mergeCell ref="F7:I7"/>
    <mergeCell ref="J7:N7"/>
    <mergeCell ref="O7:R7"/>
    <mergeCell ref="S7:V7"/>
    <mergeCell ref="W7:Z7"/>
    <mergeCell ref="AA7:AE7"/>
    <mergeCell ref="AF7:AI7"/>
    <mergeCell ref="AJ7:AN7"/>
    <mergeCell ref="AO7:AR7"/>
    <mergeCell ref="AS7:AV7"/>
    <mergeCell ref="AW7:BA7"/>
    <mergeCell ref="BB7:BE7"/>
    <mergeCell ref="BF7:DC7"/>
    <mergeCell ref="A10:A12"/>
    <mergeCell ref="A14:A20"/>
    <mergeCell ref="A21:A26"/>
    <mergeCell ref="A27:A30"/>
    <mergeCell ref="A32:A35"/>
    <mergeCell ref="A36:A51"/>
    <mergeCell ref="A52:A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DataMashup xmlns="http://schemas.microsoft.com/DataMashup">AAAAABQDAABQSwMEFAACAAgApZNqWrN1cnqkAAAA9gAAABIAHABDb25maWcvUGFja2FnZS54bWwgohgAKKAUAAAAAAAAAAAAAAAAAAAAAAAAAAAAhY8xDoIwGIWvQrrTloqJIT9lYIXExMS4NqVCIxRDi+VuDh7JK4hR1M3xfe8b3rtfb5BNXRtc1GB1b1IUYYoCZWRfaVOnaHTHcIMyDlshT6JWwSwbm0y2SlHj3DkhxHuP/Qr3Q00YpRE5lMVONqoT6CPr/3KojXXCSIU47F9jOMNRTHFM15gCWSCU2nwFNu99tj8Q8rF146C4smFeAFkikPcH/gBQSwMEFAACAAgApZNqWg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KWTalooike4DgAAABEAAAATABwARm9ybXVsYXMvU2VjdGlvbjEubSCiGAAooBQAAAAAAAAAAAAAAAAAAAAAAAAAAAArTk0uyczPUwiG0IbWAFBLAQItABQAAgAIAKWTalqzdXJ6pAAAAPYAAAASAAAAAAAAAAAAAAAAAAAAAABDb25maWcvUGFja2FnZS54bWxQSwECLQAUAAIACAClk2paD8rpq6QAAADpAAAAEwAAAAAAAAAAAAAAAADwAAAAW0NvbnRlbnRfVHlwZXNdLnhtbFBLAQItABQAAgAIAKWTalooike4DgAAABEAAAATAAAAAAAAAAAAAAAAAOEBAABGb3JtdWxhcy9TZWN0aW9uMS5tUEsFBgAAAAADAAMAwgAAADwC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cBAAAAAAAAdQE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DYpscStrm6QrG/kS91e97mAAAAAAIAAAAAABBmAAAAAQAAIAAAALIuusYWuHmOeybU902SZd5KLuo3tLW4vocjRXo9i88sAAAAAA6AAAAAAgAAIAAAAMl9dai1TpMPzEg2c/5p/D0BfwbYbWhPWMMSLe2pG5AzUAAAAMZGEwpyzouG8NSUFBx0DVnwNeRAx0AyB8qLVZF70R/vzAnyHDZp3KkMG1SJvRcb8pDBcSiAygOca+YyppMBNrG3WjaOywSCqfBSJNnmSNl2QAAAAL7WFq4oZx8i0VoBQqDO7fr3kRajvFT4dpKfXxrg0XkeMU/tR87braI0NesqwKZ42qVXHs+g6eMF1MQfmTWKMmw=</DataMashup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C065EDC2DB964B8B9036378862D85B" ma:contentTypeVersion="4" ma:contentTypeDescription="Crear nuevo documento." ma:contentTypeScope="" ma:versionID="ff6cb1de79b116127a327b7ad3e4f6b8">
  <xsd:schema xmlns:xsd="http://www.w3.org/2001/XMLSchema" xmlns:xs="http://www.w3.org/2001/XMLSchema" xmlns:p="http://schemas.microsoft.com/office/2006/metadata/properties" xmlns:ns2="125eb432-c9d6-4f73-a7fc-abac3416ab74" targetNamespace="http://schemas.microsoft.com/office/2006/metadata/properties" ma:root="true" ma:fieldsID="e49f28c4aa0bde227d50f40fd7890963" ns2:_="">
    <xsd:import namespace="125eb432-c9d6-4f73-a7fc-abac3416ab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eb432-c9d6-4f73-a7fc-abac3416ab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488F5F-B6B3-43E1-A534-F7EEDE3B70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9C4D73-77FD-4BC7-86E8-F563393D2602}">
  <ds:schemaRefs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125eb432-c9d6-4f73-a7fc-abac3416ab7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365B051-E862-4341-AC73-FD6F85EAB53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A6CD9C9-FA0C-4598-989F-119472CEF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5eb432-c9d6-4f73-a7fc-abac3416ab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2023-01-23T20:09:58Z</dcterms:created>
  <dc:creator>Nicolas quinteros</dc:creator>
  <dc:description/>
  <dc:language>en-US</dc:language>
  <cp:lastModifiedBy/>
  <cp:lastPrinted>2025-11-21T19:38:47Z</cp:lastPrinted>
  <dcterms:modified xsi:type="dcterms:W3CDTF">2026-10-10T17:17:05Z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0x0101002AC065EDC2DB964B8B9036378862D85B</vt:lpwstr>
  </property>
  <property fmtid="{D5CDD505-2E9C-101B-9397-08002B2CF9AE}" pid="4" name="MediaServiceImageTags">
    <vt:lpwstr/>
  </property>
  <property fmtid="{D5CDD505-2E9C-101B-9397-08002B2CF9AE}" pid="5" name="Order">
    <vt:r8>3600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xd_ProgID">
    <vt:lpwstr/>
  </property>
  <property fmtid="{D5CDD505-2E9C-101B-9397-08002B2CF9AE}" pid="10" name="xd_Signature">
    <vt:bool>0</vt:bool>
  </property>
</Properties>
</file>